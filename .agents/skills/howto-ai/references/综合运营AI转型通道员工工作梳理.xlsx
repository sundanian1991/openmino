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customXmlProperties+xml" PartName="/customXml/itemProps5.xml"/>
  <Override ContentType="application/vnd.openxmlformats-officedocument.customXmlProperties+xml" PartName="/customXml/itemProps6.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45" windowHeight="12435" activeTab="1"/>
  </bookViews>
  <sheets>
    <sheet name="综合运营AI转型通道委员" sheetId="4" r:id="rId1"/>
    <sheet name="综合运营AI通道名单(不含消金公司CXO直管+风险+客服" sheetId="3" r:id="rId2"/>
    <sheet name="Sheet1" sheetId="1" state="hidden" r:id="rId3"/>
    <sheet name="下拉选项库勿动" sheetId="6" state="hidden" r:id="rId4"/>
    <sheet name="工作模块" sheetId="9" r:id="rId5"/>
  </sheets>
  <definedNames>
    <definedName name="_xlnm._FilterDatabase" localSheetId="1" hidden="1">'综合运营AI通道名单(不含消金公司CXO直管+风险+客服'!$A$2:$X$1252</definedName>
    <definedName name="_xlnm._FilterDatabase" localSheetId="4" hidden="1">工作模块!$A$2:$H$58</definedName>
    <definedName name="_xlnm._FilterDatabase" localSheetId="2" hidden="1">Sheet1!$A$1:$M$225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<sst xmlns="http://schemas.openxmlformats.org/spreadsheetml/2006/main" count="18954" uniqueCount="1778">
  <si>
    <t>通道名称</t>
  </si>
  <si>
    <t>会长</t>
  </si>
  <si>
    <t>副会长姓名</t>
  </si>
  <si>
    <t>副会长ERP</t>
  </si>
  <si>
    <t>副会长部门全称</t>
  </si>
  <si>
    <t>委员姓名</t>
  </si>
  <si>
    <t>委员ERP</t>
  </si>
  <si>
    <t>委员部门全称</t>
  </si>
  <si>
    <t>秘书</t>
  </si>
  <si>
    <t>综合运营AI化转型通道</t>
  </si>
  <si>
    <t>张素娟</t>
  </si>
  <si>
    <t>殷庆媛</t>
  </si>
  <si>
    <t>yinqingyuan1</t>
  </si>
  <si>
    <t>京东集团-京东科技-金融科技事业群-支付业务部-支付生态合作部</t>
  </si>
  <si>
    <t>马宋玲</t>
  </si>
  <si>
    <t>masongling.5</t>
  </si>
  <si>
    <t>京东集团-京东科技-金融科技事业群-综合运营部-产品结算运营部</t>
  </si>
  <si>
    <t>薄霖bolin6</t>
  </si>
  <si>
    <t>李佳</t>
  </si>
  <si>
    <t>lijia77</t>
  </si>
  <si>
    <t>京东集团-京东科技-金融科技事业群-财富管理业务部-投资研究组</t>
  </si>
  <si>
    <t>李海梅</t>
  </si>
  <si>
    <t>lihaimei11</t>
  </si>
  <si>
    <t>京东集团-京东科技-金融科技事业群-财富管理业务部-高端理财部</t>
  </si>
  <si>
    <t>许丽红</t>
  </si>
  <si>
    <t>xulihong.16</t>
  </si>
  <si>
    <t>京东集团-京东科技-金融科技事业群-金融机构合作部</t>
  </si>
  <si>
    <t>吴漠辰</t>
  </si>
  <si>
    <t>wumochen1</t>
  </si>
  <si>
    <t>京东集团-京东科技-金融科技事业群-农业金融业务部-金融产品运营组</t>
  </si>
  <si>
    <t>彭雪莲</t>
  </si>
  <si>
    <t>pengxuelian.6</t>
  </si>
  <si>
    <t>京东集团-京东科技-金融科技事业群-企业金融业务部-经营提升组</t>
  </si>
  <si>
    <t>孙大年</t>
  </si>
  <si>
    <t>sundanian</t>
  </si>
  <si>
    <t>京东集团-京东科技-金融科技事业群-数据科技业务部-电销服务组</t>
  </si>
  <si>
    <t>田晓微</t>
  </si>
  <si>
    <t>tianxiaowei12</t>
  </si>
  <si>
    <t>京东集团-京东科技-金融科技事业群-销售拓展部-销售提升组</t>
  </si>
  <si>
    <t>马乾翔</t>
  </si>
  <si>
    <t>maqianxiang1</t>
  </si>
  <si>
    <t>京东集团-京东科技-金融科技事业群-综合运营部-监管合规组</t>
  </si>
  <si>
    <t>王玉宝</t>
  </si>
  <si>
    <t>wangyubao6</t>
  </si>
  <si>
    <t>京东集团-京东科技-金融科技事业群-综合运营部-经营支持组</t>
  </si>
  <si>
    <t>闫羽</t>
  </si>
  <si>
    <t>yanyu5</t>
  </si>
  <si>
    <t>京东集团-京东科技-金融科技事业群-消金公司-董事会办公室</t>
  </si>
  <si>
    <t>口径说明：</t>
  </si>
  <si>
    <t>Win/Mac</t>
  </si>
  <si>
    <t>详细版</t>
  </si>
  <si>
    <t>具体使用什么工具、使用方法、使用场景、使用频率等</t>
  </si>
  <si>
    <t>跟随二级工作模块匹配，无需下发填写</t>
  </si>
  <si>
    <t>下拉框选项进行选择，根据工作内容涉及的工作模块进行选择</t>
  </si>
  <si>
    <t>下拉框选项进行选择，高频（日）/中频（周、月）/低频（季、年）</t>
  </si>
  <si>
    <t>针对二级模块，每月涉及的工时，每个二级模块单独填写，汇总后尽量满足8*21=168h。单位：小时/月</t>
  </si>
  <si>
    <t>针对二级模块使用的AI工具（含内外部）,多个工具用英文逗号隔开,如果没有使用AI工具,写“无”。</t>
  </si>
  <si>
    <r>
      <rPr>
        <b/>
        <sz val="11"/>
        <color rgb="FF000000"/>
        <rFont val="京东朗正体 1.0 玲珑"/>
        <charset val="134"/>
      </rPr>
      <t xml:space="preserve">下拉框选项进行选择，现有使用AI工具的情况。
</t>
    </r>
    <r>
      <rPr>
        <sz val="11"/>
        <color rgb="FF000000"/>
        <rFont val="京东朗正体 1.0 玲珑"/>
        <charset val="134"/>
      </rPr>
      <t>低：做该工作模块时，从未使用AI
中：做该工作模块时，偶尔使用AI辅助，但仅做参考，核心环节由人完成
高：做该工作模块时，深度依赖AI，会覆盖到该任务的核心环节</t>
    </r>
  </si>
  <si>
    <t>ERP账号</t>
  </si>
  <si>
    <t>员工姓名</t>
  </si>
  <si>
    <t>性别</t>
  </si>
  <si>
    <t>电脑类型</t>
  </si>
  <si>
    <t>是否安装JoyClaw</t>
  </si>
  <si>
    <t>工作具体内容</t>
  </si>
  <si>
    <t>AI工具使用情况</t>
  </si>
  <si>
    <t>一级工作模块</t>
  </si>
  <si>
    <t>二级工作模块</t>
  </si>
  <si>
    <t>AI化潜力</t>
  </si>
  <si>
    <t>任务频次</t>
  </si>
  <si>
    <t>工时</t>
  </si>
  <si>
    <t>使用AI工具</t>
  </si>
  <si>
    <t>AI成熟度</t>
  </si>
  <si>
    <t>对接人</t>
  </si>
  <si>
    <t>岗位名称</t>
  </si>
  <si>
    <t>一级部门</t>
  </si>
  <si>
    <t>二级部门</t>
  </si>
  <si>
    <t>三级部门</t>
  </si>
  <si>
    <t>机构全称</t>
  </si>
  <si>
    <t>公司邮箱</t>
  </si>
  <si>
    <t>职场城市</t>
  </si>
  <si>
    <t>职场描述</t>
  </si>
  <si>
    <t>zhangsanxxx</t>
  </si>
  <si>
    <t>张三</t>
  </si>
  <si>
    <t>男</t>
  </si>
  <si>
    <t>TEST</t>
  </si>
  <si>
    <t>会议与沟通管理</t>
  </si>
  <si>
    <t>会议记录</t>
  </si>
  <si>
    <t>高潜力</t>
  </si>
  <si>
    <t>低频</t>
  </si>
  <si>
    <t>慧记</t>
  </si>
  <si>
    <t>高</t>
  </si>
  <si>
    <t>资料收集与整理</t>
  </si>
  <si>
    <t>信息检索</t>
  </si>
  <si>
    <t>高频</t>
  </si>
  <si>
    <t>豆包,万能博士</t>
  </si>
  <si>
    <t>客户服务</t>
  </si>
  <si>
    <t>关系维护</t>
  </si>
  <si>
    <t>低潜力</t>
  </si>
  <si>
    <t>无</t>
  </si>
  <si>
    <t>低</t>
  </si>
  <si>
    <t>zhangkai83</t>
  </si>
  <si>
    <t>张凯</t>
  </si>
  <si>
    <t>Win</t>
  </si>
  <si>
    <t>否</t>
  </si>
  <si>
    <t>围绕综合运营部的两大运营职能（金科业务运营+金科主体监管合规运营），以提效、降风险、促发展为目标，在所有运营环节链路上用数据技术能力建设基础应用数据模型、运营分析指标模型、产品和数据交互应用模型等大数据开发工作。同时以专项owner的身份统筹部分专项工作。</t>
  </si>
  <si>
    <t>1、数据专业方向：AI +sql撰写；工具“万能博士”、deepsek、豆包。
2、文本生成方向：会议纪要总结，工作总结等；工具“万能博士”、deepsek、豆包。
3、其他知识学习方向：涵盖生活和工作的各种知识；工具：主要是豆包。</t>
  </si>
  <si>
    <t>数据分析</t>
  </si>
  <si>
    <t>数据底层建设</t>
  </si>
  <si>
    <t>中潜力</t>
  </si>
  <si>
    <t>万能博士,豆包,deepseek</t>
  </si>
  <si>
    <t>中</t>
  </si>
  <si>
    <t>数据分析岗</t>
  </si>
  <si>
    <t>金融科技事业群</t>
  </si>
  <si>
    <t>综合运营部</t>
  </si>
  <si>
    <t>经营支持组</t>
  </si>
  <si>
    <t>zhangkai15@jd.com</t>
  </si>
  <si>
    <t>北京市-北京市</t>
  </si>
  <si>
    <t>京东集团全球总部北京2号园区</t>
  </si>
  <si>
    <t>可视化呈现中国式报表</t>
  </si>
  <si>
    <t>项目管理</t>
  </si>
  <si>
    <t>进度跟踪</t>
  </si>
  <si>
    <t>慧记,万能博士</t>
  </si>
  <si>
    <t>wangjian.1238</t>
  </si>
  <si>
    <t>王健</t>
  </si>
  <si>
    <t>项目交付全过程管理；客户关系与沟通管理；资源协调与团队领导；风险、问题与变更管理；质量与成本控制；项目验收与收尾；生态管理与生态经营打法。</t>
  </si>
  <si>
    <t>AI应用：文档与方案写作
工具：豆包
场景：写项目方案、需求文档、验收报告、周报/月报；整理客户需求、把口头沟通转成正式文档；系统信息录入图片生成
频率：每周5–7次</t>
  </si>
  <si>
    <t>豆包,慧记</t>
  </si>
  <si>
    <t>业务项目经理岗</t>
  </si>
  <si>
    <t>农业金融业务部</t>
  </si>
  <si>
    <t>平台渠道拓展组</t>
  </si>
  <si>
    <t>京东集团-京东科技-金融科技事业群-农业金融业务部-平台渠道拓展组</t>
  </si>
  <si>
    <t>wangjian.1238@jd.com</t>
  </si>
  <si>
    <t>文档处理</t>
  </si>
  <si>
    <t>文案撰写</t>
  </si>
  <si>
    <t>中频</t>
  </si>
  <si>
    <t>豆包</t>
  </si>
  <si>
    <t>活动执行</t>
  </si>
  <si>
    <t>shiyaxin.8</t>
  </si>
  <si>
    <t>史雅新</t>
  </si>
  <si>
    <t>1.监管数据报送：确保报表的真实性、准确性、完整性、及时性，并落实填报人、复核人、负责人岗位分离原则。
2.监管口径解读与答疑：重点对齐“综合融资成本”与“综合融资定价”等关键口径，避免部门间理解偏差。
3.监管沟通与反馈：建立快速响应机制，确保监管问询得到及时、准确的答复。
4.监管报告编制：报告需逻辑清晰、重点突出，符合监管报送要求。</t>
  </si>
  <si>
    <t>1.使用工具：万能博士和JoyAgent
2.使用场景：编写监管报告，查询监管制度、查询统计报送制度等
3.使用频率：每天使用多次</t>
  </si>
  <si>
    <t>合规管理</t>
  </si>
  <si>
    <t>监管对接</t>
  </si>
  <si>
    <t>监管风控岗</t>
  </si>
  <si>
    <t>消金公司</t>
  </si>
  <si>
    <t>内控合规部</t>
  </si>
  <si>
    <t>京东集团-京东科技-金融科技事业群-消金公司-内控合规部</t>
  </si>
  <si>
    <t>shiyaxin.8@jd.com</t>
  </si>
  <si>
    <t>天津市-天津市</t>
  </si>
  <si>
    <t>京东天津合生财富广场职场</t>
  </si>
  <si>
    <t>合规咨询</t>
  </si>
  <si>
    <t>万能博士,JoyAgent</t>
  </si>
  <si>
    <t>xiangtong</t>
  </si>
  <si>
    <t>相同</t>
  </si>
  <si>
    <t>是</t>
  </si>
  <si>
    <t>1. 大类资产配置模型研究，以及对应模型代码编写；
2. 基金产品及基金经理人特征标签、评价体系建设；</t>
  </si>
  <si>
    <t>openclaw：个人电脑部署，每天跟踪最新文献、研报以迭代资配模型；
万能博士：代码优化，每天多次，提升代码可读性和简洁性</t>
  </si>
  <si>
    <t>策略制定</t>
  </si>
  <si>
    <t>方案设计</t>
  </si>
  <si>
    <t>openclaw</t>
  </si>
  <si>
    <t>投资研究岗</t>
  </si>
  <si>
    <t>财富管理业务部</t>
  </si>
  <si>
    <t>投资研究组</t>
  </si>
  <si>
    <t>xiangtong@jd.com</t>
  </si>
  <si>
    <t>上海市-上海市</t>
  </si>
  <si>
    <t>京东上海中海中心职场</t>
  </si>
  <si>
    <t>预测分析</t>
  </si>
  <si>
    <t>技术实施</t>
  </si>
  <si>
    <t>代码编写</t>
  </si>
  <si>
    <t>joycode、万能博士</t>
  </si>
  <si>
    <t>趋势分析</t>
  </si>
  <si>
    <t>songxiaoyan9</t>
  </si>
  <si>
    <t>宋晓燕</t>
  </si>
  <si>
    <t>女</t>
  </si>
  <si>
    <t>1、交易运营：客户开户材料反洗钱识别，准确度校验，人工归档；客户交易限额下单后额度沟通及异常处理。
2、销售支持管理：数据统计工作（销售佣金、业务线ROI），及数据平台底层基建建设。
3、创新以及解决方案：商务+产品+运营基于业务模式创新产品解决方案</t>
  </si>
  <si>
    <t>使用的集团的AI基础能力，用了AI语义识别，文件识别等开户；用了RPA机器人技术，实时给客户通知交易信息和资金信息</t>
  </si>
  <si>
    <t>异常处理</t>
  </si>
  <si>
    <t>AI语义识别、RPA机器人</t>
  </si>
  <si>
    <t>销售运营岗</t>
  </si>
  <si>
    <t>机构理财产品部</t>
  </si>
  <si>
    <t>京东集团-京东科技-金融科技事业群-财富管理业务部-机构理财产品部</t>
  </si>
  <si>
    <t>songxiaoyan9@jd.com</t>
  </si>
  <si>
    <t>——</t>
  </si>
  <si>
    <t>跨部门协调</t>
  </si>
  <si>
    <t>zhengwenpu1</t>
  </si>
  <si>
    <t>郑文璞</t>
  </si>
  <si>
    <t>保险业务推动、产品筛选、订单运营承接</t>
  </si>
  <si>
    <t>deepseek、豆包：信息查询，扒热销产品推荐话术、港险热线新闻汇总</t>
  </si>
  <si>
    <t>绩效管理</t>
  </si>
  <si>
    <t>销售支持岗</t>
  </si>
  <si>
    <t>高端理财部</t>
  </si>
  <si>
    <t>zhengwenpu1@jd.com</t>
  </si>
  <si>
    <t>信息传达</t>
  </si>
  <si>
    <t>信息配置</t>
  </si>
  <si>
    <t>扣子</t>
  </si>
  <si>
    <t>claude，joyagent</t>
  </si>
  <si>
    <t>数据报告触达</t>
  </si>
  <si>
    <t>lulin.78</t>
  </si>
  <si>
    <t>卢林</t>
  </si>
  <si>
    <t>1.合规审查：用AI对业务方案等进行初审，提示合规红线，以及法规依据，如何调整建议等，减少人工逐条翻阅法规的时间；
2.制度审核：把新旧制度、内外制度同时喂给AI，让它找出“打架”或“过时”的条款，可参考决策修哪条；
3.报告核对：将报告内容、数据进行一致性校验，输出异常项，不用再让员工抽样式复核占用大量时间；
4.行业分析：利用AI了解同业信息与风险事件，预判行业动向、监管处罚导向，提前布局机构自查重点与整改策略；
5.文字撰写：给AI框架和要点，让它先出报告草稿，把关和修改文字内容，无需再从零写起。
6.法规查询：随时问AI，直接拿到法条原文，同时可发散关联是否有真实罚单案例，不用花费大量时间翻查法规库</t>
  </si>
  <si>
    <t>1.使用工具：万能博士和JoyAgent
2.使用场景：法规检索、合规预审、数据复核、制度校对、文书起草等场景
3.使用频率：每天使用多次</t>
  </si>
  <si>
    <t>监管风控岗(团队负责人)</t>
  </si>
  <si>
    <t>lulin.78@jd.com</t>
  </si>
  <si>
    <t>翻译校对</t>
  </si>
  <si>
    <t>zhanghaiyan80</t>
  </si>
  <si>
    <t>张海艳</t>
  </si>
  <si>
    <t>1、投研需求收集与承接及交付：收集与承接来自产品与市场部的C端投研需求、机构理财部的B端投研需求，并协调投研组内同事完成各项需求并保障交付质量。
2、行业研究项目统筹与落实和交付。</t>
  </si>
  <si>
    <t>日常研究辅助：1）豆包，每日进行市场热点及关键边际信息跟踪，对各类研报进行观点汇总，辅助投研内容生产；2）元宝：整理汇总行业信息，交叉验证观点；3）wind Alice 。</t>
  </si>
  <si>
    <t>zhanghaiyan80@jd.com</t>
  </si>
  <si>
    <t>汇报材料</t>
  </si>
  <si>
    <t>豆包、元宝、windAlice</t>
  </si>
  <si>
    <t>资源调配</t>
  </si>
  <si>
    <t>任务分配</t>
  </si>
  <si>
    <t>hedi1</t>
  </si>
  <si>
    <t>贺迪</t>
  </si>
  <si>
    <t>Mac</t>
  </si>
  <si>
    <t>1、金科群综合经营支持，各类经营专项的规划开展与推动落地，进行项目管理及分析，促进业务发展与协同。
2、群组内控体系建设，推动流程制度、风险事件、业务复盘等工作开展。
3、为群组综合运营提供数据以及运营产品系统支撑，通过线上化、系统化、AI智能化路径助力运营规范管理、降本增效、防控风险。
4、群组统一运营提升工作，开展运营指标建设、分析跟踪，助力运营以及上下游的工作调优。</t>
  </si>
  <si>
    <t>万能博士、Deepseek、豆包：日常工作相关的概念以及思路框架研究；信息咨询；每周
慧记：辅助会议纪要撰写和会议记录原声留存。</t>
  </si>
  <si>
    <t>内容创作</t>
  </si>
  <si>
    <t>流程机制规范或体系框架撰写</t>
  </si>
  <si>
    <t>金融策略运营岗(团队负责人)</t>
  </si>
  <si>
    <t>hedi11@jd.com</t>
  </si>
  <si>
    <t>决策支持</t>
  </si>
  <si>
    <t>fengyongchang</t>
  </si>
  <si>
    <t>冯永昌</t>
  </si>
  <si>
    <t>统筹投研方向，制定配置策略，指导研究落地，赋能业务落地</t>
  </si>
  <si>
    <t>1）利用AI快速汇总多维度市场信息（宏观、行业、情绪），生成“异动观察”或“风险提示”清单，作为投资决策会议的讨论基础。
2）用AI快速审阅团队产出（报告、模型）的逻辑一致性、数据完整性，定位需人工复核的重点</t>
  </si>
  <si>
    <t>openclaw、coze</t>
  </si>
  <si>
    <t>投资研究岗(团队负责人)</t>
  </si>
  <si>
    <t>fengyongchang@jd.com</t>
  </si>
  <si>
    <t>zhaiweihua.3</t>
  </si>
  <si>
    <t>翟伟华</t>
  </si>
  <si>
    <t>1.【制度管理】 公司治理两会一层、股东信息等以及监管报告等内外部文件复核；公司治理相关内部政策制度制定、完善、审核；公司治理、大股东风险隔离相关监管检查的自查梳理等；董事高管法定的定期培训安排（包括考试设计安排）事务；董事发言建议撰写
2.【监管审批】全流程处里消金公司相关的各类须监管审批事项。如：董事高管人员任职资格申请、公司重大事项（名称、住所、资本、股权结构等）事项的法定全套申请文件的起草校核、协调推进监管部门的审阅、相关事项监管沟通、审批事项的受理、审查及审批全流程。
3. 【党建事项】消金支部有效落实集团党委工作要求，党建年度计划，推动筹备各类党建活动、持续保持与两新党委良好工作沟通机制。
4. 【信息复核】内部治理及外部监管报告信息的复核、校验。包括监管报告信息、内部议案、决议、议程发言建议稿等。</t>
  </si>
  <si>
    <t>1. Deepseek\豆包:使用方法:给定或者发布任务要求AI进行任务执行。使用场景 ： 考虑信息安全问题，公司治理相关监管规定总结分析、对比信息仅内部使用，咨询仅限于对于公开信息涉及的 公司治理相关法规、监管规定的横向分析、对比或判断、对于行业的切面观察、或仅仅用于咨询，AI完成任务后，需在其基础上进行纠正或调校；使用频率：经常使用。
2.万能博士：使用场景 ： 多用于京ME场景下，咨询问题或要求进行信息分析、比对，用以实现相应工作目标，如起草工作计划。相对可以使用内部信息；任务后，需在其基础上进行纠正或调校；使用频率：经常使用。
3. JoyAgent/Joydesk:使用场景 ： 内部管理场景使用，提供其相应内部文件，在相应授权范围内进行咨询、基于提供的文件操作工作任务；使用频率：有时使用，但频率低于前两个。</t>
  </si>
  <si>
    <t>Deepseek,豆包,万能博士</t>
  </si>
  <si>
    <t>公司治理岗</t>
  </si>
  <si>
    <t>董事会办公室</t>
  </si>
  <si>
    <t>zhaiweihua.3@jd.com</t>
  </si>
  <si>
    <t>liusiqi24</t>
  </si>
  <si>
    <t>刘思琪</t>
  </si>
  <si>
    <t>群组专项及事务类工作组织协同，包括产品类项目、销售类项目、流程机制类项目等。</t>
  </si>
  <si>
    <t>工具：豆包
完善流程机制方案的内容撰写，基于市场过往的经验处置积累，补充容易忽视的问题</t>
  </si>
  <si>
    <t>liusiqi24@jd.com</t>
  </si>
  <si>
    <t>yangxiulan1</t>
  </si>
  <si>
    <t>杨秀兰</t>
  </si>
  <si>
    <t>1.【数据基建】根据运营梳理的营销活动台账和预警信息，向对应系统平台的产研同学调研每个字段来源的底层生产库表和字段，以及不同信息（表）之间的关联关系，自行根据生产表从星图搜索对应的数仓表，并进行相应的字段加工，形成不同业务、不同场景的营销活动台账模型，并基于台账数据加工运营日常需要的活动预警；台账和预警最终均通过BI平台进行可视化。
2.【账单线上化】：根据不同的业务、客商、计费规则、选取不同的数据源、设计不同的模型，并根据客户不同的账单呈现诉求，选用不同的可视化方案做账单线上化工作（结果呈现：BI可视化报表），该工作本质上是对运营部分手工任务的取代。
3.【运营指标建设】：根据运营日常工作和管理目标，梳理运营效率、健康度等指标，并进行指标开发和可视化。</t>
  </si>
  <si>
    <t>1.Deepseek：用于日常的sql问题咨询，比如获取某个函数的使用方法、如何获取想要的字符内容等；提供报错信息定位sql错误等；
2.万能博士：多在joyspace中使用，用于提炼会议纪要、文字总结等；
3.JoyClaw：尝试训练它创建会议室定时任务、自动转发邮件等操作，均不符合预期，近一周未再使用。</t>
  </si>
  <si>
    <t>deepseek</t>
  </si>
  <si>
    <t>yangxiulan@jd.com</t>
  </si>
  <si>
    <t>可视化呈现</t>
  </si>
  <si>
    <t>houzihao.3</t>
  </si>
  <si>
    <t>侯自毫</t>
  </si>
  <si>
    <t>对存在风险瑕疵的企业主客户在贷前或贷中进行下户尽调，通过与客户问询、现场实际勘察收集客户基本情况、企业经营信息（财报、收入成本、上下游关系、经营流水）识别并判断客户潜在风险，将资料与风险判断结论输出给风险人审团队以提供更多风险判断依据。目前负责郑州区域客户的下户尽调。</t>
  </si>
  <si>
    <t>工具:Deepseek、豆包、千问
使用方法:直接关键词搜索行业知识、利润分布、盈利模式
使用场景:尽调前搜索行业、尽调后输入经营情况进行分析
使用频率:每天、每个面访客户</t>
  </si>
  <si>
    <t>风险评估</t>
  </si>
  <si>
    <t>风险识别</t>
  </si>
  <si>
    <t>deepseek,豆包,千问</t>
  </si>
  <si>
    <t>审核顾问岗</t>
  </si>
  <si>
    <t>区域渠道拓展组</t>
  </si>
  <si>
    <t>京东集团-京东科技-金融科技事业群-农业金融业务部-区域渠道拓展组</t>
  </si>
  <si>
    <t>houzihao.3@jd.com</t>
  </si>
  <si>
    <t>河南省-郑州市</t>
  </si>
  <si>
    <t>无固定职场</t>
  </si>
  <si>
    <t>panyunjia</t>
  </si>
  <si>
    <t>潘韵佳</t>
  </si>
  <si>
    <t>1. 负责金科综合经营重点专项的推进落实，跟踪内外部重要经营事项的落地，通过数据跟踪与分析，编制专项报告，支持业务发展，重点负责金科群组“金融带货”专项。
2.群组经营支持体系化建设，包括但不限于横向流程与制度、风险管控等工作的体系化推进，并建章建制落实群组机制的常态化运行。重点负责群组渠道管理和销售管理的体系化建设。</t>
  </si>
  <si>
    <t>Deepseek：较为复杂的内容框架和要点参考及业务名词的释义查询。
万能博士：搭配excel使用批量数据处理（如：较为复杂的格式统一等）
慧记：辅助会议纪要撰写和会议记录原声留存。
千问：搭配deepseek制作读书分享PPT
豆包：海报视觉设计</t>
  </si>
  <si>
    <t>纪要整理</t>
  </si>
  <si>
    <t>金融策略运营岗</t>
  </si>
  <si>
    <t>panyunjia@jd.com</t>
  </si>
  <si>
    <t>guanzhongxiu.1</t>
  </si>
  <si>
    <t>关中秀</t>
  </si>
  <si>
    <t>1、负责机构部金租行业一体化攻坚专项销售管理、信用卡组各业务销售管理及结算管理；
2、负责机构部销售100分项目管理；
3、负责机构部三公费用精细化管理；
4、负责机构部谈参会纪管理以及线上化AI建设。</t>
  </si>
  <si>
    <t>1、聚声AI：全网碎片化信息汇聚成可决策声音，每日；
2、joydesk，方案优化；
3、谈参会纪skill，线上生成谈参、会纪，经营分析，并对待办事项追踪管理自动预警等，预计4月底上线，不定时。</t>
  </si>
  <si>
    <t>慧记、万能博士</t>
  </si>
  <si>
    <t>客户运营岗</t>
  </si>
  <si>
    <t>金融机构合作部</t>
  </si>
  <si>
    <t>NULL</t>
  </si>
  <si>
    <t>guanzhongxiu.1@jd.com</t>
  </si>
  <si>
    <t>万能博士</t>
  </si>
  <si>
    <t>万能博士,JoyDesk</t>
  </si>
  <si>
    <t>数据提取</t>
  </si>
  <si>
    <t>JOYdesk,joydata,easybi,聚声AI</t>
  </si>
  <si>
    <t>异常检测</t>
  </si>
  <si>
    <t>优化建议</t>
  </si>
  <si>
    <t>咨询解答</t>
  </si>
  <si>
    <t>预警监控</t>
  </si>
  <si>
    <t>guoxinping3</t>
  </si>
  <si>
    <t>郭新平</t>
  </si>
  <si>
    <t>部门会议统筹安排、新人带教、培训体系规划及落地</t>
  </si>
  <si>
    <t>deepseek、豆包：主要用于做课时的内容框架优化。</t>
  </si>
  <si>
    <t>培训材料</t>
  </si>
  <si>
    <t>豆包、deepseek、慧记</t>
  </si>
  <si>
    <t>guoxinping3@jd.com</t>
  </si>
  <si>
    <t>文案创作</t>
  </si>
  <si>
    <t>豆包、deepseek</t>
  </si>
  <si>
    <t>成果验收</t>
  </si>
  <si>
    <t>测试部署</t>
  </si>
  <si>
    <t>zhangxingchen3</t>
  </si>
  <si>
    <t>张星辰</t>
  </si>
  <si>
    <t>1、运营管理体系建设：负责运营专项体系框架建立和专项事项推进
2、数据基建：接收运营数据需求，通过数据源探查、编写sql语句，建立看板图表
3、数据分析：依据业务内容，建立分析指标；通过不同纬度进行下探分析（top量级，top变量等），输出分析汇报</t>
  </si>
  <si>
    <t>1、deepseek：①文档内容总结提炼②同行业信息收集③sql语法咨询，sql语句优化
2、万能博士2.0：sql语法咨询，sql语句优化，sql任务异常问题排查</t>
  </si>
  <si>
    <t>deepseek,万能博士</t>
  </si>
  <si>
    <t>sqzhangxingchen@jd.com</t>
  </si>
  <si>
    <t>江苏省-宿迁市</t>
  </si>
  <si>
    <t>京东集团全球客服中心3号园区</t>
  </si>
  <si>
    <t>dujialin6</t>
  </si>
  <si>
    <t>杜嘉林</t>
  </si>
  <si>
    <t>保险/黄金/股票/传承等业务推动、培训体系、经营数据等</t>
  </si>
  <si>
    <t>培训部分在与京东云对接“智能陪练”；黄金等业务推动需要数字人分身提效（如AI自动答疑处理高频问题）；经营数据需要AI工具提效。</t>
  </si>
  <si>
    <t>dujialin6@jd.com</t>
  </si>
  <si>
    <t>niuxuejing</t>
  </si>
  <si>
    <t>牛学静</t>
  </si>
  <si>
    <t>数据分析&amp;用户策略群体下发&amp;用户流转等</t>
  </si>
  <si>
    <t>万能博士，帮助快速搜索行业信息，一周一次;deepseek：此外需要给理财师做话术库优化，用于重点品销售，不定期使用；豆包：用于部分海报的优化、代码编写等；</t>
  </si>
  <si>
    <t>niuxuejing@jd.com</t>
  </si>
  <si>
    <t>设计制作</t>
  </si>
  <si>
    <t>xujianyue3</t>
  </si>
  <si>
    <t>徐建跃</t>
  </si>
  <si>
    <t>保险/传承业务推动、培训课件、对客沙龙路演</t>
  </si>
  <si>
    <t>xujianyue3@jd.com</t>
  </si>
  <si>
    <t>yangmei13</t>
  </si>
  <si>
    <t>杨眉</t>
  </si>
  <si>
    <t>团建、复盘会、研讨会等团队文化建设文档及资料；科技月刊；科技利润数据表数据汇总，日常制度文档分析总结</t>
  </si>
  <si>
    <t>AI应用：方案建设、文档编写、数据管理及优化
工具：JOYDESK
场景：文化建设策划执行、科技业务数据梳理
频率：团建复盘会每季度一次，月刊及利润数据管理每月一次，其余不定时，每周5-10次。</t>
  </si>
  <si>
    <t>JOYDESK</t>
  </si>
  <si>
    <t>金融产品运营组</t>
  </si>
  <si>
    <t>wyyangmei@jd.com</t>
  </si>
  <si>
    <t>文档归档</t>
  </si>
  <si>
    <t>bilusong.1</t>
  </si>
  <si>
    <t>毕璐松</t>
  </si>
  <si>
    <t>1、销售能力提升，围绕销售能力素质模型，通过系统性的培训、激励与文化氛围建设，提升销售团队综合能力，战斗力与展业效率
2、强化产销经营，通过AI自动化工具落地，重点项目台账线上化、产线攻坚与商机转化等动作，推动C3及协同产线预算目标达成
3、OKR过程管理，数据分析洞察转化为具体的销售制度与自动化工具优化</t>
  </si>
  <si>
    <t>1、joydata订阅C3数据周报，并通过AI 自动分析周报内容；
2、joydata在京me智能问数
3、AI生成战报海报素材
4、万能博士、豆包、千问等工具用于思路提供、方案润色等"</t>
  </si>
  <si>
    <t>豆包,万能博士,千问</t>
  </si>
  <si>
    <t>销售拓展部</t>
  </si>
  <si>
    <t>销售提升组</t>
  </si>
  <si>
    <t>joydata</t>
  </si>
  <si>
    <t>bilusong.1@jd.com</t>
  </si>
  <si>
    <t>libailu.1</t>
  </si>
  <si>
    <t>李白璐（离职）</t>
  </si>
  <si>
    <t>审计岗</t>
  </si>
  <si>
    <t>审计部</t>
  </si>
  <si>
    <t>京东集团-京东科技-金融科技事业群-消金公司-审计部</t>
  </si>
  <si>
    <t>libailu.1@jd.com</t>
  </si>
  <si>
    <t>wuxingyu.eric</t>
  </si>
  <si>
    <t>吴星谕</t>
  </si>
  <si>
    <t>1、权益类资产配置模型策略研究及代码编写；
2、FOF基金组合测算及绩效跟踪模型搭建及代码编写；
3、投研报告研究与撰写。</t>
  </si>
  <si>
    <t>openclaw：coze平台部署，通过深度研究等skill进行投研报告的信息收集和框架建立，日频使用；
joycode：进行内部数据相关项目的代码编写辅助，日频使用；
codex：进行公开数据相关项目的代码编写辅助，日频使用。</t>
  </si>
  <si>
    <t>wuxingyu.eric@jd.com</t>
  </si>
  <si>
    <t>wangdanni16</t>
  </si>
  <si>
    <t>王丹妮</t>
  </si>
  <si>
    <t>线上线下客户活动、生态活动、业务品牌相关输出</t>
  </si>
  <si>
    <t>deepseek：外部参考信息整理与分析；kimi：长文本资料提炼整理</t>
  </si>
  <si>
    <t>wangdanni16@jd.com</t>
  </si>
  <si>
    <t>deepseek,chatgpt,剪映</t>
  </si>
  <si>
    <t>爱图表</t>
  </si>
  <si>
    <t>liuling.212</t>
  </si>
  <si>
    <t>刘翎</t>
  </si>
  <si>
    <t>1.完成审计项目，例如新业务合规检查，历史费用检查、薪酬管理、资本管理、操作风险管理、全面风险管理、关联交易等审计项目，梳理发现问题清单，收集整改优化方案，形成审计报告。
2.跟踪消金公司产品部、财务部、业务运营部、消保部、销售拓展部等部门审计发现整改情况。
3.依据管理层要求出具管理建议书：客户信息管理建议书。
4.根据监管发文要求，完成相应领域的评估及自检自查项目，如数据安全提升专项。
5.其他日常工作流程，如内部制度建设重检，董事会及审计委员会议案准备，依据业务部门需求提供相应的建议，配合公司其他部门准备涉及审计部的汇报材料等，协助团队负责人完成审计部定期汇报报告工作。</t>
  </si>
  <si>
    <t xml:space="preserve">使用万能博士、豆包、deepseek等工具查询行业相关的业务知识、行业实践及资讯等，通过对话问询，日常工作中根据需要使用。
使用慧记，协助对于访谈录音转文字及会议纪要梳理。
未来希望可以实现流程优化：
1. 审计发现整改流程自动化，包含提醒，审批等均线上化；
2. 审计项目全周期管理系统化：包含审计方案的生成，访谈清单，需求材料整理存档，审计发现清单管理，审计报告生成等，达成效果提升的目标；
3. 收集汇总各个渠道的公司层面问题，例如监管、外部审计、内部审计、内控合规审查、业务部门自查等，形成风险矩阵，协助发现公司问题多发的流程，有针对性的开展更加细化的审计或咨询项目;
4.对于在数仓中进行数据分析：AI辅助生成取数分析脚本等。
</t>
  </si>
  <si>
    <t>审计追踪</t>
  </si>
  <si>
    <t>liuling.212@jd.com</t>
  </si>
  <si>
    <t>jstt1</t>
  </si>
  <si>
    <t>田甜</t>
  </si>
  <si>
    <t>负责“应收应付管理体系”虚拟专项中“制度规范”与“风险管控”子项的进度跟踪管理。工作涵盖制度文件的收集梳理、动态迭代更新，以及核心指标的全面拆解分析与指标库体系搭建，旨在构建标准化、可量化的运营管理闭环。</t>
  </si>
  <si>
    <t>万能博士2.0：文案优化、风险管控规范的思路拟定、框架方法论学习，以及日常问题咨询。每天使用</t>
  </si>
  <si>
    <t>sqtiantian1@jd.com</t>
  </si>
  <si>
    <t>renyang7</t>
  </si>
  <si>
    <t>REN YANG</t>
  </si>
  <si>
    <t>权益产品推动、培训课件、对客沙龙路演、APP直播</t>
  </si>
  <si>
    <t>deepseek、豆包：信息查询，政策新闻汇总、课件框架设计优化</t>
  </si>
  <si>
    <t>renyang7@jd.com</t>
  </si>
  <si>
    <t>zhangzhixia11</t>
  </si>
  <si>
    <t>张志霞</t>
  </si>
  <si>
    <t>1、牵头机构部AI建设；
2、负责区域行绑卡攻坚专项、支付营销业务销售管理；
3、负责支付营销等业务应收管理；
4、负责银行运营、银联运营。</t>
  </si>
  <si>
    <t>1、聚声AI：全网碎片化信息汇聚成可决策声音，每日；
2、joydesk，方案优化；
3、支付营销agent，用于支付营销业务全链路自动生成营销复盘报告、输出营销策略，不定时。</t>
  </si>
  <si>
    <t>zhangzhixia1@jd.com</t>
  </si>
  <si>
    <t>投诉处理</t>
  </si>
  <si>
    <t xml:space="preserve">1、主导AI外呼项目：负责AI外呼项目的全流程策略运营，与言犀团队协作，通过AI外呼触达目标用户，引导用户添加理财师企微，提升理财师客户覆盖率与转化效率。具体职责：
• 人群策略制定：基于数据洞察定义目标外呼人群，包括权益敏感用户、近期有搜索/加自选行为用户、高频浏览基金用户等，进行人群分层与策略配置下发。
• 话术设计与调优：设计适配财富场景的外呼话术，覆盖开场、产介、挽留等关键节点，并内嵌带操作引导环节。根据测试数据（接通率、15秒挂断率、加微率等）持续迭代优化话术。
• 权益策略落地：对齐可用权益资源，设计权益包方案并搭建配置落地页，确保外呼触达后用户可直接跳转领取，实现完整转化链路。
• 系统对接与链路保障：与言犀团队完成话术系统对接、录音配置上线，负责排查外呼全链路各环节问题（呼叫接通、话术播放、页面跳转、加微引导等）并制定应对措施。
• AB测试与数据复盘：设计并执行话术、音色、权益等多维度的AB测试，通过数据复盘分析各组效果差异，持续驱动策略迭代。
2、陪伴服务项目——AI私域化：负责陪伴服务项目的人群策略与场景落地支持，通过AI私域化的方式实现对用户关键财富场景的实时捕捉与主动服务触达。
具体职责：
• 场景梳理与链路设计：确定各类承接场景（如小金库大额充值机会、公私募开放期到期承接、私募赎回提交承接等）及对应的实现链路，明确每个场景的触发条件、触达方式和转化目标。
• 人群圈选配置：根据各场景需求圈选目标人群，配置人群策略并下发，为场景落地提供人群基础。
• 项目复盘：定期对陪伴服务各阶段的运营数据进行复盘，评估各场景的触达效果与转化情况，输出优化方向。
3、高客画像分析：负责高端理财部的用户画像分析与触达策略数据支撑，通过多维度标签体系识别高客特征，为潜客识别模型、理财师触达策略和产品推荐逻辑提供数据依据。具体职责：
• 用户画像分析：基于多维度标签（基础属性、财富属性、保险与消金属性等）对高客与大盘用户进行系统性对比分析，通过占比差异倍数与TGI双重验证，提炼核心识别因子体系，输出可落地的经营策略建议。
• 触达漏斗分析：对高持仓用户的理财师触达数据进行全链路漏斗分析（覆盖→触达→转化），定位各环节流失原因与效率瓶颈，识别不同触达路径（企微/外呼）的差异，为触达策略优化提供数据支撑。
4、数据需求承接及数据分析：负责多项目、多业务线的数据开发、数据支持与数据盘点工作，覆盖数仓代码开发、报表搭建、业务数据支持等方面。
具体职责：
• IM业绩归因：负责IM业绩归因的数仓代码开发，设计多种归因口径，与产品赋能组、京小贝团队对齐AI分身归因逻辑；同步为数字人分身项目提供复盘数据，支撑经分对高端理财部AI应用现状的盘点与汇报。
• IM聊天记录数据对接：完成IM聊天记录数据对接，对表结构进行字段新增与修改（如补充团队长等角色字段），支撑研发实现不同角色的IM聊天记录接入京音理财师工作台。
• 平衡计分卡与结算数据：负责理财师平衡计分卡的搭建与修改，以及黄金管家等业务线的季度结算数据产出，与销支对齐确认。
• 业务数据支持：为IM、AI分身、经分等多方提供周报数据、复盘数据等日常数据支持；排查理财师平卡等业务数据问题，响应销支和大区总的数据需求。
• 策略人群输出：根据业务策略需求输出对应的策略人群（如黄金策略人群等），为业务线的精准触达与策略落地提供人群基础。
5、人群策略生成及用户下发分配：负责理财师客户线索分发与管户分配工作，保障理财师团队的客户覆盖与业务运转。
具体职责：紧急响应理财师离职、调岗等场景下的客户转移分配需求，确保客户服务不断档，探索更合理的分配机制以提升理财师产能与客户覆盖效率。
</t>
  </si>
  <si>
    <t>deep seek：主要用于AI外呼过程中话术设计；需要修改话术时使用；
relay ai：主要用于原型图设计
万能博士：主要用于SQL编写优化、数据处理脚本、代码调试；用户画像数据总结；策略方案设计。每日都在使用</t>
  </si>
  <si>
    <t>lihaimei11@jd.com</t>
  </si>
  <si>
    <t>claude，deepseek</t>
  </si>
  <si>
    <t>claude，joyagent，万能博士</t>
  </si>
  <si>
    <t>画像分析/商业分析</t>
  </si>
  <si>
    <t>kanpeng.5</t>
  </si>
  <si>
    <t>阚鹏</t>
  </si>
  <si>
    <t>对存在风险瑕疵的企业主客户在贷前或贷中进行下户尽调，通过与客户问询、现场实际勘察收集客户基本情况、企业经营信息（财报、收入成本、上下游关系、经营流水）识别并判断客户潜在风险，将资料与风险判断结论输出给风险人审团队以提供更多风险判断依据。目前负责苏州区域客户的下户尽调。</t>
  </si>
  <si>
    <t>1、下户前：根据客户公司名和营业执照经营范围了解客户的行政处罚、经营异常等信息，通过豆包等app了解行业一般经营模式和常见风险情况。
2、下户过程中：现场沟通录音时使用ai转文字，快速准确提取客户口述的经营相关信息，进行简单交叉验证。
3、下户后：通过有流水分析功能的工具，将客户提供的经营流水整理出频繁交易对手、大额交易对手、午夜大额支出等，自动整理出客户的经营进账，标识疑似刷流水收入。</t>
  </si>
  <si>
    <t>kanpeng.5@jd.com</t>
  </si>
  <si>
    <t>江苏省-苏州市</t>
  </si>
  <si>
    <t>京东苏州中海财富中心职场</t>
  </si>
  <si>
    <t>1、负责大固收类资产研判及产品研究（覆盖债基、货基、固收类投顾等）；详细包括：1）资产研判，涉及每日早会、投委会、周度及月度各项内容报告输出；2）选品推品，涉及选品标准构建，产品定量及定性调研，品池的出入池、以及中心化&amp;各业务细分场景的推品。
2、C端及机构类业务定向投研支持：基于业务发展目标，为个人基金、投顾、机构理财等业务线提供定向支持，通过研究输出及路演响应客户个性化及专项化需求。
3、财富基建类项目：协作参与财富KYC&amp;KYP、资配专项的搭建，协同组内整体资源，向业务侧输出know-how
4、投研专题研究类工作：基于市场敏锐度，负责专题报告研究及撰写工作，为业务线布局提供参考。</t>
  </si>
  <si>
    <t>1、日常资产研判辅助：日频豆包，每日进行市场热点及关键边际信息跟踪及预警，并跟踪总结市场主流卖方研报。
2、专题研究类报告生产：周频kimi，基于研究目标及框架，由AI进行指定信息来源的内容收集。
3、选品辅助：周频wind，利用AI进行数据初筛、舆情信息排查，减少人工重复性筛选</t>
  </si>
  <si>
    <t>豆包、kimi、windalice</t>
  </si>
  <si>
    <t>lijia77@jd.com</t>
  </si>
  <si>
    <t>wangjiaying32</t>
  </si>
  <si>
    <t>王佳颖</t>
  </si>
  <si>
    <t>银行及非银行贵金属业务商务工作</t>
  </si>
  <si>
    <t>商务合同条款的修改会参考智多星</t>
  </si>
  <si>
    <t>智多星</t>
  </si>
  <si>
    <t>业务支持岗</t>
  </si>
  <si>
    <t>资金与智能产品部</t>
  </si>
  <si>
    <t>京东集团-京东科技-金融科技事业群-财富管理业务部-资金与智能产品部</t>
  </si>
  <si>
    <t>wangjiaying32@jd.com</t>
  </si>
  <si>
    <t>wuruixuan.6</t>
  </si>
  <si>
    <t>武睿璇</t>
  </si>
  <si>
    <t xml:space="preserve">1.开展个人信息保护审计项目，配合信用风险管理及消保项目中涉及个人信息保护相关内容。
2.跟踪消金公司信息科技部涉及的审计发现整改情况。
3.配合信息科技部完成数据安全提升监管专项迎检准备。
</t>
  </si>
  <si>
    <t>wuruixuan.6@jd.com</t>
  </si>
  <si>
    <t>gaoaoqi1</t>
  </si>
  <si>
    <t>高奥琦</t>
  </si>
  <si>
    <t>企业主贷和线下金融运营事宜，产品运营、京小推运营、渠道管理、数据基建、数据分析、各部门协同、项目推进等</t>
  </si>
  <si>
    <t>AI应用：文案编辑、海报制作、SQL优化
工具：DesignSpark、Joydesk、万能博士
场景：渠道微信群沟通宣传文案、白话转化法言法语、大额喜报和排名海报制作、取数SQL格式规范和简单逻辑撰写、数据分析提取关键数据
频率：4/天</t>
  </si>
  <si>
    <t>DesignSpark</t>
  </si>
  <si>
    <t>gaoaoqi1@jd.com</t>
  </si>
  <si>
    <t>Joydesk,万能博士</t>
  </si>
  <si>
    <t>dengyan66</t>
  </si>
  <si>
    <t>邓妍</t>
  </si>
  <si>
    <t>业务推动、营销活动文案、图文设计，
订单业绩佣金核对、下发
潜在客诉声音动态识别监测
销售数据分析仪表盘以及文字输出
销售业务咨询问答</t>
  </si>
  <si>
    <t>deepseek&amp;豆包：热点查询、文案输出。
万能博士用于内部数据分析
销售运营机器人，可直接处理销售业务咨询问答以及针对性工具类文档推送</t>
  </si>
  <si>
    <t>万能博士、豆包、Deepseek</t>
  </si>
  <si>
    <t>dengyan66@jd.com</t>
  </si>
  <si>
    <t>多维表格</t>
  </si>
  <si>
    <t>guoxianmeng1</t>
  </si>
  <si>
    <t>郭现孟</t>
  </si>
  <si>
    <t>1、权益资产研判及专题深度研究：输出权益资产策略观点，并对针对重大宏观事件、长期产业趋势、市场核心矛盾进行深度研究，形成可操作的策略报告。
2、选品及推品：权益类产品进行尽职调查，分析其投资策略、风格、业绩归因及经理稳定性，为产品引进与配置提供依据，及各细分场景推品。
3、投研输出与路演：将研究成果转化为客户受众高的市场策略观点、配置建议，并向机构客户、前线投资顾问与高净值客户进行路演解读</t>
  </si>
  <si>
    <t>1、豆包：自动抓取、汇总与摘要关于特定公司、行业的全网舆情、研报核心结论、新闻要点。
2、wind alice:  策略预警及报告初步生产，周六日常规投研数据分析报告用alice生产；股票市场情绪监测，强势板块监测用wind写成skill调取其准确的内部数据。3、扣子：利用扣子的工作流模式，将市场重要机构的文章、视频进行自动解析，并整理成线上投研路演资料库，并自动生成初级路演内容，供机构客户服务面客使用。</t>
  </si>
  <si>
    <t>豆包、windalice</t>
  </si>
  <si>
    <t>guoxianmeng1@jd.com</t>
  </si>
  <si>
    <t>windalice</t>
  </si>
  <si>
    <t>coze</t>
  </si>
  <si>
    <r>
      <rPr>
        <b/>
        <sz val="12"/>
        <color rgb="FF000000"/>
        <rFont val="京东朗正体 1.0 玲珑"/>
        <charset val="134"/>
      </rPr>
      <t>数据基建类工作（单次复杂项目，AI助力空间小）：</t>
    </r>
    <r>
      <rPr>
        <sz val="12"/>
        <color rgb="FF000000"/>
        <rFont val="京东朗正体 1.0 玲珑"/>
        <charset val="134"/>
      </rPr>
      <t xml:space="preserve">结合多个技术栈的综合类数据建设，如金科群客商大盘建设，通过模型设计、大数据平台调度、rpa、BI等多个技术栈组合，构建出可支持指标建设、交叉分析以及运营各类专项追踪的大盘循环生态，可用于金科全域视角下，合作客商规模、运营承接规模，账单线上化程度、合同获取与执行情况、客商跨主体跨货架合作情况探查，并支持运营手工信息补录与追踪。
</t>
    </r>
    <r>
      <rPr>
        <b/>
        <sz val="12"/>
        <color rgb="FF000000"/>
        <rFont val="京东朗正体 1.0 玲珑"/>
        <charset val="134"/>
      </rPr>
      <t>账单线上化（长期但非标准化、非重复工作，AI助力空间小）</t>
    </r>
    <r>
      <rPr>
        <sz val="12"/>
        <color rgb="FF000000"/>
        <rFont val="京东朗正体 1.0 玲珑"/>
        <charset val="134"/>
      </rPr>
      <t xml:space="preserve">：根据不同的业务、客商、计费规则、选取不同的数据源、设计不同的模型，并根据客户不同的账单呈现诉求，选用不同的可视化方案做账单线上化工作，该工作本质上就是对运营部分手工任务的取代。
</t>
    </r>
    <r>
      <rPr>
        <b/>
        <sz val="12"/>
        <color rgb="FF000000"/>
        <rFont val="京东朗正体 1.0 玲珑"/>
        <charset val="134"/>
      </rPr>
      <t>数据分析类工作（AI助力空间大）：</t>
    </r>
    <r>
      <rPr>
        <sz val="12"/>
        <color rgb="FF000000"/>
        <rFont val="京东朗正体 1.0 玲珑"/>
        <charset val="134"/>
      </rPr>
      <t>数据分析，要基于完备的数据基建之上进行，目前涉及较少，后续此类工作占比会增多。</t>
    </r>
  </si>
  <si>
    <r>
      <rPr>
        <sz val="12"/>
        <rFont val="京东朗正体 1.0 玲珑"/>
        <charset val="134"/>
      </rPr>
      <t>外部：</t>
    </r>
    <r>
      <rPr>
        <sz val="12"/>
        <color rgb="FF000000"/>
        <rFont val="京东朗正体 1.0 玲珑"/>
        <charset val="134"/>
      </rPr>
      <t xml:space="preserve">主要用千文，尤其在日常学习中，针对晦涩概念，在千问寻求形象的解释，辅助自己消化知识，当然，在针对不同类型问题时会切换不同大模型。
</t>
    </r>
    <r>
      <rPr>
        <b/>
        <sz val="12"/>
        <color rgb="FF000000"/>
        <rFont val="京东朗正体 1.0 玲珑"/>
        <charset val="134"/>
      </rPr>
      <t>内部：</t>
    </r>
    <r>
      <rPr>
        <sz val="12"/>
        <color rgb="FF000000"/>
        <rFont val="京东朗正体 1.0 玲珑"/>
        <charset val="134"/>
      </rPr>
      <t xml:space="preserve">
</t>
    </r>
    <r>
      <rPr>
        <b/>
        <sz val="12"/>
        <color rgb="FF000000"/>
        <rFont val="京东朗正体 1.0 玲珑"/>
        <charset val="134"/>
      </rPr>
      <t>①数据开发类：</t>
    </r>
    <r>
      <rPr>
        <sz val="12"/>
        <color rgb="FF000000"/>
        <rFont val="京东朗正体 1.0 玲珑"/>
        <charset val="134"/>
      </rPr>
      <t xml:space="preserve">集团大数据平台AI助手Copilot，可进行代码纠错、改写、注释、快捷找表、产品问答等功能，26年3月底又上线了任务诊断能力，对数据开发也有所助益；
</t>
    </r>
    <r>
      <rPr>
        <b/>
        <sz val="12"/>
        <color rgb="FF000000"/>
        <rFont val="京东朗正体 1.0 玲珑"/>
        <charset val="134"/>
      </rPr>
      <t>②数据分析类：</t>
    </r>
    <r>
      <rPr>
        <sz val="12"/>
        <color rgb="FF000000"/>
        <rFont val="京东朗正体 1.0 玲珑"/>
        <charset val="134"/>
      </rPr>
      <t>BI自带的AI智能数据报告，可以在看板内指定对一个或多个图表进行AI智能分析，并形成报告，目前只是尝试，未大规模使用。</t>
    </r>
  </si>
  <si>
    <t>DP Copilot,千问</t>
  </si>
  <si>
    <t>wangyubao6@jd.com</t>
  </si>
  <si>
    <t>千问</t>
  </si>
  <si>
    <t>数据相关：
部门各业务线底层数据基建（数据底表开发）、业务数据看板搭建、数据洞察与分析工作，基于数据提供业务发展支持与决策。
产品运营：
①小微O2O业务运营：新员工业务培训、定期考试以提升一线尽调员展业能力、优化产品需求&amp;新功能对接、产线&amp;风险日常工单交互。
②监管平台运营：CRM系统交付确认与预算拆分、生物资产信息系统录入、服务商巡检任务下发、告警信息走查与月度报告总结。</t>
  </si>
  <si>
    <t>1、数据层面：
1）针对报错、执行效率较慢的代码，使用ai排查问题或提升代码执行效率。
2）数据查询：搭建京益融数据员工小助手，进行业务简单数据的查询。
3）数据分析：使用看板平台（极光、Easybi）内置ai功能，进行简单数据分析与解读。
2、产品运营层面：
1）试题出具：使用ai针对考察内容生成客户案例（根据答案出对应考题）。
2）宣传文案、会议纪要等对外输出语言的文字表达优化。
3）问题解答：若遇到不懂的行业问题或名称解释借助ai快速了解。
3、使用工具：Deepseek、JoyAgent。</t>
  </si>
  <si>
    <t>wumochen1@jd.com</t>
  </si>
  <si>
    <t>智能小伊,Joydata</t>
  </si>
  <si>
    <t>Joydesk</t>
  </si>
  <si>
    <t>zhuyue35</t>
  </si>
  <si>
    <t>朱玥</t>
  </si>
  <si>
    <t>1、经营分析，通过人效提升、业务洞察及预警、产品/行业趋势分析，寻找业务增长点，提供销售及产品knowhow，带动业绩增长
2、销售管理，通过持续迭代内外部协同机制，预算管理及考核体系，完善管理制度，高效落地重点专项，客户贷后管理，客户管理，提升运营效率及集团资源联动能力
3、能力提升，通过迭代升级培训工具，结合销售能力模型精准评估，针对新人、成熟销售，组织分层分类精细化培训与检验
4、工具建设，通过引入AI智能体分析工具，智能化销售工具和销售管理工具，提升部门底层基建能力</t>
  </si>
  <si>
    <t>1、joydata在京me智能问数
2、joyagent自建销售问答工具使用
3、万能博士、豆包、千问等工具用于思路提供、方案润色等</t>
  </si>
  <si>
    <t>销售运营岗(团队负责人)</t>
  </si>
  <si>
    <t>liyanqiu25@jd.com</t>
  </si>
  <si>
    <t>1、【公司治理】：负责公司股东会及董事会及其下属各类专业委员会的日常运作及重大决议事项的督办、反馈、战略支持等工作，保证各治理主体严格按照章程规范运作；
2、【投资者关系】：加强股东/董事关系，争取100%支持；
3、【股权管理】：牵头公司治理有关法定报告与文件以及相关监管报送、政府报送工作；
4、【信息披露】：统筹信息披露工作；
5、【监管及政府专项沟通】:与GR形成合力，顺滑监管/监管关系，支持监管/政府专项沟通，助力后续业务开展；
6、【制度流程】:牵头拟定公司章程、公司治理制度和相关操作细则，以及相关的必要的股权管理系统；
7、【行业研究及朋友圈建立】: 加强行业研究，拓展行业朋友圈以及天津市金融机构朋友圈，逐步建立横向影响力；
8、【资本运作】：结合公司治理顶层设计及业务规划，支持资本运作方案，与股东/潜在投资者达成一致，并最大程度争取政府及监管支持。</t>
  </si>
  <si>
    <t>1、万能博士：查询内外部同业信息和监管规定，进行收集分析比对，查询精准度待提升，常需要在其初步分析基础上进行调整。此外经常使用万能博士对文本和报告，尤其是对政府输出的报告，进行精炼和润色；
2、Joyagent/公司治理Agent：25年自研，查询天津局发送的监管规定，输出判断依据及分析相关风险点；
3、豆包/deepseek：查询外部信息科普类。</t>
  </si>
  <si>
    <t>万能博士,Joyagent,公司治理Agent,豆包,deepseek</t>
  </si>
  <si>
    <t>公司治理岗(团队负责人)</t>
  </si>
  <si>
    <t>yanyu5@jd.com</t>
  </si>
  <si>
    <t>liuang3</t>
  </si>
  <si>
    <t>刘昂</t>
  </si>
  <si>
    <t>1、销售工具建设，通过销售工具调优，AI工具应用，提升销售管理过程的效率
2、贷后与合规管理，通过机制流程、效率工具，联动产运风险提升协同效率
3、BP销线项目数据分析，支持销线数据分析效率</t>
  </si>
  <si>
    <t>1、内外部工具：joyai/豆包/千问用于素材文案润色、思路提供
2、CRM-AI智多星智能填写跟进记录、语音录入、客户商机信息洞察等
3、joyagent自建销售问答工具
4、CRM合同在线评审AI评审</t>
  </si>
  <si>
    <t>joyai,豆包,千问,CRM-AI智多星</t>
  </si>
  <si>
    <t>liuang1@jd.com</t>
  </si>
  <si>
    <t>合规检查</t>
  </si>
  <si>
    <t>pengzijie1</t>
  </si>
  <si>
    <t>彭耔杰</t>
  </si>
  <si>
    <t>1、销拓数据BI看板门户建设；
2、销售拓展部数据底表建设；
3、承接部门销售或销管数据需求</t>
  </si>
  <si>
    <t>1、joydata订阅C3数据周报，并通过AI 自动分析周报内容；
2、joydata在京me智能问数</t>
  </si>
  <si>
    <t>pengzijie1@jd.com</t>
  </si>
  <si>
    <t>yangxinyu.132</t>
  </si>
  <si>
    <t>杨新宇</t>
  </si>
  <si>
    <t>负责制定年度及季度考核政策，设计销售激励方案并执行薪资核算。承担业绩目标拆解、渠道政策管理及季度/年度业绩复盘，确保组织目标达成。同时开展多维度业务数据分析，包括余款波动监测、业绩预测及绩效追踪，维护销售业绩看板并推进自动化建设，用数据驱动业务决策</t>
  </si>
  <si>
    <t>①豆包为主，梳理分析思路及分析方法论学习-每天使用
②chat gtp，常用于数据代码撰写和修改-每天使用</t>
  </si>
  <si>
    <t>gtp</t>
  </si>
  <si>
    <t>企业金融业务部</t>
  </si>
  <si>
    <t>经营提升组</t>
  </si>
  <si>
    <t>yangxinyu.132@jd.com</t>
  </si>
  <si>
    <t>mawanrong3</t>
  </si>
  <si>
    <t>马万荣</t>
  </si>
  <si>
    <t>图文设计、质检推广文案</t>
  </si>
  <si>
    <t>Aichat&amp;deepseek：润色文案内容
豆包：图片设计</t>
  </si>
  <si>
    <t>知识管理</t>
  </si>
  <si>
    <t>万能博士、Deepseek</t>
  </si>
  <si>
    <t>服务质量改善岗</t>
  </si>
  <si>
    <t>mawanrong3@jd.com</t>
  </si>
  <si>
    <t>风险处置</t>
  </si>
  <si>
    <t>文件润色</t>
  </si>
  <si>
    <t>zhaofeng35</t>
  </si>
  <si>
    <t>赵丰</t>
  </si>
  <si>
    <t>业务考核制度与管理规范
业务数据（平卡&amp;投产比等）的制作与分析</t>
  </si>
  <si>
    <t>deepseek&amp;豆包：主要用于管理规范框架与内容优化。
万能博士：优化excel计算公式，内部经营数据分析。</t>
  </si>
  <si>
    <t>zhaofeng5@jd.com</t>
  </si>
  <si>
    <t>xiaoli83</t>
  </si>
  <si>
    <t>肖立</t>
  </si>
  <si>
    <t>对存在风险瑕疵的企业主客户在贷前或贷中进行下户尽调，通过与客户问询、现场实际勘察收集客户基本情况、企业经营信息（财报、收入成本、上下游关系、经营流水）识别并判断客户潜在风险，将资料与风险判断结论输出给风险人审团队以提供更多风险判断依据。目前负责长沙区域客户的下户尽调。</t>
  </si>
  <si>
    <t>1、AI规划客户尽调拜访的路线。
2、录音这一块的识别和整理。
3、客户提供的近一年的经营流水，让AI去识别。</t>
  </si>
  <si>
    <t>xiaoli83@jd.com</t>
  </si>
  <si>
    <t>湖南省-长沙市</t>
  </si>
  <si>
    <t>京东长沙银华大厦职场</t>
  </si>
  <si>
    <t>liyong427</t>
  </si>
  <si>
    <t>李勇</t>
  </si>
  <si>
    <t>deepseek,豆包</t>
  </si>
  <si>
    <t>liyong21@jd.com</t>
  </si>
  <si>
    <t>deepseek,豆包,慧记</t>
  </si>
  <si>
    <t>yanglingshuang.lynn</t>
  </si>
  <si>
    <t>杨翎爽</t>
  </si>
  <si>
    <t>对存在风险瑕疵的企业主客户在贷前或贷中进行下户尽调，通过与客户问询、现场实际勘察收集客户基本情况、企业经营信息（财报、收入成本、上下游关系、经营流水）识别并判断客户潜在风险，将资料与风险判断结论输出给风险人审团队以提供更多风险判断依据。目前负责北京区域客户的下户尽调。</t>
  </si>
  <si>
    <t>1、工作中使用wps自带的ai比较多，用于分析流水情况；
2、生活中豆包较多，日常问题搜索</t>
  </si>
  <si>
    <t>豆包,WPS灵犀</t>
  </si>
  <si>
    <t>yanglingshuang.lynn@jd.com</t>
  </si>
  <si>
    <t>hongshanshan3</t>
  </si>
  <si>
    <t>洪姗姗</t>
  </si>
  <si>
    <t>1、人效分析：基于业务调研与数据洞察，产出人效提升解决方案，推动人效提升；
2、经营分析：牵头部门季度、月度会材料等汇报材料编写；
3、工业金采Pro项目管理：</t>
  </si>
  <si>
    <t>1、joydata订阅骨肉相连数据周报，并通过AI 自动分析周报内容；
2、豆包、deepseek用于汇报方案润色、错别字语病检查；
3、deepseek 取数逻辑调优；</t>
  </si>
  <si>
    <t>hongshanshan3@jd.com</t>
  </si>
  <si>
    <t>sunyi.72</t>
  </si>
  <si>
    <t>孙沂</t>
  </si>
  <si>
    <t xml:space="preserve">1. 制定年度审计计划，计划经批准后根据审计计划开展各类经营审计、信息科技审计、流程审计、合规审计及专项审计；
2. 监督、检查公司各部门内控制度的建立和执行，评价各部门经营活动的合规性和风险控制水平；
3. 根据监管以及管理层要求，定期更新审计计划，确保审计涵盖的范围以及审计项目的开展符合监管规定以及管理层的关注点；
4. 定期向董事会及审计委员会报告并向其提供包括审计建议在内的审计报告；
5. 随时保持与高级管理层以及各部门沟通，跟进审计报告提及的改善措施整改情况；
6. 定期开展内部审计质量自评估，规范审计行为，明确审计责任，确保内部审计质量符合内部审计准则以及监管规定的要求；
7. 结合审计中发现的问题和线索进行分析，形成内部管理建议书，为各部门防范风险提供有针对性的咨询服务；
8. 完成包含离任审计在内的其他审计任务。
</t>
  </si>
  <si>
    <t>审计岗(团队负责人)</t>
  </si>
  <si>
    <t>sunyi.72@jd.com</t>
  </si>
  <si>
    <t>zhengweiquan.3</t>
  </si>
  <si>
    <t>郑洧权</t>
  </si>
  <si>
    <t>对存在风险瑕疵的企业主客户在贷前或贷中进行下户尽调，通过与客户问询、现场实际勘察收集客户基本情况、企业经营信息（财报、收入成本、上下游关系、经营流水）识别并判断客户潜在风险，将资料与风险判断结论输出给风险人审团队以提供更多风险判断依据。目前负责深圳区域客户的下户尽调。</t>
  </si>
  <si>
    <t>1、录音转文字（但是匹配度不高）
2、数据报表的分析比如银行流水、企业经营情况分析
3、陌生行业的分析（现在的ai工具也比较表面）</t>
  </si>
  <si>
    <t>zhengweiquan.3@jd.com</t>
  </si>
  <si>
    <t>广东省-深圳市</t>
  </si>
  <si>
    <t>京东深圳卓越大厦职场</t>
  </si>
  <si>
    <t>zhangquan66</t>
  </si>
  <si>
    <t>张泉</t>
  </si>
  <si>
    <t>1、负责机构部应收统筹管理，应收看板建设；
2、负责金融机构客商数据看板搭建及客商评价体系建设；
3、负责经提组周会组织、SOP运维；
4、负责机构部聚声AI精准度提升；
5、负责机构部内跨BGBU项目交叉协同项目管理。</t>
  </si>
  <si>
    <t>1、聚声AI：全网碎片化信息汇聚成可决策声音，每日；
2、joydesk，方案优化；</t>
  </si>
  <si>
    <t>zhangquan66@jd.com</t>
  </si>
  <si>
    <t>zhangjiayi8</t>
  </si>
  <si>
    <t>张稼一</t>
  </si>
  <si>
    <t xml:space="preserve">1，财富管理部所有直播节目的制作与运营。
2、追踪国内国际经济形势，为节目内容制作提供素材。
3、根据需求撰写投资研究报告
</t>
  </si>
  <si>
    <t>日常节目文稿制作。国内外经济数据收集与初步整理。openclwaw，豆包、元宝</t>
  </si>
  <si>
    <t>视频制作</t>
  </si>
  <si>
    <t>豆包、openclaw</t>
  </si>
  <si>
    <t>zhangjiayi3@jd.com</t>
  </si>
  <si>
    <t>xuemingxin</t>
  </si>
  <si>
    <t>薛明鑫</t>
  </si>
  <si>
    <t>1、统筹金科制度、B端风险复盘、渠道全链路管理，保障业务合规、流程高效、风险可控。
1）制度管理机制：每半年组织一次制度清单全面复盘，发起“立改废”并同步系统校准。根据集团新发制度，牵头制定金科具体细则，协同C2部门完成宣导、培训与执行检查。
2）B端大额风险复盘机制：建立并迭代大额风险复盘SOP，明确触发条件、资料清单及整改闭环要求。全程跟进资料收集、访谈与整改验证，形成结案报告并沉淀案例库。
3）渠道全生命周期治理机制：联合运营、财务梳理渠道现状与业财关联，通过穿行测试识别合同、审批及运营风险，推动整改与流程标准化。推动全量渠道上线系统，实现准入、签约、续签及业财数据自动同步的闭环管理。
4）电销内控管理机制：梳理电销全链路流程图，标注各环节控制点，按月/季度组织风险盘查。针对发现问题联合业务制定整改措施，推动关键规范固化并纳入考核。
2、负责综合运营部事务管理，包含人员管理、费用管控及会议管理等，保障部门高效有序运转。</t>
  </si>
  <si>
    <t>JoyDesk/deepseek：制度拟定思路、方案优化、实时问题解答。使用频次：每天使用1小时</t>
  </si>
  <si>
    <t>xuemingxin@jd.com</t>
  </si>
  <si>
    <t>制度审查</t>
  </si>
  <si>
    <t>1、销售预算设定及业绩考核、季度考核方案制定、季度激励活动方案设计
2、部门重点专项项目管理，V300、销售100分、跨BGBU骨肉相连、问鼎A计划协同
3、产线协同，对接产线，跟进项目周会，拉通项目进度，对接销线，搭建业绩数据看板
4、部门体系化建设，包括各项SOP梳理更新，推动业务流程管理标准化、体系化</t>
  </si>
  <si>
    <t>1、使用豆包/万能博士，提供方案设计思路和文案润色
2、汇报材料使用豆包生成流程框架图
3、C3团队周报看板，通过AI自动分析周报内容</t>
  </si>
  <si>
    <t>tianxiaowei12@jd.com</t>
  </si>
  <si>
    <t>wangyanqiu25</t>
  </si>
  <si>
    <t>王燕秋</t>
  </si>
  <si>
    <t>离职</t>
  </si>
  <si>
    <t>wangyanqiu25@jd.com</t>
  </si>
  <si>
    <t>liuzhaofang</t>
  </si>
  <si>
    <t>刘兆芳</t>
  </si>
  <si>
    <t>一、资金与交易清算
1、日常类代销处理
肯特瑞代销业务清结算对接，新增TA及创新产品上线前资金交收类业务规则、系统环境、文件规则等确认，达到日常上线条件；新增公私募TA对接上下线（含深证通连通性测试、对接确认上线时间、各相关业务线及系统配置等）、深证通文件及消息类对接上下线；新增代销产品配置上线及存量上线产品日常参数变更维护；新增TA、产品、交收账户监管行对接维护；
2、清算差异、差错整改、代销类文件收发异常与管理人对接确认，重发后修改确认及内部各业务线变更终态确认，TA系统对账及异常清算与管理人对接确认直至数据修复，确保日常运营安全；
3、各业务线新增及已上线运营流程制定及维护
4、线下业务柜面处理：账户及交易类业务处理，如销户、转托管
5、创新业务需求对接及运营
二、资金划拨与风控
1、资金风险管控：根据代销业务发展及需求，增开及存量账户运营，加强各业务环节资金风险监控、监控资金头寸、可用资金，防范流动性及交收风险，通过应急管理及系统化完善，降低日常运营资金风险。
2、日常代销应收应付指令自动化运营、异常监控、应急交收及差错交收处理，监管户线下特批与监管行的对接处理
3、中登非担保交收资金划拨
4、账务类差异核对确认及处理
三、系统及交收监管合规改造需求对接及运营提效
根据监管要求代销清结算系统及交收类业务改造及运营、满足代销主体牌照要求，系统优化升级运营需求，提升自动化水平
四、财富应收逾期保全对接跟进，财富主体账户未达流水对接跟进清理</t>
  </si>
  <si>
    <t>识别基金公司发送的参数表（不限模板），根据配置需求提取配置要素，人工复核导入配置，每天使用，借助集团AI基础能力调试中。</t>
  </si>
  <si>
    <t>集团AI基础能力</t>
  </si>
  <si>
    <t>财务运营岗</t>
  </si>
  <si>
    <t>liuzhaofang@jd.com</t>
  </si>
  <si>
    <t>zhangxiaojuan11</t>
  </si>
  <si>
    <t>张晓娟</t>
  </si>
  <si>
    <t>开户、客户交易和申赎款到账实时通知</t>
  </si>
  <si>
    <t>RPA机器人</t>
  </si>
  <si>
    <t>zhangxiaojuan@jd.com</t>
  </si>
  <si>
    <t>cuiyunyun.6</t>
  </si>
  <si>
    <t>崔芸芸</t>
  </si>
  <si>
    <t>1. 【三会治理】：筹备和组织股东会、董事会和6个专门委员会相关会议；决议和相关意见落实监督闭环管理。
2. 【股权管理】：落实股权管理相关要求，包括股东信息和股权信息更新、股权托管等；维护股东关系，保持与股东日常沟通和反馈。
3. 【监管报送】：按时进行股权和两会一层监管平台信息上报及相关监管报告报表的报送。
4. 【关联方识别】：识别和维护公司关联方，更新关联方清单。
5. 【机制建设】：制订和完善公司治理相关工作细则。
6. 【工商登记】：基于行政许可批准和其它变更完成相应工商登记。</t>
  </si>
  <si>
    <t>1. 公司治理Agent：通过提问或输入指令生成答案，通过锻炼优化提升准确性。场景：法律法规条款查询、公司治理相关消息检索等。频率：经常
2. 豆包：对报告进行优化，对同业情况进行查询等。频率：经常
3. 万能博士：对报告进行优化，查询集团内部相关制度和流程要求等。频率：经常</t>
  </si>
  <si>
    <t>cuiyunyun.6@jd.com</t>
  </si>
  <si>
    <t>Joyagent</t>
  </si>
  <si>
    <t>wangshaoyan3</t>
  </si>
  <si>
    <t>王少岩</t>
  </si>
  <si>
    <t>1.制度审核：审核业务部门发布的制度，包括是否满足法规要求、是否符合公司要求、职责划分是否清晰、是否与公司现有流程冲突等。
2.报告编制：编制由内控合规部主导的报告
3.制度编写：编写由内控合规部主导的制度
4.业务咨询：为业务部门提供内控、合规方面的咨询服务</t>
  </si>
  <si>
    <t>1.使用工具：万能博士和JoyAgent
2.使用场景：查询法规、编写报告提纲、文档错别字检查等场景
3.使用频率：每天使用多次</t>
  </si>
  <si>
    <t>wangshaoyan3@jd.com</t>
  </si>
  <si>
    <t>yixiaolei</t>
  </si>
  <si>
    <t>易晓磊</t>
  </si>
  <si>
    <t>1.大类资产配置总体框架指引、策略设计、各类资产研判统筹，
2.整体牵头财富基建等专项投研侧设计、各类专项难题攻坚
3.自营私募FOF管理</t>
  </si>
  <si>
    <t>1、JoyCode代码生成，每日多次
2、wind alice提数及分析，每日多次
3、个人电脑OpenClaw 每日外部资讯汇总及推送、公开研报摘要汇总，每日多次</t>
  </si>
  <si>
    <t>yixiaolei@jd.com</t>
  </si>
  <si>
    <t>bjzhangzhiquan</t>
  </si>
  <si>
    <t>张智全</t>
  </si>
  <si>
    <t>1、群组经营专项（销售管理体系、业务合作体系、产品管理体系等）体系化框架搭建及进度跟踪，问题处理；
2、群组事务体系化建设，统筹建立群组及部门事务类工作清单及待办闭环管理机制；
3、综合运营管理体系虚拟专项，以项目管理机制跟踪各管理体系进度，对于应收管理体系中的业务数据看板建设及全流程跟踪机制，协调财务及业务共同梳理及数据节点线上化推进；
4、内控管理体系，从群组业务制度管理及流程优化，落地方案设计，明确实施路径、关键节点与资源需求，形成项目管理并与各协同方达成共识。</t>
  </si>
  <si>
    <t>1、群组业务合作体系中，针对生态英雄联盟专项，联合支付产品和研发，打造联盟小助手AI机器人，通过京ME聊天式的沟通，自动提炼拜访信息，完成线上化信息登记，目前已经投入使用。
2、日常会议记录和会议纪要，通过AI慧记生成会议全程信息记录和会议纪要生成。</t>
  </si>
  <si>
    <t>zhangzhiquan@jd.com</t>
  </si>
  <si>
    <t>lixuejiao.40</t>
  </si>
  <si>
    <t>李雪娇</t>
  </si>
  <si>
    <t>1.完成审计项目，例如新业务合规检查、数据中心管理审计、征信管理审计、金融资产风险分类审计、反洗钱管理审计等审计项目，梳理审计发现清单，与业务部门商讨整改优化方案，形成审计报告。
2.跟踪消金公司全面风险管理部、信贷风险管理部、人资行政部、董办等部门涉及审计发现整改情况。
3.依据管理层要求出具管理建议书：征信管理管理建议书。
4.根据监管发文要求，完成不良贷款转让自查审计。
5.其他日常工作流程，如依据业务部门需求提供相应的建议，协助团队负责人完成审计部定期汇报报告工作等。</t>
  </si>
  <si>
    <t>lixuejiao.40@jd.com</t>
  </si>
  <si>
    <t>caikelun.1</t>
  </si>
  <si>
    <t>蔡柯伦</t>
  </si>
  <si>
    <t>对存在风险瑕疵的企业主客户在贷前或贷中进行下户尽调，通过与客户问询、现场实际勘察收集客户基本情况、企业经营信息（财报、收入成本、上下游关系、经营流水）识别并判断客户潜在风险，将资料与风险判断结论输出给风险人审团队以提供更多风险判断依据。目前负责宁波区域客户的下户尽调。</t>
  </si>
  <si>
    <t>1、使用豆包统计&amp;分析银行流水（大部分为PDF，手机上没有方便的转Excel文件的工具）
2、使用豆包判断客户存货，比如拍一张库存照片，用豆包帮我估值。
3、使用Deepseek调研行业情况</t>
  </si>
  <si>
    <t>caikelun.1@jd.com</t>
  </si>
  <si>
    <t>浙江省-宁波市</t>
  </si>
  <si>
    <t>wenyao6</t>
  </si>
  <si>
    <t>温瑶</t>
  </si>
  <si>
    <t>股票/传承业务推动</t>
  </si>
  <si>
    <t>deepseek、豆包：文本润色</t>
  </si>
  <si>
    <t>wenyao6@jd.com</t>
  </si>
  <si>
    <t>jinxin.204</t>
  </si>
  <si>
    <t>金鑫</t>
  </si>
  <si>
    <t>对存在风险瑕疵的企业主客户在贷前或贷中进行下户尽调，通过与客户问询、现场实际勘察收集客户基本情况、企业经营信息（财报、收入成本、上下游关系、经营流水）识别并判断客户潜在风险，将资料与风险判断结论输出给风险人审团队以提供更多风险判断依据。目前负责杭州区域客户的下户尽调。</t>
  </si>
  <si>
    <t>1、总结贷前客户情况时，用小米录音功能口述零散要点，借助语音转文字自动总结客户信息；
2、使用元宝对客户流水进行处理，方便总结客户流水情况。</t>
  </si>
  <si>
    <t>WPS灵犀,慧记</t>
  </si>
  <si>
    <t>jinxin.204@jd.com</t>
  </si>
  <si>
    <t>浙江省-杭州市</t>
  </si>
  <si>
    <t>京东杭州智谷国际人才大厦职场</t>
  </si>
  <si>
    <t>1、牵头经营提升组各项管理工作；
2、负责征信业务以及云工厂业务销售管理，零售组结算管理及其他运营工作，协同产线进行伏羲平台建设；
3、负责机构部能力建设，提质增效，包括人员培养（新人启航、老人蝶变-虚拟小组、核心骨干培养等），知识库建设、CRM管理以及AI建设；
4、负责机构部内外部活动组织，包括月度/年度工作总结、生日会司龄周年庆、团建活动、私享会、答谢宴等。
5、负责战综、综管、人力、行政等横向协同事宜。</t>
  </si>
  <si>
    <t>1、聚声AI：全网碎片化信息汇聚成可决策声音，每日；
2、joydesk，方案优化；
3、伏羲agent，应用于征信业务全链路管理，包括对客版、对内版，每日。
4、聚声AI：数据分析决策，客商全景图等，每日（未上线）；
5、joydata。</t>
  </si>
  <si>
    <t>xulihong.16@jd.com</t>
  </si>
  <si>
    <t>伏羲agent</t>
  </si>
  <si>
    <t>siziying1</t>
  </si>
  <si>
    <t>司梓莹</t>
  </si>
  <si>
    <t>智能质检、质检&amp;投诉数据分析、合规培训素材及案例课件、基金行业讯息（监管合规类）、理财师合规测评、群发文案及活动方案的审核等</t>
  </si>
  <si>
    <t>deepseek&amp;豆包：热点查询、案例查找
万能博士用于内部数据整理和分析
法务机器人：用于法律法规层面的知识查找和意见反馈。</t>
  </si>
  <si>
    <t>siziying1@jd.com</t>
  </si>
  <si>
    <t>wangxiaotong12</t>
  </si>
  <si>
    <t>王晓彤</t>
  </si>
  <si>
    <t>1、负责融资组各类业务运营管理；
2、负责机构部虚拟小组专项经营；
3、负责机构部宣传管理，包括月刊、微创新、读书会、文化墙、战报等；
4、负责资金部、法务部、财富各类横向协同事宜。</t>
  </si>
  <si>
    <t>wangxiaotong8@jd.com</t>
  </si>
  <si>
    <t>jiangli131</t>
  </si>
  <si>
    <t>蒋利</t>
  </si>
  <si>
    <t>1.监管合规类：打击非法金融活动、案防合规管理、员工行为排查等工作，包括工作开展及报告编写等
2.监察类工作：监察管理体系建设、员工廉洁合规培训、内部员工违规调查
3.安全调查类：配合警方调证、外部案件调查、存量案件跟进、安全调查机制
4.消保合规咨询及审查，包括信访及极端案件处理等</t>
  </si>
  <si>
    <t>1.使用工具：万能博士和JoyAgent
2.使用场景：文档错别字、查询法规、编写文案等
3.使用频率：每天使用多次</t>
  </si>
  <si>
    <t>调查岗</t>
  </si>
  <si>
    <t>jiangli131@jd.com</t>
  </si>
  <si>
    <t>lixin.1376</t>
  </si>
  <si>
    <t>李鑫</t>
  </si>
  <si>
    <t>1、【信息披露】：协调各部门按照监管和内外规要求及时、准确披露各类必要公告；
2、【政府支持】：对接当地金融局、产融局等政府单位，撰写面向政府的请示、汇报或会议文件等；
3、【研究工作】：开展同行业研究和政策研究，为消金公司发展提供参考；
4、【系统和AI】：系统和AI建设，优化工作流程，提升工作能效；</t>
  </si>
  <si>
    <t>1、JoyAgent：依托公司JoyAgent平台，协同研发开发了公司治理Agent和信息披露Agent, 通过与京me 对接，用户可以在京me提问检索监管公文信息、京东消金内部规章；经常使用前述JoyAgent，通过在京me提问的方式，检索信息披露等事项相关的法规和处理思路，虽然目前存在检索不完整的问题，但是可以提供参考；
2、豆包：豆包比较擅长政府公文写作，可以协助把偏向业务的内容转化为符合政府汇报习惯的文书，也可以提供文书表达灵感，在撰写报告时经常使用；
3、Deepseek/豆包：使用Deepseek/豆包检索行业、政策信息，撰写研究报告，进行查漏补缺，以及提供研究方向，在撰写报告时经常使用；
4、万能博士：经常使用，用于内部文档的检索、总结。</t>
  </si>
  <si>
    <t>lixin.1376@jd.com</t>
  </si>
  <si>
    <t>tianliang.114</t>
  </si>
  <si>
    <t>田靓</t>
  </si>
  <si>
    <t>1. 报告编制、审核：报告提纲搭建，报告内容调优
2. 制度审核：查询外规参考依据
3. 业务咨询：合规风险点提示及外规参考依据</t>
  </si>
  <si>
    <t>1. 使用工具：万能博士
2. 使用场景：查询法规、编写文案、答疑解惑
3.使用频率：每天使用多次</t>
  </si>
  <si>
    <t>tianliang.114@jd.com</t>
  </si>
  <si>
    <t>dailin.15</t>
  </si>
  <si>
    <t>戴林</t>
  </si>
  <si>
    <t>1.报告编制：编制由内控合规部主导的报告
2.制度编写：编写由内控合规部主导的制度
3.业务咨询：为业务部门提供内控、合规方面的咨询服务</t>
  </si>
  <si>
    <t>1.使用工具：万能博士
2.使用场景：查询法规、编写报告提纲、文档错别字检查等场景
3.使用频率：经常使用</t>
  </si>
  <si>
    <t>dailin.15@jd.com</t>
  </si>
  <si>
    <t>聚焦销售全流程精细化运营：过程端负责商机进度盯盘、拜访指标量化、CRM等系统工具迭代及销售人效提升；项目端统筹，重点转型专项的目标制定与复盘；支持端承担销售周会主持、流程审批优化、及销售培训体系建设，全方位保障销售团队高效运转</t>
  </si>
  <si>
    <t>①DeepSeek：规则方案思路梳理、专项分析和盯控等思路交互-每天
②KIMI：会议纪要梳理、拜访客户纪要提炼等、销售培训类方案内容涉及等-每天
③闪电说：电脑端ai转写工具-每天</t>
  </si>
  <si>
    <t>deepseek,kim,慧记</t>
  </si>
  <si>
    <t>pengxuelian.6@jd.com</t>
  </si>
  <si>
    <t>闪电说</t>
  </si>
  <si>
    <t>qinzhiwei7</t>
  </si>
  <si>
    <t>秦志伟</t>
  </si>
  <si>
    <t>1、内容创作（包括但不限于早报、午评、收评、热点、异动）
2、直播配套运营。
3、为股票、基金、黄金等线条提供各类运营策略。</t>
  </si>
  <si>
    <t>通过AI手段进行股票、黄金等财经内容创作，日均使用豆包频率10次以上，主要用于自动化生成内容。</t>
  </si>
  <si>
    <t>qinzhiwei7@jd.com</t>
  </si>
  <si>
    <t>zhuhuilin1</t>
  </si>
  <si>
    <t>朱慧琳</t>
  </si>
  <si>
    <t>资产研究：负责黄金及海外市场研究及分析。
直播运营：常态化开展财经投研直播，每周平均落地 11 场直播分享。
业务赋能：输出标准化、场景化投研内容与市场观点，定制适配不同客群与业务场景。</t>
  </si>
  <si>
    <t xml:space="preserve">研究提效：日常依托 AI 工具批量抓取跨境资讯、舆情数据与海量研报，快速清洗整理行情指标、辅助数据复盘与逻辑推演，缩短海外及商品资产的研究耗时，提升信息整合与分析效率。
内容产出：借助 AI 快速生成直播大纲、梳理热点选题、润色口播文案，精简专业术语、优化内容结构，高效完成高频直播的内容筹备，保障高密度输出质量。
</t>
  </si>
  <si>
    <t>zhuhuilin1@jd.com</t>
  </si>
  <si>
    <t>yangshuo161</t>
  </si>
  <si>
    <t>杨硕</t>
  </si>
  <si>
    <t>1、负责支付通道业务销售管理及客户运营、降本攻坚专项销管；
2、负责支付通道应收管理；
3、负责机构部渠道客商管理。</t>
  </si>
  <si>
    <t>1、聚声AI：全网碎片化信息汇聚成可决策声音，每日；
2、joydesk，方案优化，不定时；
3、降本agent，应用于支付降本测算以及策略输出，不定时；
4、joydata。</t>
  </si>
  <si>
    <t>yangshuo161@jd.com</t>
  </si>
  <si>
    <t>caoquanchao1</t>
  </si>
  <si>
    <t>曹全超</t>
  </si>
  <si>
    <t>1.数据加工与同步：企金业务的日&amp;月漏斗数据、月度赛马数据加工处理</t>
  </si>
  <si>
    <t>1.JoyAgent+：日常事务询问，如规章制度及政策等、快速知识检索、各类工具使用说明吉检索学习。使用频次：偶尔。
2.Deepseek/万能博士：知识学习。使用频次：偶尔。</t>
  </si>
  <si>
    <t>JoyAgent,Deepseek,DeepSeek,万能博士</t>
  </si>
  <si>
    <t>数据科技业务部</t>
  </si>
  <si>
    <t>电销服务组</t>
  </si>
  <si>
    <t>caoquanchao1@jd.com</t>
  </si>
  <si>
    <t>2.企金业务线的黑名单加白：临时黑及非临黑名单依据职场需求精准操作加白</t>
  </si>
  <si>
    <t>3.下发数据对接：企金业务线的下发职场数据缺口对接</t>
  </si>
  <si>
    <t>4.企金业务线的补券：依据职场补券需求对接补券同事进行补券</t>
  </si>
  <si>
    <t>5.线上化计费业务系统定价配置</t>
  </si>
  <si>
    <t>6.协助宿迁解决结算操作中的痛点、卡点问题</t>
  </si>
  <si>
    <t>7.金链系统维护供应商合同</t>
  </si>
  <si>
    <t>8.电销业务线市场费SC申请</t>
  </si>
  <si>
    <t>limingze.34</t>
  </si>
  <si>
    <t>李明泽</t>
  </si>
  <si>
    <t>1.【数据同步】加工和发送业务表现各类口径统计数据，职场过程数据，赛马数据</t>
  </si>
  <si>
    <t>1. JoyAgent+：自然语言对话，输入问题或指令；支持快速问答与简单生成。使用场景：日常事务询问（如政策查询）、快速知识检索、各类工具使用说明吉检索学习，简单邮件/消息起草。使用频次：每天高频，覆盖日常琐碎事务。
2.Deepseek：话术逻辑提炼，话术生成，培训课程生成，会议发言稿，市场信息检索
3.千问：用于销售内容，销售课程生成，通过深度思考调优COT使得输出结果更接近于使用目标</t>
  </si>
  <si>
    <t>JoyAgent,Deepseek,DeepSeek,千问</t>
  </si>
  <si>
    <t>limingze.34@jd.com</t>
  </si>
  <si>
    <t>2.【检视分析】周累计数据表现及问题分析</t>
  </si>
  <si>
    <t>3.【督促进度】日常工作要求中，需职场填写内容，执行反馈等内容督促发送和统一汇总</t>
  </si>
  <si>
    <t>4.【异常预警】T1日异常数据检查和问题诊断</t>
  </si>
  <si>
    <t>5.【日常会议宣导变化及调整】调整变化宣导，问题及要求宣导，业务发展方向宣导，目标宣导，制度规则调整宣导</t>
  </si>
  <si>
    <t>6.【其他项目类工作】职场能力提升，智能外呼提升</t>
  </si>
  <si>
    <t>7.【业务流程编写及涉及配套管理工具】销售流程，话术生成编写，台账编写，知识库通用销售知识管理知识编写</t>
  </si>
  <si>
    <t>maguixian1</t>
  </si>
  <si>
    <t>马贵贤</t>
  </si>
  <si>
    <t>1.【营销资料编写&amp;审核】：各业务线各类对客话术撰写、合规审核、调优迭代等</t>
  </si>
  <si>
    <t>1. 京me万能博士：知识点确认、营销话术优化，业务质检规则生成等；使用频次：每天高频，通过不断对话，逐步优化准确率。
2. JoyDesk：质量管理数据分析&amp;周报生成，
3. JoyDate播报：每日客诉分业务线/分职场自动播报，可做到T+1提醒及重点追踪督导改进；使用频次：每日晨间各业务群自动播报。
4. 千问：培训课程生成&amp;优化；替代原本每堂课程均须人工线下开发的同时，可吸取更宽域的精华提升课程质量、拓展赋能力。
5. 智能质检：通过撰写提示词生成业务质检规则，应用于业务日常质检，替代人工交叉质检；人工通过复核与纠偏，不断优化智检能力，释放BPO质检工时和总部质量管理工时；使用频率：每天智检、周/双周纠楄迭代模型。</t>
  </si>
  <si>
    <t>JoyDesk,JoyDate,万能博士,千问,智能质检</t>
  </si>
  <si>
    <t>maguixian1@jd.com</t>
  </si>
  <si>
    <t>2.【专项培训课程开发&amp;赋能】：根据培训体系设计不同类别赋能课程并实施赋能落地、沉淀赋能资产</t>
  </si>
  <si>
    <t>3.【专项赋能&amp;提升】：新供应商、新人入项培训机制设计&amp;实施；业务人效专项提升</t>
  </si>
  <si>
    <t>4.【质检规则与实施管理】：根据业务及市场生态变化，生成/优化合规营销规则并对日常质检变化做监控管理</t>
  </si>
  <si>
    <t>5.【客诉管理&amp;处理】：客诉核心目标制定督导、各类客诉管理制、重大客诉处理</t>
  </si>
  <si>
    <t>1.排名数据查看与分析：按业务线查看日/月排名；识别优劣与波动；决定后续动作</t>
  </si>
  <si>
    <t>1. JoyAgent+：自然语言对话，输入问题或指令；支持快速问答与简单生成。使用场景：日常事务询问（如政策查询）、快速知识检索、简单邮件/消息起草。使用频次：每天高频，覆盖日常琐碎事务。
2. Joyclaw：配置触发条件与执行动作。使用场景：群消息监控与分类智能体、文档生成流水线。使用频次：每周配置调优3-5次，持续优化智能体能力。
3. JoyDesk：工作规划讨论、方案思路碰撞、实时问题解答、待办事项提醒与跟进。使用频次：每天使用8小时以上，作为工作助手全程陪伴。
4. JoyCode：IDE插件形式，代码补全+代码生成+文件操作。使用场景：Python自动化脚本编写、Excel/PPT生成代码开发。使用频次：每周使用10+次。
5. 本地部署：供应商深度分析报告、复杂决策参谋、长文档撰写。使用频次：每天5-10次。</t>
  </si>
  <si>
    <t>JoyAgent,JoyDesk,JoyCode，GLM、minmax</t>
  </si>
  <si>
    <t>sundanian@jd.com</t>
  </si>
  <si>
    <t>2.内部群监控：查看@消息、新需求、合规问题；分类处理紧急度</t>
  </si>
  <si>
    <t>3.供应商群监控：查看反馈与问题；监控回复及时性；识别交互问题模式</t>
  </si>
  <si>
    <t>4.供应商商务沟通：电话/微信处理要量、支持、结算；判断问题归属；记录跟进</t>
  </si>
  <si>
    <t>5.新项目寻源：明确需求；从数据库筛选候选；做3-5家推荐</t>
  </si>
  <si>
    <t>6.合规问题处理：客诉、招聘违规、红线行为；判断严重程度发整改通知；发现可制度化空间</t>
  </si>
  <si>
    <t>7.邮件与报告撰写：巡检、处罚、项目、汇报等场景文档</t>
  </si>
  <si>
    <t>8.数据整理与KPI分析：站点分布、人力趋势、集中度、异常追溯</t>
  </si>
  <si>
    <t>9.巡检出差：12项标准现场检查；历史问题复查；整理报告</t>
  </si>
  <si>
    <t>10.制度文档维护：更新《合作指南》《巡检标准》《分量标准》等制度</t>
  </si>
  <si>
    <t>11.向上汇报：向领导汇报供应商状况、项目进展</t>
  </si>
  <si>
    <t>12.会议与协调：周会、项目会、供应商会；与策略/服务组对齐</t>
  </si>
  <si>
    <t>cuihaotian1</t>
  </si>
  <si>
    <t>崔昊田</t>
  </si>
  <si>
    <t>1.业务数据：加工和发送各业务表现数据，职场过程数据与赛马数据</t>
  </si>
  <si>
    <t>1.JoyDate播报：每日达成数据分业务线/分职场自动播报，可做到T+1提醒及重点追踪督导改进；使用频次：每日晨间各业务群自动手播报；
2.AI（万能博士）：生成一些业务异议处理话术，整理待办事项清单，使用频次：每天</t>
  </si>
  <si>
    <t>JoyDate,万能博士</t>
  </si>
  <si>
    <t>cuihaotian1@jd.com</t>
  </si>
  <si>
    <t>2.数据分析：日/周/月度数据表现及问题分析</t>
  </si>
  <si>
    <t>3.线路分析：日维度观测线路响铃率及接通率，异常数据诊断，投比问题定位</t>
  </si>
  <si>
    <t>4.企微管控：职场企微日常使用与监控</t>
  </si>
  <si>
    <t>运维监控</t>
  </si>
  <si>
    <t>5.职场复盘：周维度定期与职场做业绩复盘，异常问题以日会形式及时整改</t>
  </si>
  <si>
    <t>6.线路认证：配合线路资源做号码认证</t>
  </si>
  <si>
    <t>wangdan492</t>
  </si>
  <si>
    <t>汪丹</t>
  </si>
  <si>
    <t>1.【数据同步】客诉数据下发&amp;拉黑；加工和发送个业务、职场客诉比统计数据</t>
  </si>
  <si>
    <t>1.JoyDate播报：每日客诉比数据，分业务线/分职场自动播报；使用频次：每日晨间各业务群自动播报；
2. JoyAgent+：日常事务询问、快速知识检索、简单邮件/消息起草。使用频次：每天高频。
3. JoyDesk：质量管理数据分析&amp;周报生成，使用频次周、月
4. Joyclaw：群消息监控与分类智能体。使用频次：每周配置调优3-5次。
5.Deepseek：话术生成，大模型质检提示词调优。使用频率：每天。</t>
  </si>
  <si>
    <t>JoyAgent,JoyDesk,JoyDate,Deepseek,DeepSeek</t>
  </si>
  <si>
    <t>wangdan492@jd.com</t>
  </si>
  <si>
    <t>2.【检视分析】周、月累计客诉数据表现及问题分析</t>
  </si>
  <si>
    <t>3.【异常预警】T1日异常数据检查和问题诊断</t>
  </si>
  <si>
    <t>4.【营销话术编写&amp;审核】：各业务线各类对客话术撰写、合规审核、调优迭代等</t>
  </si>
  <si>
    <t>5.【质检规则与实施管理】：根据业务及市场生态变化，生成/优化合规营销规则并对日常质检变化做监控管理</t>
  </si>
  <si>
    <t>6.【客诉管理&amp;处理】：客诉核心目标制定督导、各类客诉管理制、重大客诉处理</t>
  </si>
  <si>
    <t>7.内部群、外部群监控：查看反馈与问题、监控回复及时性；识别交互问题模式；分类处理紧急度</t>
  </si>
  <si>
    <t>8.【智能质检】大模型质检全链路流程处理，从话术，规则到提示词调优</t>
  </si>
  <si>
    <t>yanrui9</t>
  </si>
  <si>
    <t>晏瑞</t>
  </si>
  <si>
    <t>1.①基于业务情况制定/调整每日外呼策略，操作职场预测，或者分配外呼名单并下发执行</t>
  </si>
  <si>
    <t>1.用AI（万能博士）生成团队管理SOP、话术手册初稿；每周2-3次
2.用AI（万能博士）生成面试结构化问题、新人培训课件初稿、FAQ文档；每周2-3次
3.蓝盾系统质检大模型初筛数据，人工复核；每日1次
4.用AI（万能博士）生成客诉回复模板、应对话术初稿；每日1-2次
5.用EXCEL模版自动薪资测算公式；用万能博士整理薪酬方案；日度1次
6.用万能博士整理行政事项跟进清单；周度1次</t>
  </si>
  <si>
    <t>sqyanrui1@jd.com</t>
  </si>
  <si>
    <t>京东集团全球客服中心1号园区</t>
  </si>
  <si>
    <t>1.②实时观测团队业务过程&amp;结果指标（接通率、件均、转化率等），每日薪资预测数据查看与分析</t>
  </si>
  <si>
    <t>1.③识别数据异常（如指标下滑、波动异常），追溯根因并在组内同步提醒、推动调整</t>
  </si>
  <si>
    <t>1.④沉淀团队管理经验，输出业务策略、执行手册、数据运营流程等标准化文档</t>
  </si>
  <si>
    <t>2.①新人入职招聘：筛选简历、初次面试、核验候选人匹配度</t>
  </si>
  <si>
    <t>2.②新人岗前培训：业务流程、话术、系统操作教学，通关考核验证是否可上线</t>
  </si>
  <si>
    <t>2.③新人上线前薪资规则讲解，答疑并完成无异议签字确认</t>
  </si>
  <si>
    <t>2.④沉淀培训资料：课程课件、常见问题解答、师徒带教手册</t>
  </si>
  <si>
    <t>3.质检抽听：每日定时定量抽检坐席录音，核查话术合规性、业务流程执行情况；周度汇总违规数据，检查大模型质检结果准确性；对质检问题标记整改，记录案例</t>
  </si>
  <si>
    <t>4.客诉等系统数据处理：处理工单系统客诉数据，交叉核对工信部、舆情、蓝盾系统数据；客诉违规单判定处理归档；基于客诉数据优化应对话术；统计客诉数据，分析高频问题</t>
  </si>
  <si>
    <t>5.薪酬&amp;激励：协助制定薪酬基本法、团队激励方案，测算不同规则下的成本与激励效果；每日薪资预测数据估算播报；月度发薪日数据核算；整理发薪数据审批</t>
  </si>
  <si>
    <t>6.行政支持等综合事项：职场办公用品申请采购分发；双周福利申领统计核对发放；网络权限/账号开通变更申请；工位宿舍使用数量分摊确认</t>
  </si>
  <si>
    <t>7.向上汇报，参与日常会议</t>
  </si>
  <si>
    <t>1、负责融资担保、融资租赁、香港放债人牌照管理，并和卓丽宁共同负责商业保理牌照管理
2、企业金融业务线合规BP，负责大陆地区信用贷、抵押贷、保理、融资租赁等产品和境外地区信贷产品等的合规评审、监管沟通及上报等
3、负责金融科技事业群持牌主体指标管理，按月输出包含监管硬性指标、监管评价指标和重要经营性指标在内的主体指标跟踪监控表，对异常指标牵头推动改进调优</t>
  </si>
  <si>
    <t>1、京东言犀、豆包，对全国各省区市范围内的金融领域地方规章政策进行检索、梳理；对金融领域司法判例、行业舆情等进行检索，频率每周2次左右
2、豆包、百度文心一言，对主体内控制度进行框架设计和润色，频率不定期
3、对于金融领域内的近期重大变化，如行业政策发布、监管重大人事变动和行业并购等进行检索监测，频率每周2次左右
4、慧记，智能总结会议记录，但实践后准确性欠佳</t>
  </si>
  <si>
    <t>监管合规组</t>
  </si>
  <si>
    <t>maqianxiang1@jd.com</t>
  </si>
  <si>
    <t>格式调整</t>
  </si>
  <si>
    <t>豆包、万能博士、Deepseek等</t>
  </si>
  <si>
    <t>京小贝Agent</t>
  </si>
  <si>
    <t>豆包及有道翻译等</t>
  </si>
  <si>
    <t>牌照管理</t>
  </si>
  <si>
    <t>豆包、万能博士</t>
  </si>
  <si>
    <t>产品评审</t>
  </si>
  <si>
    <t>视乎风险暴露状况</t>
  </si>
  <si>
    <t>流程规范</t>
  </si>
  <si>
    <t>xujianghua</t>
  </si>
  <si>
    <t>徐江花</t>
  </si>
  <si>
    <t xml:space="preserve">1、外部对接：负责对接中国支付清算协会。
2、对内评审：外场、京东收银、生态等部门项目评审及咨询。
3、主体管理专项：云账户生息方案、收单外包监管备案、监管合规组项目管理等。
</t>
  </si>
  <si>
    <t xml:space="preserve">使用工具：京东言犀，GPT、豆包。
使用场景：搜索行业信息、监管动态，创新模式探讨；监管调研、行业分析的结构辅助设计及素材补充；行业舆情及监管行政许可及处罚等。
</t>
  </si>
  <si>
    <t>shuaixiaoyuan3</t>
  </si>
  <si>
    <t>帅晓渊</t>
  </si>
  <si>
    <t>1、金顺东主动管理基金或肯特瑞代销基金底层标的投资运作情况，如标的投资成本收益情况计算、标的资本运作情况、运营过程中利好或利空消息的监测等。
2、私募基金行业的监管信息学习和监测。</t>
  </si>
  <si>
    <t>使用工具：京东AI、豆包，deepseek。使用方法：上传标的信息，按照指令输出结果。使用场景：客户答疑、报告编制、报告解读、理财师沟通等。使用频率：每天。</t>
  </si>
  <si>
    <t>jiangfangjie</t>
  </si>
  <si>
    <t>蒋芳婕</t>
  </si>
  <si>
    <t>1、负责金融科技事业群金融监管方向的合规事务
2、负责监管合规组的管理</t>
  </si>
  <si>
    <t>liutong22</t>
  </si>
  <si>
    <t>刘桐</t>
  </si>
  <si>
    <t>1.盛际小贷牌照管理，消金业务-白条产品合规BP。
2.对接消金公司协同消金事业部提供平台侧支持。</t>
  </si>
  <si>
    <t>使用工具：京东言犀，豆包，deepseek。使用场景：主要搜索行业信息、监管动态，业务模式探讨。</t>
  </si>
  <si>
    <t>liushenghui.19</t>
  </si>
  <si>
    <t>刘圣辉</t>
  </si>
  <si>
    <t>1.金融持牌主体的合规自查
2.金科事业群的内控检查和业务风险检查</t>
  </si>
  <si>
    <t>使用工具：千问；
使用场景：金融企业的内控合规检查方案及方向；
使用频率：每周。</t>
  </si>
  <si>
    <t>zhaoting64</t>
  </si>
  <si>
    <t>赵婷</t>
  </si>
  <si>
    <t>1、金顺东牌照管理及其基金全面运营工作，基金信息披露、分配、报税、工商变更等；代销基金运营工作；
2、风险项目处理、诉讼配合；
3、维护投资者关系，处理投诉。</t>
  </si>
  <si>
    <t>使用工具：deepseek，豆包，kimi，智合AI。使用场景：被投企业好消息整合以及舆情跟踪，监管政策动态，关于诉讼法律资源查询，报告编写，公函编写。使用频率：每天。</t>
  </si>
  <si>
    <t>liuyueyi3</t>
  </si>
  <si>
    <t>刘越懿</t>
  </si>
  <si>
    <t>1、财富业务的合规管理和肯特瑞主体管理；
2、证监会监管沟通和材料报告书写；</t>
  </si>
  <si>
    <t>使用工具：GPT、Gemini、豆包。使用场景：1、搜索行业、监管信息，讨论业务事项的合规点，查询同业业务合规情况；2、监管汇报文件的框架结构设计，监管语言的理解；3、监管处罚事件和量级的查询</t>
  </si>
  <si>
    <t>zhuolining</t>
  </si>
  <si>
    <t>卓丽宁</t>
  </si>
  <si>
    <t>1、负责上海恒先君展、上海东家铂睿、上海邦汇保理的牌照管理工作
2、上海地区监管的日常沟通、客诉处理、报告书写</t>
  </si>
  <si>
    <t>使用工具：deepseek。使用场景：主要搜索行业信息、监管动态、行业舆情。使用频率：不定期</t>
  </si>
  <si>
    <t>shaoxiaobo1</t>
  </si>
  <si>
    <t>邵晓博</t>
  </si>
  <si>
    <t>1、金科群技术合规对接和网银在线技术合规监管事务对接，包括非银审查，金融科技产品认证，个人金融信息保护等基础安全体系认证审查；
2、人行科技处、协会沟通和材料报告书写；</t>
  </si>
  <si>
    <t>使用工具：京东言犀，豆包，deepseek等。使用场景：主要搜索行业信息、技术合规检测标准，行业舆情及监管动态，报告框架问询。
使用频率：每天/不定期</t>
  </si>
  <si>
    <t>tanjiamin5</t>
  </si>
  <si>
    <t>谭佳敏</t>
  </si>
  <si>
    <t>1、负责网银在线行政许可事项和常规事项监管对接，包括牌照续展、分类评级等
2、负责网银在线支付业务数据统计和报送
3、负责支付业务数币业务、信用卡业务合规评审和支持</t>
  </si>
  <si>
    <t>使用工具：京东言犀，豆包，deepseek、元宝。
使用场景：了解京东的金融产品概念、作用、使用场景；了解第三方支付机构与各金融机构合作模式，合作场景，生态共建的方式 ；撰写支付业务行政许可事项的申报报告、具体调研课题的总结报告，并按照指令要求进行润色。
使用频率：每天</t>
  </si>
  <si>
    <t>fengqiao.11</t>
  </si>
  <si>
    <t>封俏</t>
  </si>
  <si>
    <t>1.小金库业务合规支持；
2.京小贝合规保障；
3.合规大模型和agent建设，
4.持续跟进支付、基金支付结算行业政策</t>
  </si>
  <si>
    <t>言犀，deepseek，豆包，元宝，千问，文小言；场景：研究对比头部ai的表现，辅助AI训练，获取行业、法规信息等，频率：每天多次</t>
  </si>
  <si>
    <t>zhangchunzhi5</t>
  </si>
  <si>
    <t>章春枝</t>
  </si>
  <si>
    <t>1、对外负责人民银行的监管对接，主要为非常规类事项，包括账户，电商，适老化，备付金风险等
2、对内负责支付生态业务、产品部门的项目评审
3、监管检查、监管项目的内部落地</t>
  </si>
  <si>
    <t>使用工具：
使用场景：
1、监管汇报文件的框架结构设计，监管语言的理解，报告润色；
3、行业动态和监管政策搜索</t>
  </si>
  <si>
    <t>huangzhangcai.1226</t>
  </si>
  <si>
    <t>黄章材</t>
  </si>
  <si>
    <t>1、国家外汇管理局北京市分局、北京人行对接、任务拆解下发、材料撰写反馈
2、跨境及外场业务的咨询、评审；
3、国家外汇管理局北京市分局、合作银行非现场检查；</t>
  </si>
  <si>
    <t>使用工具：京东言犀、豆包；
使用场景：报告修改润色、行业信息搜索；业务合规风险点归纳总结；监管处罚事项及对应量级；</t>
  </si>
  <si>
    <t>wywangyanjie</t>
  </si>
  <si>
    <t>王彦杰</t>
  </si>
  <si>
    <t>1、负责主体工商信息的变更管理，对接内外部资源，协调办理解除工商异常等，按月度完成梳理及汇报；
2、负责肯特瑞主体的人员合规管理，监管培训持证审核等；
3、负责证监会北京局监管系统及其他协会系统操作维护，账户报备/通知分发等。</t>
  </si>
  <si>
    <t>使用工具：京东AI、豆包，deepseek。使用场景：1、查询主体公开工商信息，按照指令输出结果校正台账信息；2、搜索行业、监管信息，讨论人员管理事项的合规点，查询同业业务情况；3、监管系统报备文件的，监管语言的应用及理解；使用场景：内部咨询答疑、报告编制、内外部系统审批材料准备、会议沟通准备等。使用频率：每天。</t>
  </si>
  <si>
    <t>chengbin34</t>
  </si>
  <si>
    <t>程斌</t>
  </si>
  <si>
    <t>1、负责金条内场业务的合规管理、小贷牌照管理，及沟通对接维护小贷的金融监管单位，包括重庆金融局、重庆人行、重庆小贷协会、中贷协、普惠司等，同时负责小贷牌照所涉监管报送材料的书写；
2、负责评审资管团队ABS发行备案的材料，确保发行材料的完整性、准备性、真实性；</t>
  </si>
  <si>
    <t>使用工具：京东言犀，豆包，deepseek等。使用场景：主要搜索行业信息、行业舆情及监管政策、特定知识点、拟编写材料的提示性信息。
使用频率：每三天/不定期</t>
  </si>
  <si>
    <t>houkaixuan.1</t>
  </si>
  <si>
    <t>侯凯旋</t>
  </si>
  <si>
    <t>1、负责平台助贷业务合规支持，负责平台的财富、保险、证券等导流业务的合规支持；
2、人行宏审处、中国互金协会的日常业务沟通及数据报送；</t>
  </si>
  <si>
    <t>使用工具：京东言犀，豆包，deepseek。
使用场景：主要搜索行业信息、监管政策，搜索特定知识点并进行分析对比、对文字性内容进行润色（脱敏）。
使用频率：基本每天</t>
  </si>
  <si>
    <r>
      <rPr>
        <sz val="11"/>
        <color rgb="FF000000"/>
        <rFont val="京东朗正体 1.0 玲珑"/>
        <charset val="134"/>
      </rPr>
      <t>1.基于部门产品运营策略，推动数仓沉淀模型、标签、指标等数据基础建设</t>
    </r>
    <r>
      <rPr>
        <sz val="11"/>
        <color rgb="FF000000"/>
        <rFont val="京东朗正体 1.0 玲珑"/>
        <charset val="134"/>
      </rPr>
      <t xml:space="preserve">
</t>
    </r>
    <r>
      <rPr>
        <sz val="11"/>
        <color rgb="FF000000"/>
        <rFont val="京东朗正体 1.0 玲珑"/>
        <charset val="134"/>
      </rPr>
      <t>2.负责部门项目、产品的数据分析工作，用于支撑部门项目推进的系统问题修复、产品运营策略制定和复盘</t>
    </r>
    <r>
      <rPr>
        <sz val="11"/>
        <color rgb="FF000000"/>
        <rFont val="京东朗正体 1.0 玲珑"/>
        <charset val="134"/>
      </rPr>
      <t xml:space="preserve">
</t>
    </r>
    <r>
      <rPr>
        <sz val="11"/>
        <color rgb="FF000000"/>
        <rFont val="京东朗正体 1.0 玲珑"/>
        <charset val="134"/>
      </rPr>
      <t>3.负责体系内客户的支付数据需求对接，输出对应业务线的支付数据取数逻辑和结果</t>
    </r>
    <r>
      <rPr>
        <sz val="11"/>
        <color rgb="FF000000"/>
        <rFont val="京东朗正体 1.0 玲珑"/>
        <charset val="134"/>
      </rPr>
      <t xml:space="preserve">
</t>
    </r>
    <r>
      <rPr>
        <sz val="11"/>
        <color rgb="FF000000"/>
        <rFont val="京东朗正体 1.0 玲珑"/>
        <charset val="134"/>
      </rPr>
      <t>4.部门业绩数据、看板、周会业绩指标材料</t>
    </r>
  </si>
  <si>
    <r>
      <rPr>
        <sz val="11"/>
        <color rgb="FF000000"/>
        <rFont val="京东朗正体 1.0 玲珑"/>
        <charset val="134"/>
      </rPr>
      <t>1.万能博士：1)输入业务背景和分析目的，AI整理输出具体的业务分析框架和模型建设结构（一个月1次左右）。2)忘记某个不常用的公式时，输入样例和希望的输出结果，AI输出对应SQL语法或EXCEL公式（一周2次左右）</t>
    </r>
    <r>
      <rPr>
        <sz val="11"/>
        <color rgb="FF000000"/>
        <rFont val="京东朗正体 1.0 玲珑"/>
        <charset val="134"/>
      </rPr>
      <t xml:space="preserve">
</t>
    </r>
    <r>
      <rPr>
        <sz val="11"/>
        <color rgb="FF000000"/>
        <rFont val="京东朗正体 1.0 玲珑"/>
        <charset val="134"/>
      </rPr>
      <t>2.JoyDesk：基于具体项目建设知识库（包含项目介绍、模型结构、基础使用逻辑），AI能基于具体的业务需求输出SQL逻辑（一个月1次）</t>
    </r>
  </si>
  <si>
    <t>支付业务部</t>
  </si>
  <si>
    <t>支付生态合作部</t>
  </si>
  <si>
    <t>yinqingyuan1@jd.com</t>
  </si>
  <si>
    <t>万能博士,DeepSeek</t>
  </si>
  <si>
    <t>wanglei726</t>
  </si>
  <si>
    <t>王磊</t>
  </si>
  <si>
    <r>
      <rPr>
        <sz val="11"/>
        <color rgb="FF000000"/>
        <rFont val="京东朗正体 1.0 玲珑"/>
        <charset val="134"/>
      </rPr>
      <t>1、内部业务标准方案对接的运营支持</t>
    </r>
    <r>
      <rPr>
        <sz val="11"/>
        <color rgb="FF000000"/>
        <rFont val="京东朗正体 1.0 玲珑"/>
        <charset val="134"/>
      </rPr>
      <t xml:space="preserve">
</t>
    </r>
    <r>
      <rPr>
        <sz val="11"/>
        <color rgb="FF000000"/>
        <rFont val="京东朗正体 1.0 玲珑"/>
        <charset val="134"/>
      </rPr>
      <t>2、内场大风收场景增收的业务PO及统筹内场资金技术服务的增收</t>
    </r>
  </si>
  <si>
    <r>
      <rPr>
        <sz val="11"/>
        <color rgb="FF000000"/>
        <rFont val="京东朗正体 1.0 玲珑"/>
        <charset val="134"/>
      </rPr>
      <t>京东万能博士、豆包、deepseek</t>
    </r>
    <r>
      <rPr>
        <sz val="11"/>
        <color rgb="FF000000"/>
        <rFont val="京东朗正体 1.0 玲珑"/>
        <charset val="134"/>
      </rPr>
      <t xml:space="preserve">
</t>
    </r>
    <r>
      <rPr>
        <sz val="11"/>
        <color rgb="FF000000"/>
        <rFont val="京东朗正体 1.0 玲珑"/>
        <charset val="134"/>
      </rPr>
      <t>1、会议材料准备及优化会议纪要内容。2次/月</t>
    </r>
    <r>
      <rPr>
        <sz val="11"/>
        <color rgb="FF000000"/>
        <rFont val="京东朗正体 1.0 玲珑"/>
        <charset val="134"/>
      </rPr>
      <t xml:space="preserve">
</t>
    </r>
    <r>
      <rPr>
        <sz val="11"/>
        <color rgb="FF000000"/>
        <rFont val="京东朗正体 1.0 玲珑"/>
        <charset val="134"/>
      </rPr>
      <t>2、根据业务需求简单SQL提数，用于业务分析。3-5次/月</t>
    </r>
    <r>
      <rPr>
        <sz val="11"/>
        <color rgb="FF000000"/>
        <rFont val="京东朗正体 1.0 玲珑"/>
        <charset val="134"/>
      </rPr>
      <t xml:space="preserve">
</t>
    </r>
    <r>
      <rPr>
        <sz val="11"/>
        <color rgb="FF000000"/>
        <rFont val="京东朗正体 1.0 玲珑"/>
        <charset val="134"/>
      </rPr>
      <t>3、数据的比对。1次/月</t>
    </r>
  </si>
  <si>
    <t>wanglei726@jd.com</t>
  </si>
  <si>
    <t>万能博士,豆包,DeepSeek</t>
  </si>
  <si>
    <t>gaomingze7</t>
  </si>
  <si>
    <t>高铭泽</t>
  </si>
  <si>
    <r>
      <rPr>
        <sz val="11"/>
        <color rgb="FF000000"/>
        <rFont val="京东朗正体 1.0 玲珑"/>
        <charset val="134"/>
      </rPr>
      <t>1、线下协议 &amp; 线下询证函：申请产品协议盖章前需双方进行财税法及相关节点审批；在此之前，需运营先核实内容，因此需要针对性参考基本条款及特殊点；由于内容较为散碎，需要使用AI核实。</t>
    </r>
    <r>
      <rPr>
        <sz val="11"/>
        <color rgb="FF000000"/>
        <rFont val="京东朗正体 1.0 玲珑"/>
        <charset val="134"/>
      </rPr>
      <t xml:space="preserve">
</t>
    </r>
    <r>
      <rPr>
        <sz val="11"/>
        <color rgb="FF000000"/>
        <rFont val="京东朗正体 1.0 玲珑"/>
        <charset val="134"/>
      </rPr>
      <t>2、日常工作：文件撰写、运营操作-记录沉淀</t>
    </r>
  </si>
  <si>
    <r>
      <rPr>
        <sz val="11"/>
        <color rgb="FF000000"/>
        <rFont val="京东朗正体 1.0 玲珑"/>
        <charset val="134"/>
      </rPr>
      <t>1、线下协议 &amp; 线下询证函：对于非标协议或询证函，格式及双方要求均需一事一议，通过万能博士可核对其可行性；一周一次</t>
    </r>
    <r>
      <rPr>
        <sz val="11"/>
        <color rgb="FF000000"/>
        <rFont val="京东朗正体 1.0 玲珑"/>
        <charset val="134"/>
      </rPr>
      <t xml:space="preserve">
</t>
    </r>
    <r>
      <rPr>
        <sz val="11"/>
        <color rgb="FF000000"/>
        <rFont val="京东朗正体 1.0 玲珑"/>
        <charset val="134"/>
      </rPr>
      <t>2、日常工作：</t>
    </r>
    <r>
      <rPr>
        <sz val="11"/>
        <color rgb="FF000000"/>
        <rFont val="京东朗正体 1.0 玲珑"/>
        <charset val="134"/>
      </rPr>
      <t xml:space="preserve">
</t>
    </r>
    <r>
      <rPr>
        <sz val="11"/>
        <color rgb="FF000000"/>
        <rFont val="京东朗正体 1.0 玲珑"/>
        <charset val="134"/>
      </rPr>
      <t>（1）文件撰写（格式、内容结构及顺序、要点总结）；一周一次</t>
    </r>
    <r>
      <rPr>
        <sz val="11"/>
        <color rgb="FF000000"/>
        <rFont val="京东朗正体 1.0 玲珑"/>
        <charset val="134"/>
      </rPr>
      <t xml:space="preserve">
</t>
    </r>
    <r>
      <rPr>
        <sz val="11"/>
        <color rgb="FF000000"/>
        <rFont val="京东朗正体 1.0 玲珑"/>
        <charset val="134"/>
      </rPr>
      <t>（2）运营操作-记录沉淀：由于业务及知识库通常交叉互通，通过万能博士可梳理所有相关内容并根据本次整理的核心主题融合成最新文档；一周一次</t>
    </r>
  </si>
  <si>
    <t>万能博士 , 豆包</t>
  </si>
  <si>
    <t>gaomingze7@jd.com</t>
  </si>
  <si>
    <t>zhaohuipeng3</t>
  </si>
  <si>
    <t>赵慧鹏</t>
  </si>
  <si>
    <r>
      <rPr>
        <sz val="11"/>
        <color rgb="FF000000"/>
        <rFont val="京东朗正体 1.0 玲珑"/>
        <charset val="134"/>
      </rPr>
      <t>1、POP、秒送等内场企业钱包运营支持，根据客诉情况推动系统优化及流程建设，降低客诉成本</t>
    </r>
    <r>
      <rPr>
        <sz val="11"/>
        <color rgb="FF000000"/>
        <rFont val="京东朗正体 1.0 玲珑"/>
        <charset val="134"/>
      </rPr>
      <t xml:space="preserve">
</t>
    </r>
    <r>
      <rPr>
        <sz val="11"/>
        <color rgb="FF000000"/>
        <rFont val="京东朗正体 1.0 玲珑"/>
        <charset val="134"/>
      </rPr>
      <t>2、企业站、京麦等B端AI知识库沉淀，模型迭代</t>
    </r>
  </si>
  <si>
    <r>
      <rPr>
        <sz val="11"/>
        <color rgb="FF000000"/>
        <rFont val="京东朗正体 1.0 玲珑"/>
        <charset val="134"/>
      </rPr>
      <t>1、根据业务需求简单SQL提数，用于业务分析。3次/月</t>
    </r>
    <r>
      <rPr>
        <sz val="11"/>
        <color rgb="FF000000"/>
        <rFont val="京东朗正体 1.0 玲珑"/>
        <charset val="134"/>
      </rPr>
      <t xml:space="preserve">
</t>
    </r>
    <r>
      <rPr>
        <sz val="11"/>
        <color rgb="FF000000"/>
        <rFont val="京东朗正体 1.0 玲珑"/>
        <charset val="134"/>
      </rPr>
      <t>2、查询竞对（微信、支付宝等）如遗产继承、主体变更等所需材料及流程，用于客诉流程优化。3-5次/月</t>
    </r>
    <r>
      <rPr>
        <sz val="11"/>
        <color rgb="FF000000"/>
        <rFont val="京东朗正体 1.0 玲珑"/>
        <charset val="134"/>
      </rPr>
      <t xml:space="preserve">
</t>
    </r>
    <r>
      <rPr>
        <sz val="11"/>
        <color rgb="FF000000"/>
        <rFont val="京东朗正体 1.0 玲珑"/>
        <charset val="134"/>
      </rPr>
      <t>3、文档沉淀、会议材料等使用。3-5次/月</t>
    </r>
  </si>
  <si>
    <t>zhaohuipeng3@jd.com</t>
  </si>
  <si>
    <t>liang.shen1</t>
  </si>
  <si>
    <t>沈亮</t>
  </si>
  <si>
    <r>
      <rPr>
        <sz val="11"/>
        <color rgb="FF000000"/>
        <rFont val="京东朗正体 1.0 玲珑"/>
        <charset val="134"/>
      </rPr>
      <t>1.香港MSO牌照与放债人牌照监管合规，负责对接本地监管与沟通</t>
    </r>
    <r>
      <rPr>
        <sz val="11"/>
        <color rgb="FF000000"/>
        <rFont val="京东朗正体 1.0 玲珑"/>
        <charset val="134"/>
      </rPr>
      <t xml:space="preserve">
</t>
    </r>
    <r>
      <rPr>
        <sz val="11"/>
        <color rgb="FF000000"/>
        <rFont val="京东朗正体 1.0 玲珑"/>
        <charset val="134"/>
      </rPr>
      <t>2.负责对接合作银行与机构的业务与合规</t>
    </r>
  </si>
  <si>
    <r>
      <rPr>
        <sz val="11"/>
        <color rgb="FF000000"/>
        <rFont val="京东朗正体 1.0 玲珑"/>
        <charset val="134"/>
      </rPr>
      <t>1.建立和训练数字合规官，答复合规问题</t>
    </r>
    <r>
      <rPr>
        <sz val="11"/>
        <color rgb="FF000000"/>
        <rFont val="京东朗正体 1.0 玲珑"/>
        <charset val="134"/>
      </rPr>
      <t xml:space="preserve">
</t>
    </r>
    <r>
      <rPr>
        <sz val="11"/>
        <color rgb="FF000000"/>
        <rFont val="京东朗正体 1.0 玲珑"/>
        <charset val="134"/>
      </rPr>
      <t>2.使用豆包，deepseek，Gemini等查询不同国家的各类牌照适用范围，申牌时间与费用，当地监管要求等，3次/月</t>
    </r>
    <r>
      <rPr>
        <sz val="11"/>
        <color rgb="FF000000"/>
        <rFont val="京东朗正体 1.0 玲珑"/>
        <charset val="134"/>
      </rPr>
      <t xml:space="preserve">
</t>
    </r>
    <r>
      <rPr>
        <sz val="11"/>
        <color rgb="FF000000"/>
        <rFont val="京东朗正体 1.0 玲珑"/>
        <charset val="134"/>
      </rPr>
      <t>3.使用perplexity，deepseek，Gemini等查询与总结代币化，区块链，加密货币等行业信息及相关监管要求，3次/月</t>
    </r>
  </si>
  <si>
    <t>wilson.shen@jd.com</t>
  </si>
  <si>
    <t>香港</t>
  </si>
  <si>
    <t>京东香港怡和大厦职场</t>
  </si>
  <si>
    <t>JoyAI-750B-Thinking(joybuilder)</t>
  </si>
  <si>
    <t>豆包,deepseek,Gemini</t>
  </si>
  <si>
    <t>wangyunyang</t>
  </si>
  <si>
    <t>王云洋</t>
  </si>
  <si>
    <r>
      <rPr>
        <sz val="11"/>
        <color rgb="FF000000"/>
        <rFont val="京东朗正体 1.0 玲珑"/>
        <charset val="134"/>
      </rPr>
      <t>1、部门内外部流程机制建设及优化提效，对客/对内知识沉淀；</t>
    </r>
    <r>
      <rPr>
        <sz val="11"/>
        <color rgb="FF000000"/>
        <rFont val="京东朗正体 1.0 玲珑"/>
        <charset val="134"/>
      </rPr>
      <t xml:space="preserve">
</t>
    </r>
    <r>
      <rPr>
        <sz val="11"/>
        <color rgb="FF000000"/>
        <rFont val="京东朗正体 1.0 玲珑"/>
        <charset val="134"/>
      </rPr>
      <t>2、部门业务及经营指标跟踪分析</t>
    </r>
  </si>
  <si>
    <t>1、万能博士：日常文档及材料文本优化；SQL优化</t>
  </si>
  <si>
    <t>wangyunyang@jd.com</t>
  </si>
  <si>
    <t>guoyan76</t>
  </si>
  <si>
    <t>郭艳</t>
  </si>
  <si>
    <r>
      <rPr>
        <sz val="11"/>
        <color rgb="FF000000"/>
        <rFont val="京东朗正体 1.0 玲珑"/>
        <charset val="134"/>
      </rPr>
      <t>1、国补、有奖发票项目相关资料撰写；</t>
    </r>
    <r>
      <rPr>
        <sz val="11"/>
        <color rgb="FF000000"/>
        <rFont val="京东朗正体 1.0 玲珑"/>
        <charset val="134"/>
      </rPr>
      <t xml:space="preserve">
</t>
    </r>
    <r>
      <rPr>
        <sz val="11"/>
        <color rgb="FF000000"/>
        <rFont val="京东朗正体 1.0 玲珑"/>
        <charset val="134"/>
      </rPr>
      <t>2、日常工作处理；</t>
    </r>
  </si>
  <si>
    <r>
      <rPr>
        <sz val="11"/>
        <color rgb="FF000000"/>
        <rFont val="京东朗正体 1.0 玲珑"/>
        <charset val="134"/>
      </rPr>
      <t>1、对外函件、政府公文材料拟定，通过万能博士或deepseek输入业务初稿后生成可对外的正式文件，每周1-2次 ；</t>
    </r>
    <r>
      <rPr>
        <sz val="11"/>
        <color rgb="FF000000"/>
        <rFont val="京东朗正体 1.0 玲珑"/>
        <charset val="134"/>
      </rPr>
      <t xml:space="preserve">
</t>
    </r>
    <r>
      <rPr>
        <sz val="11"/>
        <color rgb="FF000000"/>
        <rFont val="京东朗正体 1.0 玲珑"/>
        <charset val="134"/>
      </rPr>
      <t>2、会议材料、EXCEL、日常咨询等使用AI，每周3-5次；</t>
    </r>
  </si>
  <si>
    <t>guoyan5@jd.com</t>
  </si>
  <si>
    <t>DeepSeek</t>
  </si>
  <si>
    <t>zhangjutao1</t>
  </si>
  <si>
    <t>张菊涛</t>
  </si>
  <si>
    <r>
      <rPr>
        <sz val="11"/>
        <color rgb="FF000000"/>
        <rFont val="京东朗正体 1.0 玲珑"/>
        <charset val="134"/>
      </rPr>
      <t>1、负责京东收银硬件库存管理、备货，采购申请，生产计划及出入库管理，验收等。</t>
    </r>
    <r>
      <rPr>
        <sz val="11"/>
        <color rgb="FF000000"/>
        <rFont val="京东朗正体 1.0 玲珑"/>
        <charset val="134"/>
      </rPr>
      <t xml:space="preserve">
</t>
    </r>
    <r>
      <rPr>
        <sz val="11"/>
        <color rgb="FF000000"/>
        <rFont val="京东朗正体 1.0 玲珑"/>
        <charset val="134"/>
      </rPr>
      <t>2、负责线下仓储及物流管理对接，异常支持及结算等；</t>
    </r>
    <r>
      <rPr>
        <sz val="11"/>
        <color rgb="FF000000"/>
        <rFont val="京东朗正体 1.0 玲珑"/>
        <charset val="134"/>
      </rPr>
      <t xml:space="preserve">
</t>
    </r>
    <r>
      <rPr>
        <sz val="11"/>
        <color rgb="FF000000"/>
        <rFont val="京东朗正体 1.0 玲珑"/>
        <charset val="134"/>
      </rPr>
      <t>3、硬件售后运营，政策支持及日常运营。</t>
    </r>
  </si>
  <si>
    <r>
      <rPr>
        <sz val="11"/>
        <color rgb="FF000000"/>
        <rFont val="京东朗正体 1.0 玲珑"/>
        <charset val="134"/>
      </rPr>
      <t>1、万能博士： 日常信息文案优化，利用AI输出参考思路框架等，优化文案；查询信息，规则，公式等；每周1-3次</t>
    </r>
    <r>
      <rPr>
        <sz val="11"/>
        <color rgb="FF000000"/>
        <rFont val="京东朗正体 1.0 玲珑"/>
        <charset val="134"/>
      </rPr>
      <t xml:space="preserve">
</t>
    </r>
    <r>
      <rPr>
        <sz val="11"/>
        <color rgb="FF000000"/>
        <rFont val="京东朗正体 1.0 玲珑"/>
        <charset val="134"/>
      </rPr>
      <t>2、deepseek: 查询信息，输出思路，主要用于补充和验证信息；不定期</t>
    </r>
  </si>
  <si>
    <t>豆包,万能博士DeepSeek</t>
  </si>
  <si>
    <t>京东收银部</t>
  </si>
  <si>
    <t>京东集团-京东科技-金融科技事业群-支付业务部-京东收银部</t>
  </si>
  <si>
    <t>zhangjutao1@jd.com</t>
  </si>
  <si>
    <t>anyalin1</t>
  </si>
  <si>
    <t>安亚林</t>
  </si>
  <si>
    <r>
      <rPr>
        <sz val="11"/>
        <color rgb="FF000000"/>
        <rFont val="京东朗正体 1.0 玲珑"/>
        <charset val="134"/>
      </rPr>
      <t>体系内硬件、京东收银对接</t>
    </r>
    <r>
      <rPr>
        <sz val="11"/>
        <color rgb="FF000000"/>
        <rFont val="京东朗正体 1.0 玲珑"/>
        <charset val="134"/>
      </rPr>
      <t xml:space="preserve">
</t>
    </r>
    <r>
      <rPr>
        <sz val="11"/>
        <color rgb="FF000000"/>
        <rFont val="京东朗正体 1.0 玲珑"/>
        <charset val="134"/>
      </rPr>
      <t>1.京东收银网店支持（用于满足体系内业务线硬件需求）以及售后处理跟进</t>
    </r>
    <r>
      <rPr>
        <sz val="11"/>
        <color rgb="FF000000"/>
        <rFont val="京东朗正体 1.0 玲珑"/>
        <charset val="134"/>
      </rPr>
      <t xml:space="preserve">
</t>
    </r>
    <r>
      <rPr>
        <sz val="11"/>
        <color rgb="FF000000"/>
        <rFont val="京东朗正体 1.0 玲珑"/>
        <charset val="134"/>
      </rPr>
      <t>2.京东收银线下门店聚合支付对接（体系内各业务线）包括流程梳理、常见问题SOP、异常问题协助解决等</t>
    </r>
  </si>
  <si>
    <r>
      <rPr>
        <sz val="11"/>
        <color rgb="FF000000"/>
        <rFont val="京东朗正体 1.0 玲珑"/>
        <charset val="134"/>
      </rPr>
      <t>1.豆包：图片修改，每周1-2次</t>
    </r>
    <r>
      <rPr>
        <sz val="11"/>
        <color rgb="FF000000"/>
        <rFont val="京东朗正体 1.0 玲珑"/>
        <charset val="134"/>
      </rPr>
      <t xml:space="preserve">
</t>
    </r>
    <r>
      <rPr>
        <sz val="11"/>
        <color rgb="FF000000"/>
        <rFont val="京东朗正体 1.0 玲珑"/>
        <charset val="134"/>
      </rPr>
      <t>2.使用万能博士、豆包等AI工具用于日常咨询、文案优化，框架优化等，每日</t>
    </r>
  </si>
  <si>
    <t>anyalin1@jd.com</t>
  </si>
  <si>
    <t>xujianfeng12</t>
  </si>
  <si>
    <t>徐监锋</t>
  </si>
  <si>
    <r>
      <rPr>
        <sz val="11"/>
        <color rgb="FF000000"/>
        <rFont val="京东朗正体 1.0 玲珑"/>
        <charset val="134"/>
      </rPr>
      <t>1、负责京东收银所有跟支付相关的运营工作，包括入驻、交易等</t>
    </r>
    <r>
      <rPr>
        <sz val="11"/>
        <color rgb="FF000000"/>
        <rFont val="京东朗正体 1.0 玲珑"/>
        <charset val="134"/>
      </rPr>
      <t xml:space="preserve">
</t>
    </r>
    <r>
      <rPr>
        <sz val="11"/>
        <color rgb="FF000000"/>
        <rFont val="京东朗正体 1.0 玲珑"/>
        <charset val="134"/>
      </rPr>
      <t>2、负责京东收银商户清结算相关工作，包括监控商户打款数据、卡异常等内容受理</t>
    </r>
    <r>
      <rPr>
        <sz val="11"/>
        <color rgb="FF000000"/>
        <rFont val="京东朗正体 1.0 玲珑"/>
        <charset val="134"/>
      </rPr>
      <t xml:space="preserve">
</t>
    </r>
    <r>
      <rPr>
        <sz val="11"/>
        <color rgb="FF000000"/>
        <rFont val="京东朗正体 1.0 玲珑"/>
        <charset val="134"/>
      </rPr>
      <t>3、对接支付通道（三方、银联等）运营工作，包括与机构沟通相关提效、优化等事项</t>
    </r>
    <r>
      <rPr>
        <sz val="11"/>
        <color rgb="FF000000"/>
        <rFont val="京东朗正体 1.0 玲珑"/>
        <charset val="134"/>
      </rPr>
      <t xml:space="preserve">
</t>
    </r>
    <r>
      <rPr>
        <sz val="11"/>
        <color rgb="FF000000"/>
        <rFont val="京东朗正体 1.0 玲珑"/>
        <charset val="134"/>
      </rPr>
      <t>4、对接京东收银自有销售团队运营工作及维护非合作服务商名下商户运营工作内容（ALL）</t>
    </r>
  </si>
  <si>
    <r>
      <rPr>
        <sz val="11"/>
        <color rgb="FF000000"/>
        <rFont val="京东朗正体 1.0 玲珑"/>
        <charset val="134"/>
      </rPr>
      <t>京东万能博士、豆包、deepseek等主流AI工具，几乎每天都用到。</t>
    </r>
    <r>
      <rPr>
        <sz val="11"/>
        <color rgb="FF000000"/>
        <rFont val="京东朗正体 1.0 玲珑"/>
        <charset val="134"/>
      </rPr>
      <t xml:space="preserve">
</t>
    </r>
    <r>
      <rPr>
        <sz val="11"/>
        <color rgb="FF000000"/>
        <rFont val="京东朗正体 1.0 玲珑"/>
        <charset val="134"/>
      </rPr>
      <t>用途：日常资料文案的优化和撰写、取数SQL及优化、快速查询了解监管要求和参考文献。</t>
    </r>
  </si>
  <si>
    <t>xujianfeng12@jd.com</t>
  </si>
  <si>
    <t>jinlianzhou</t>
  </si>
  <si>
    <t>晋连洲</t>
  </si>
  <si>
    <r>
      <rPr>
        <sz val="11"/>
        <color rgb="FF000000"/>
        <rFont val="京东朗正体 1.0 玲珑"/>
        <charset val="134"/>
      </rPr>
      <t>1、负责京东物流、健康大药房及内场各业务需要POS刷卡的运营工作。</t>
    </r>
    <r>
      <rPr>
        <sz val="11"/>
        <color rgb="FF000000"/>
        <rFont val="京东朗正体 1.0 玲珑"/>
        <charset val="134"/>
      </rPr>
      <t xml:space="preserve">
</t>
    </r>
    <r>
      <rPr>
        <sz val="11"/>
        <color rgb="FF000000"/>
        <rFont val="京东朗正体 1.0 玲珑"/>
        <charset val="134"/>
      </rPr>
      <t>2、负责全国各职场商户 员工卡开通及配置工作。</t>
    </r>
    <r>
      <rPr>
        <sz val="11"/>
        <color rgb="FF000000"/>
        <rFont val="京东朗正体 1.0 玲珑"/>
        <charset val="134"/>
      </rPr>
      <t xml:space="preserve">
</t>
    </r>
    <r>
      <rPr>
        <sz val="11"/>
        <color rgb="FF000000"/>
        <rFont val="京东朗正体 1.0 玲珑"/>
        <charset val="134"/>
      </rPr>
      <t>3、负责预付费卡好利来商户及北京直营团队的收银机、小硬件仓库管理工作。</t>
    </r>
  </si>
  <si>
    <r>
      <rPr>
        <sz val="11"/>
        <color rgb="FF000000"/>
        <rFont val="京东朗正体 1.0 玲珑"/>
        <charset val="134"/>
      </rPr>
      <t>JoyDesk：根据业务数据需求生成简单取数SQL，3次/月；不定时生成、修改文案，表格公式查询等，已替代百度。</t>
    </r>
    <r>
      <rPr>
        <sz val="11"/>
        <color rgb="FF000000"/>
        <rFont val="京东朗正体 1.0 玲珑"/>
        <charset val="134"/>
      </rPr>
      <t xml:space="preserve">
</t>
    </r>
    <r>
      <rPr>
        <sz val="11"/>
        <color rgb="FF000000"/>
        <rFont val="京东朗正体 1.0 玲珑"/>
        <charset val="134"/>
      </rPr>
      <t>deepseek：对其他AI生成的文案及问题查询的结果做验证。</t>
    </r>
  </si>
  <si>
    <t>jinlianzhou@jd.com</t>
  </si>
  <si>
    <t>xinlei8</t>
  </si>
  <si>
    <t>辛磊</t>
  </si>
  <si>
    <r>
      <rPr>
        <sz val="11"/>
        <color rgb="FF000000"/>
        <rFont val="京东朗正体 1.0 玲珑"/>
        <charset val="134"/>
      </rPr>
      <t>1、负责收银机的支付激活率提升。</t>
    </r>
    <r>
      <rPr>
        <sz val="11"/>
        <color rgb="FF000000"/>
        <rFont val="京东朗正体 1.0 玲珑"/>
        <charset val="134"/>
      </rPr>
      <t xml:space="preserve">
</t>
    </r>
    <r>
      <rPr>
        <sz val="11"/>
        <color rgb="FF000000"/>
        <rFont val="京东朗正体 1.0 玲珑"/>
        <charset val="134"/>
      </rPr>
      <t>2、负责收银机商户手续费收入与毛利提升。</t>
    </r>
    <r>
      <rPr>
        <sz val="11"/>
        <color rgb="FF000000"/>
        <rFont val="京东朗正体 1.0 玲珑"/>
        <charset val="134"/>
      </rPr>
      <t xml:space="preserve">
</t>
    </r>
    <r>
      <rPr>
        <sz val="11"/>
        <color rgb="FF000000"/>
        <rFont val="京东朗正体 1.0 玲珑"/>
        <charset val="134"/>
      </rPr>
      <t>3、负责收银机活跃门店数量提升。</t>
    </r>
  </si>
  <si>
    <r>
      <rPr>
        <sz val="11"/>
        <color rgb="FF000000"/>
        <rFont val="京东朗正体 1.0 玲珑"/>
        <charset val="134"/>
      </rPr>
      <t>1.豆包：推送文案的编辑与调整。</t>
    </r>
    <r>
      <rPr>
        <sz val="11"/>
        <color rgb="FF000000"/>
        <rFont val="京东朗正体 1.0 玲珑"/>
        <charset val="134"/>
      </rPr>
      <t xml:space="preserve">
</t>
    </r>
    <r>
      <rPr>
        <sz val="11"/>
        <color rgb="FF000000"/>
        <rFont val="京东朗正体 1.0 玲珑"/>
        <charset val="134"/>
      </rPr>
      <t>2.deepseek：推送文案的编辑与调整。</t>
    </r>
    <r>
      <rPr>
        <sz val="11"/>
        <color rgb="FF000000"/>
        <rFont val="京东朗正体 1.0 玲珑"/>
        <charset val="134"/>
      </rPr>
      <t xml:space="preserve">
</t>
    </r>
    <r>
      <rPr>
        <sz val="11"/>
        <color rgb="FF000000"/>
        <rFont val="京东朗正体 1.0 玲珑"/>
        <charset val="134"/>
      </rPr>
      <t>3.京东万能博士：主要用于支付激活、增收等整体方案的制定与修改指导。</t>
    </r>
  </si>
  <si>
    <t>xinlei1@jd.com</t>
  </si>
  <si>
    <t>wywangjia</t>
  </si>
  <si>
    <t>王佳</t>
  </si>
  <si>
    <r>
      <rPr>
        <sz val="11"/>
        <color rgb="FF000000"/>
        <rFont val="京东朗正体 1.0 玲珑"/>
        <charset val="134"/>
      </rPr>
      <t>1、负责线上服务商管理，制定抽检标准与流程并执行落地。</t>
    </r>
    <r>
      <rPr>
        <sz val="11"/>
        <color rgb="FF000000"/>
        <rFont val="京东朗正体 1.0 玲珑"/>
        <charset val="134"/>
      </rPr>
      <t xml:space="preserve">
</t>
    </r>
    <r>
      <rPr>
        <sz val="11"/>
        <color rgb="FF000000"/>
        <rFont val="京东朗正体 1.0 玲珑"/>
        <charset val="134"/>
      </rPr>
      <t>2、负责各平台线上服务商的店铺分提升</t>
    </r>
  </si>
  <si>
    <r>
      <rPr>
        <sz val="11"/>
        <color rgb="FF000000"/>
        <rFont val="京东朗正体 1.0 玲珑"/>
        <charset val="134"/>
      </rPr>
      <t>1.万能博士：输入业务背景与目的，利于AI输出业务框架作为参考，包含提供问题生成问卷、各平台店铺运营规则等，不定期生成。</t>
    </r>
    <r>
      <rPr>
        <sz val="11"/>
        <color rgb="FF000000"/>
        <rFont val="京东朗正体 1.0 玲珑"/>
        <charset val="134"/>
      </rPr>
      <t xml:space="preserve">
</t>
    </r>
    <r>
      <rPr>
        <sz val="11"/>
        <color rgb="FF000000"/>
        <rFont val="京东朗正体 1.0 玲珑"/>
        <charset val="134"/>
      </rPr>
      <t>2.豆包：搜索各平台店铺运营规则，与万能博士输出结果对比结合使用，不定期使用，频次较低。</t>
    </r>
  </si>
  <si>
    <t>wangjiacb@jd.com</t>
  </si>
  <si>
    <t>万能博士,豆包</t>
  </si>
  <si>
    <t>fengjin74</t>
  </si>
  <si>
    <t>冯锦</t>
  </si>
  <si>
    <r>
      <rPr>
        <sz val="11"/>
        <color rgb="FF000000"/>
        <rFont val="京东朗正体 1.0 玲珑"/>
        <charset val="134"/>
      </rPr>
      <t>1、 负责京东收银软件产品的售后运营，跟进问题排查与解决，推动产品体验持续优化，提升问题解决效率。</t>
    </r>
    <r>
      <rPr>
        <sz val="11"/>
        <color rgb="FF000000"/>
        <rFont val="京东朗正体 1.0 玲珑"/>
        <charset val="134"/>
      </rPr>
      <t xml:space="preserve">
</t>
    </r>
    <r>
      <rPr>
        <sz val="11"/>
        <color rgb="FF000000"/>
        <rFont val="京东朗正体 1.0 玲珑"/>
        <charset val="134"/>
      </rPr>
      <t>2、负责新服务商的落地运营，通过培训、企微群带教等方式完成服务商交付，确保其快速上手。</t>
    </r>
    <r>
      <rPr>
        <sz val="11"/>
        <color rgb="FF000000"/>
        <rFont val="京东朗正体 1.0 玲珑"/>
        <charset val="134"/>
      </rPr>
      <t xml:space="preserve">
</t>
    </r>
    <r>
      <rPr>
        <sz val="11"/>
        <color rgb="FF000000"/>
        <rFont val="京东朗正体 1.0 玲珑"/>
        <charset val="134"/>
      </rPr>
      <t>3、统筹京东收银服务商企微群的日常运营，解决疑难问题，同时优化服务流程，提升服务商整体展业效率。</t>
    </r>
  </si>
  <si>
    <r>
      <rPr>
        <sz val="11"/>
        <color rgb="FF000000"/>
        <rFont val="京东朗正体 1.0 玲珑"/>
        <charset val="134"/>
      </rPr>
      <t>1、deepseek&amp;万能博士：文案类的工作。（不定期）</t>
    </r>
    <r>
      <rPr>
        <sz val="11"/>
        <color rgb="FF000000"/>
        <rFont val="京东朗正体 1.0 玲珑"/>
        <charset val="134"/>
      </rPr>
      <t xml:space="preserve">
</t>
    </r>
    <r>
      <rPr>
        <sz val="11"/>
        <color rgb="FF000000"/>
        <rFont val="京东朗正体 1.0 玲珑"/>
        <charset val="134"/>
      </rPr>
      <t>2、飞影数字人：标准化培训视频制作。先完成ppt制作，再通过飞影数字人生成AI主播视频，培训时，标准部分由AI主播进行解决，节省的人力更多投入到互动答疑方面。（不定期）</t>
    </r>
    <r>
      <rPr>
        <sz val="11"/>
        <color rgb="FF000000"/>
        <rFont val="京东朗正体 1.0 玲珑"/>
        <charset val="134"/>
      </rPr>
      <t xml:space="preserve">
</t>
    </r>
    <r>
      <rPr>
        <sz val="11"/>
        <color rgb="FF000000"/>
        <rFont val="京东朗正体 1.0 玲珑"/>
        <charset val="134"/>
      </rPr>
      <t>3、豆包：活动海报设计参考。提供自己的需求+思路，生成参考图同步给设计师进行二改。（不定期）</t>
    </r>
  </si>
  <si>
    <t>fengjin74@jd.com</t>
  </si>
  <si>
    <t>飞影数字人,deepseek,万能博士</t>
  </si>
  <si>
    <t>zhangshan7</t>
  </si>
  <si>
    <t>张山</t>
  </si>
  <si>
    <r>
      <rPr>
        <sz val="11"/>
        <color rgb="FF000000"/>
        <rFont val="京东朗正体 1.0 玲珑"/>
        <charset val="134"/>
      </rPr>
      <t>1.农金侧服务商签约解约流程</t>
    </r>
    <r>
      <rPr>
        <sz val="11"/>
        <color rgb="FF000000"/>
        <rFont val="京东朗正体 1.0 玲珑"/>
        <charset val="134"/>
      </rPr>
      <t xml:space="preserve">
</t>
    </r>
    <r>
      <rPr>
        <sz val="11"/>
        <color rgb="FF000000"/>
        <rFont val="京东朗正体 1.0 玲珑"/>
        <charset val="134"/>
      </rPr>
      <t>2.日常代理商运营及问题处理</t>
    </r>
    <r>
      <rPr>
        <sz val="11"/>
        <color rgb="FF000000"/>
        <rFont val="京东朗正体 1.0 玲珑"/>
        <charset val="134"/>
      </rPr>
      <t xml:space="preserve">
</t>
    </r>
    <r>
      <rPr>
        <sz val="11"/>
        <color rgb="FF000000"/>
        <rFont val="京东朗正体 1.0 玲珑"/>
        <charset val="134"/>
      </rPr>
      <t>3.对销线做产品政策制度的宣导培训</t>
    </r>
  </si>
  <si>
    <r>
      <rPr>
        <sz val="11"/>
        <color rgb="FF000000"/>
        <rFont val="京东朗正体 1.0 玲珑"/>
        <charset val="134"/>
      </rPr>
      <t>1.JoyContract：合同AI风险审查，合同内容审核，每周1-2次。</t>
    </r>
    <r>
      <rPr>
        <sz val="11"/>
        <color rgb="FF000000"/>
        <rFont val="京东朗正体 1.0 玲珑"/>
        <charset val="134"/>
      </rPr>
      <t xml:space="preserve">
</t>
    </r>
    <r>
      <rPr>
        <sz val="11"/>
        <color rgb="FF000000"/>
        <rFont val="京东朗正体 1.0 玲珑"/>
        <charset val="134"/>
      </rPr>
      <t>2.万能博士：日常文案内容的总结和优化，内容的提炼。日常沟通总结和创建代办。每日2-3次</t>
    </r>
    <r>
      <rPr>
        <sz val="11"/>
        <color rgb="FF000000"/>
        <rFont val="京东朗正体 1.0 玲珑"/>
        <charset val="134"/>
      </rPr>
      <t xml:space="preserve">
</t>
    </r>
    <r>
      <rPr>
        <sz val="11"/>
        <color rgb="FF000000"/>
        <rFont val="京东朗正体 1.0 玲珑"/>
        <charset val="134"/>
      </rPr>
      <t>3.豆包：查询友商产品介绍输出对比分析，行业报告的查找。</t>
    </r>
  </si>
  <si>
    <t>zhangshan7@jd.com</t>
  </si>
  <si>
    <t>lili36</t>
  </si>
  <si>
    <t>李丽</t>
  </si>
  <si>
    <r>
      <rPr>
        <sz val="11"/>
        <color rgb="FF000000"/>
        <rFont val="京东朗正体 1.0 玲珑"/>
        <charset val="134"/>
      </rPr>
      <t>1、京东收银线上渠道日常运营：各平台店铺入驻、店铺数据统计分析、线上活动方案等</t>
    </r>
    <r>
      <rPr>
        <sz val="11"/>
        <color rgb="FF000000"/>
        <rFont val="京东朗正体 1.0 玲珑"/>
        <charset val="134"/>
      </rPr>
      <t xml:space="preserve">
</t>
    </r>
    <r>
      <rPr>
        <sz val="11"/>
        <color rgb="FF000000"/>
        <rFont val="京东朗正体 1.0 玲珑"/>
        <charset val="134"/>
      </rPr>
      <t>2、京东收银线上渠道价格管控：结合各平台制定售卖价、控价管理标准、日常巡检管控等</t>
    </r>
    <r>
      <rPr>
        <sz val="11"/>
        <color rgb="FF000000"/>
        <rFont val="京东朗正体 1.0 玲珑"/>
        <charset val="134"/>
      </rPr>
      <t xml:space="preserve">
</t>
    </r>
    <r>
      <rPr>
        <sz val="11"/>
        <color rgb="FF000000"/>
        <rFont val="京东朗正体 1.0 玲珑"/>
        <charset val="134"/>
      </rPr>
      <t>3、线上渠道服务商签约、解约、数据统计分析，各周期目标制定完成情况跟进等</t>
    </r>
    <r>
      <rPr>
        <sz val="11"/>
        <color rgb="FF000000"/>
        <rFont val="京东朗正体 1.0 玲珑"/>
        <charset val="134"/>
      </rPr>
      <t xml:space="preserve">
</t>
    </r>
    <r>
      <rPr>
        <sz val="11"/>
        <color rgb="FF000000"/>
        <rFont val="京东朗正体 1.0 玲珑"/>
        <charset val="134"/>
      </rPr>
      <t>4、上门安装增值服务上线运营。</t>
    </r>
  </si>
  <si>
    <r>
      <rPr>
        <sz val="11"/>
        <color rgb="FF000000"/>
        <rFont val="京东朗正体 1.0 玲珑"/>
        <charset val="134"/>
      </rPr>
      <t>1、万能博士：日常报告文案规则等内容的总结和优化，内容的提炼。日常沟通总结和创建代办。每周2-3次</t>
    </r>
    <r>
      <rPr>
        <sz val="11"/>
        <color rgb="FF000000"/>
        <rFont val="京东朗正体 1.0 玲珑"/>
        <charset val="134"/>
      </rPr>
      <t xml:space="preserve">
</t>
    </r>
    <r>
      <rPr>
        <sz val="11"/>
        <color rgb="FF000000"/>
        <rFont val="京东朗正体 1.0 玲珑"/>
        <charset val="134"/>
      </rPr>
      <t>2、OxygenVision制作商详图。不定期</t>
    </r>
    <r>
      <rPr>
        <sz val="11"/>
        <color rgb="FF000000"/>
        <rFont val="京东朗正体 1.0 玲珑"/>
        <charset val="134"/>
      </rPr>
      <t xml:space="preserve">
</t>
    </r>
    <r>
      <rPr>
        <sz val="11"/>
        <color rgb="FF000000"/>
        <rFont val="京东朗正体 1.0 玲珑"/>
        <charset val="134"/>
      </rPr>
      <t>3、豆包：线上各平台的规则查询解读更新等。每周2-3次。</t>
    </r>
  </si>
  <si>
    <t>lili36@jd.com</t>
  </si>
  <si>
    <t>OxygenVision</t>
  </si>
  <si>
    <t>zhourouxi5</t>
  </si>
  <si>
    <t>周柔熙</t>
  </si>
  <si>
    <r>
      <rPr>
        <sz val="11"/>
        <color rgb="FF000000"/>
        <rFont val="京东朗正体 1.0 玲珑"/>
        <charset val="134"/>
      </rPr>
      <t>1、风控上下游运营管理、对接、处置、内控</t>
    </r>
    <r>
      <rPr>
        <sz val="11"/>
        <color rgb="FF000000"/>
        <rFont val="京东朗正体 1.0 玲珑"/>
        <charset val="134"/>
      </rPr>
      <t xml:space="preserve">
</t>
    </r>
    <r>
      <rPr>
        <sz val="11"/>
        <color rgb="FF000000"/>
        <rFont val="京东朗正体 1.0 玲珑"/>
        <charset val="134"/>
      </rPr>
      <t>2、商户入网环节运营管控：入网规则标准制定与更新优化、审核赋能提效、入网提效、通道入网对接、支行管控</t>
    </r>
    <r>
      <rPr>
        <sz val="11"/>
        <color rgb="FF000000"/>
        <rFont val="京东朗正体 1.0 玲珑"/>
        <charset val="134"/>
      </rPr>
      <t xml:space="preserve">
</t>
    </r>
    <r>
      <rPr>
        <sz val="11"/>
        <color rgb="FF000000"/>
        <rFont val="京东朗正体 1.0 玲珑"/>
        <charset val="134"/>
      </rPr>
      <t>3、对客：京东收银产品维度在客服对客场景的知识点流程梳理赋能、流程优化更新等</t>
    </r>
  </si>
  <si>
    <r>
      <rPr>
        <sz val="11"/>
        <color rgb="FF000000"/>
        <rFont val="京东朗正体 1.0 玲珑"/>
        <charset val="134"/>
      </rPr>
      <t>自研AI数字机器人“审核专家”，准备训练调试为服务入网疑难群的“入网专家”角色，目前进度在底层内容知识库的全量梳理中，还未正式投产运用。（期望成熟后能复用到bd app、企微、客服一线等场景）</t>
    </r>
    <r>
      <rPr>
        <sz val="11"/>
        <color rgb="FF000000"/>
        <rFont val="京东朗正体 1.0 玲珑"/>
        <charset val="134"/>
      </rPr>
      <t xml:space="preserve">
</t>
    </r>
    <r>
      <rPr>
        <sz val="11"/>
        <color rgb="FF000000"/>
        <rFont val="京东朗正体 1.0 玲珑"/>
        <charset val="134"/>
      </rPr>
      <t>材料撰写：在梳理规则、制度、解决疑难case、服务商纠纷、消保客诉等环节，使用万能博士了解市场、客户、行业、监管等信息和信号，再人工基于ai充分对话和解答输出方案。</t>
    </r>
    <r>
      <rPr>
        <sz val="11"/>
        <color rgb="FF000000"/>
        <rFont val="京东朗正体 1.0 玲珑"/>
        <charset val="134"/>
      </rPr>
      <t xml:space="preserve">
</t>
    </r>
  </si>
  <si>
    <t>zhourouxi5@jd.com</t>
  </si>
  <si>
    <t>suguangming1</t>
  </si>
  <si>
    <t>苏广明</t>
  </si>
  <si>
    <t>销售下单及相关数据整理、渠道对账</t>
  </si>
  <si>
    <r>
      <rPr>
        <sz val="11"/>
        <color rgb="FF000000"/>
        <rFont val="京东朗正体 1.0 玲珑"/>
        <charset val="134"/>
      </rPr>
      <t>1.在撰写材料时，使用豆包进行一些参考，1个月2-3次；</t>
    </r>
    <r>
      <rPr>
        <sz val="11"/>
        <color rgb="FF000000"/>
        <rFont val="京东朗正体 1.0 玲珑"/>
        <charset val="134"/>
      </rPr>
      <t xml:space="preserve">
</t>
    </r>
    <r>
      <rPr>
        <sz val="11"/>
        <color rgb="FF000000"/>
        <rFont val="京东朗正体 1.0 玲珑"/>
        <charset val="134"/>
      </rPr>
      <t>2.遇到没头绪或不知道怎么解决的问题，使用豆包查询，1个月3-5次。</t>
    </r>
  </si>
  <si>
    <t>suguangming1@jd.com</t>
  </si>
  <si>
    <t>duyongkuan</t>
  </si>
  <si>
    <t>杜永宽</t>
  </si>
  <si>
    <t>外场非金商户的运营支持</t>
  </si>
  <si>
    <r>
      <rPr>
        <sz val="11"/>
        <color rgb="FF000000"/>
        <rFont val="京东朗正体 1.0 玲珑"/>
        <charset val="134"/>
      </rPr>
      <t>1.在撰写材料时，使用万能博士进行一些参考，1个月2-3次；</t>
    </r>
    <r>
      <rPr>
        <sz val="11"/>
        <color rgb="FF000000"/>
        <rFont val="京东朗正体 1.0 玲珑"/>
        <charset val="134"/>
      </rPr>
      <t xml:space="preserve">
</t>
    </r>
    <r>
      <rPr>
        <sz val="11"/>
        <color rgb="FF000000"/>
        <rFont val="京东朗正体 1.0 玲珑"/>
        <charset val="134"/>
      </rPr>
      <t>2.EXCEL公式不会了，使用万能博士查询，1个月2-3次；</t>
    </r>
    <r>
      <rPr>
        <sz val="11"/>
        <color rgb="FF000000"/>
        <rFont val="京东朗正体 1.0 玲珑"/>
        <charset val="134"/>
      </rPr>
      <t xml:space="preserve">
</t>
    </r>
    <r>
      <rPr>
        <sz val="11"/>
        <color rgb="FF000000"/>
        <rFont val="京东朗正体 1.0 玲珑"/>
        <charset val="134"/>
      </rPr>
      <t>3.支付相关概念不清晰，使用万能博士查询，1个月3-5次。</t>
    </r>
  </si>
  <si>
    <t>行业解决方案组</t>
  </si>
  <si>
    <t>京东集团-京东科技-金融科技事业群-支付业务部-行业解决方案组</t>
  </si>
  <si>
    <t>duyongkuan@jd.com</t>
  </si>
  <si>
    <t>zhangjing84</t>
  </si>
  <si>
    <t>张婧</t>
  </si>
  <si>
    <t>外场金融商户的运营支持</t>
  </si>
  <si>
    <r>
      <rPr>
        <sz val="11"/>
        <color rgb="FF000000"/>
        <rFont val="京东朗正体 1.0 玲珑"/>
        <charset val="134"/>
      </rPr>
      <t>1. 写汇报材料时，用到万能博士进行参考，1个月7-8次</t>
    </r>
    <r>
      <rPr>
        <sz val="11"/>
        <color rgb="FF000000"/>
        <rFont val="京东朗正体 1.0 玲珑"/>
        <charset val="134"/>
      </rPr>
      <t xml:space="preserve">
</t>
    </r>
    <r>
      <rPr>
        <sz val="11"/>
        <color rgb="FF000000"/>
        <rFont val="京东朗正体 1.0 玲珑"/>
        <charset val="134"/>
      </rPr>
      <t>2. 使用JOYDATA进行数据分析，查询异动商户情况</t>
    </r>
    <r>
      <rPr>
        <sz val="11"/>
        <color rgb="FF000000"/>
        <rFont val="京东朗正体 1.0 玲珑"/>
        <charset val="134"/>
      </rPr>
      <t xml:space="preserve">
</t>
    </r>
    <r>
      <rPr>
        <sz val="11"/>
        <color rgb="FF000000"/>
        <rFont val="京东朗正体 1.0 玲珑"/>
        <charset val="134"/>
      </rPr>
      <t>3. 每周自动推送周报时，用到JOYDATA的数据推送功能，每周1-2次</t>
    </r>
  </si>
  <si>
    <t>万能博士,DeepSeek,豆包</t>
  </si>
  <si>
    <t>zhangjing84@jd.com</t>
  </si>
  <si>
    <t>万能博士,DeepSeek,JOYDATA</t>
  </si>
  <si>
    <t>juwei1</t>
  </si>
  <si>
    <t>鞠威</t>
  </si>
  <si>
    <t>统筹外场商户的运营工作</t>
  </si>
  <si>
    <t>juwei1@jd.com</t>
  </si>
  <si>
    <t>songziang.3</t>
  </si>
  <si>
    <t>宋梓昂</t>
  </si>
  <si>
    <r>
      <rPr>
        <sz val="11"/>
        <color rgb="FF000000"/>
        <rFont val="京东朗正体 1.0 玲珑"/>
        <charset val="134"/>
      </rPr>
      <t>1. 外场非金商户的运营支持</t>
    </r>
    <r>
      <rPr>
        <sz val="11"/>
        <color rgb="FF000000"/>
        <rFont val="京东朗正体 1.0 玲珑"/>
        <charset val="134"/>
      </rPr>
      <t xml:space="preserve">
</t>
    </r>
    <r>
      <rPr>
        <sz val="11"/>
        <color rgb="FF000000"/>
        <rFont val="京东朗正体 1.0 玲珑"/>
        <charset val="134"/>
      </rPr>
      <t>2. 外场非金商户数据分析</t>
    </r>
  </si>
  <si>
    <t>在工作中使用SQL时，一些不懂的语法会问万能博士，1个月5-8次</t>
  </si>
  <si>
    <t>songziang.3@jd.com</t>
  </si>
  <si>
    <t>wangzhiyi23</t>
  </si>
  <si>
    <t>王智逸</t>
  </si>
  <si>
    <r>
      <rPr>
        <sz val="11"/>
        <color rgb="FF000000"/>
        <rFont val="京东朗正体 1.0 玲珑"/>
        <charset val="134"/>
      </rPr>
      <t>1. 外场金融商户的运营支持</t>
    </r>
    <r>
      <rPr>
        <sz val="11"/>
        <color rgb="FF000000"/>
        <rFont val="京东朗正体 1.0 玲珑"/>
        <charset val="134"/>
      </rPr>
      <t xml:space="preserve">
</t>
    </r>
    <r>
      <rPr>
        <sz val="11"/>
        <color rgb="FF000000"/>
        <rFont val="京东朗正体 1.0 玲珑"/>
        <charset val="134"/>
      </rPr>
      <t>2. 统筹外场商户数据分析</t>
    </r>
    <r>
      <rPr>
        <sz val="11"/>
        <color rgb="FF000000"/>
        <rFont val="京东朗正体 1.0 玲珑"/>
        <charset val="134"/>
      </rPr>
      <t xml:space="preserve">
</t>
    </r>
    <r>
      <rPr>
        <sz val="11"/>
        <color rgb="FF000000"/>
        <rFont val="京东朗正体 1.0 玲珑"/>
        <charset val="134"/>
      </rPr>
      <t>3. 统筹管理部门看板及数据指标的建设</t>
    </r>
  </si>
  <si>
    <t>wangzhiyi23@jd.com</t>
  </si>
  <si>
    <t>shenfengmei</t>
  </si>
  <si>
    <t>沈凤梅</t>
  </si>
  <si>
    <t>1、负责财富应收运营业务；
2、财富BP</t>
  </si>
  <si>
    <t>1、万能博士：对话交互，输入问题或一段文字协助润色总结，每周；
2、慧记：识别音频并总结，智能会议纪要，每周；</t>
  </si>
  <si>
    <t>万能博士、豆包、deepseek</t>
  </si>
  <si>
    <t>产品运营岗</t>
  </si>
  <si>
    <t>产品结算运营部</t>
  </si>
  <si>
    <t>sqshenfengmei@jd.com</t>
  </si>
  <si>
    <t>京东集团全球客服中心4号园区</t>
  </si>
  <si>
    <t>京东集团全球客服中心5号园区</t>
  </si>
  <si>
    <t>京东集团全球客服中心6号园区</t>
  </si>
  <si>
    <t>京东集团全球客服中心7号园区</t>
  </si>
  <si>
    <t>京东集团全球客服中心8号园区</t>
  </si>
  <si>
    <t>京东集团全球客服中心9号园区</t>
  </si>
  <si>
    <t>京东集团全球客服中心10号园区</t>
  </si>
  <si>
    <t>京东集团全球客服中心11号园区</t>
  </si>
  <si>
    <t>京东集团全球客服中心12号园区</t>
  </si>
  <si>
    <t>京东集团全球客服中心13号园区</t>
  </si>
  <si>
    <t>京东集团全球客服中心14号园区</t>
  </si>
  <si>
    <t>京东集团全球客服中心15号园区</t>
  </si>
  <si>
    <t>zhongjingwen6</t>
  </si>
  <si>
    <t>仲静文</t>
  </si>
  <si>
    <t>1、负责京东收银账单计算工作；
2、支付BP</t>
  </si>
  <si>
    <t>京东集团全球客服中心16号园区</t>
  </si>
  <si>
    <t>京东集团全球客服中心17号园区</t>
  </si>
  <si>
    <t>京东集团全球客服中心18号园区</t>
  </si>
  <si>
    <t>京东集团全球客服中心19号园区</t>
  </si>
  <si>
    <t>京东集团全球客服中心20号园区</t>
  </si>
  <si>
    <t>京东集团全球客服中心21号园区</t>
  </si>
  <si>
    <t>京东集团全球客服中心22号园区</t>
  </si>
  <si>
    <t>京东集团全球客服中心23号园区</t>
  </si>
  <si>
    <t>京东集团全球客服中心24号园区</t>
  </si>
  <si>
    <t>京东集团全球客服中心25号园区</t>
  </si>
  <si>
    <t>京东集团全球客服中心26号园区</t>
  </si>
  <si>
    <t>京东集团全球客服中心27号园区</t>
  </si>
  <si>
    <t>guowenjing10</t>
  </si>
  <si>
    <t>郭文静</t>
  </si>
  <si>
    <t>1、应收运营金链系统接口人，负责监控金链台账使用情况及台账数据及时与准确性，系统需求统筹；
2、应收-支付（含信用卡）BP，负责该条线的业务的正常运营及风险问题处理跟踪；
3、负责支付-京东收银应收业务账票款运营；
4、负责应收-支付（含信用卡）效能攻坚整体进度追踪，确保有节奏推进和落地；</t>
  </si>
  <si>
    <t>1、万能博士：对话交互，输入问题或一段文字协助润色总结，不定期；
2、慧记：识别音频并总结，智能会议纪要，不定期；</t>
  </si>
  <si>
    <t>京东集团全球客服中心28号园区</t>
  </si>
  <si>
    <t>京东集团全球客服中心29号园区</t>
  </si>
  <si>
    <t>京东集团全球客服中心30号园区</t>
  </si>
  <si>
    <t>京东集团全球客服中心31号园区</t>
  </si>
  <si>
    <t>京东集团全球客服中心32号园区</t>
  </si>
  <si>
    <t>京东集团全球客服中心33号园区</t>
  </si>
  <si>
    <t>京东集团全球客服中心34号园区</t>
  </si>
  <si>
    <t>京东集团全球客服中心35号园区</t>
  </si>
  <si>
    <t>京东集团全球客服中心36号园区</t>
  </si>
  <si>
    <t>京东集团全球客服中心37号园区</t>
  </si>
  <si>
    <t>京东集团全球客服中心38号园区</t>
  </si>
  <si>
    <t>京东集团全球客服中心39号园区</t>
  </si>
  <si>
    <t>gaoyue13</t>
  </si>
  <si>
    <t>高越</t>
  </si>
  <si>
    <t>1、负责金科群组应收运营管理，负责产品结算运营部-应收小组运营管理，包含团队和专项会议统筹、跨部门资源协调、流程规范制定及应收运营风险处置，提供决策支持与团队绩效管理，保障应收运营高效运转。</t>
  </si>
  <si>
    <t>1、万能博士，对话交互，方案探讨与信息沟通，每周。
2、慧记：识别音频并总结，智能会议纪要，不定期；</t>
  </si>
  <si>
    <t>京东集团全球客服中心40号园区</t>
  </si>
  <si>
    <t>京东集团全球客服中心41号园区</t>
  </si>
  <si>
    <t>京东集团全球客服中心42号园区</t>
  </si>
  <si>
    <t>京东集团全球客服中心43号园区</t>
  </si>
  <si>
    <t>京东集团全球客服中心44号园区</t>
  </si>
  <si>
    <t>京东集团全球客服中心45号园区</t>
  </si>
  <si>
    <t>京东集团全球客服中心46号园区</t>
  </si>
  <si>
    <t>京东集团全球客服中心47号园区</t>
  </si>
  <si>
    <t>京东集团全球客服中心48号园区</t>
  </si>
  <si>
    <t>京东集团全球客服中心49号园区</t>
  </si>
  <si>
    <t>京东集团全球客服中心50号园区</t>
  </si>
  <si>
    <t>京东集团全球客服中心51号园区</t>
  </si>
  <si>
    <t>京东集团全球客服中心52号园区</t>
  </si>
  <si>
    <t>caixiaowen2</t>
  </si>
  <si>
    <t>蔡晓雯</t>
  </si>
  <si>
    <t>负责电销应付结算工作</t>
  </si>
  <si>
    <t>1、万能博士：对话交互，输入问题或一段文字协助润色总结，每周；
2、慧记：记录音频并总结，参与会议时协助总结会议重点，每周；</t>
  </si>
  <si>
    <t>万能博士、慧记</t>
  </si>
  <si>
    <t>京东集团全球客服中心53号园区</t>
  </si>
  <si>
    <t>京东集团全球客服中心54号园区</t>
  </si>
  <si>
    <t>京东集团全球客服中心55号园区</t>
  </si>
  <si>
    <t>京东集团全球客服中心56号园区</t>
  </si>
  <si>
    <t>京东集团全球客服中心57号园区</t>
  </si>
  <si>
    <t>京东集团全球客服中心58号园区</t>
  </si>
  <si>
    <t>京东集团全球客服中心59号园区</t>
  </si>
  <si>
    <t>京东集团全球客服中心60号园区</t>
  </si>
  <si>
    <t>京东集团全球客服中心61号园区</t>
  </si>
  <si>
    <t>京东集团全球客服中心62号园区</t>
  </si>
  <si>
    <t>京东集团全球客服中心63号园区</t>
  </si>
  <si>
    <t>jsxxy</t>
  </si>
  <si>
    <t>向晓艳</t>
  </si>
  <si>
    <t>1、应付小组运营</t>
  </si>
  <si>
    <t>1、万能博士，对话交互，方案探讨与文案润色，每周。
2、joyclaw，创建办公伙伴负责工作协同，每周。</t>
  </si>
  <si>
    <t>京东集团全球客服中心64号园区</t>
  </si>
  <si>
    <t>京东集团全球客服中心65号园区</t>
  </si>
  <si>
    <t>京东集团全球客服中心66号园区</t>
  </si>
  <si>
    <t>京东集团全球客服中心67号园区</t>
  </si>
  <si>
    <t>京东集团全球客服中心68号园区</t>
  </si>
  <si>
    <t>京东集团全球客服中心69号园区</t>
  </si>
  <si>
    <t>京东集团全球客服中心70号园区</t>
  </si>
  <si>
    <t>京东集团全球客服中心71号园区</t>
  </si>
  <si>
    <t>京东集团全球客服中心72号园区</t>
  </si>
  <si>
    <t>京东集团全球客服中心73号园区</t>
  </si>
  <si>
    <t>京东集团全球客服中心74号园区</t>
  </si>
  <si>
    <t>京东集团全球客服中心75号园区</t>
  </si>
  <si>
    <t>京东集团全球客服中心76号园区</t>
  </si>
  <si>
    <t>京东集团全球客服中心77号园区</t>
  </si>
  <si>
    <t>hujuan15</t>
  </si>
  <si>
    <t>胡娟</t>
  </si>
  <si>
    <t>1、负责金采、企业支付、京保贝应收应付账票款运营
2、企业金融应收BP
3、负责产品结算运营部SOP2.0迭代更新机制</t>
  </si>
  <si>
    <t>1、万能博士：对话交互，信息查询及分析，不定期；
2、慧记：记录音频并总结，参与会议时协助总结会议重点，每周；</t>
  </si>
  <si>
    <t>京东集团全球客服中心78号园区</t>
  </si>
  <si>
    <t>京东集团全球客服中心79号园区</t>
  </si>
  <si>
    <t>京东集团全球客服中心80号园区</t>
  </si>
  <si>
    <t>京东集团全球客服中心81号园区</t>
  </si>
  <si>
    <t>京东集团全球客服中心82号园区</t>
  </si>
  <si>
    <t>京东集团全球客服中心83号园区</t>
  </si>
  <si>
    <t>京东集团全球客服中心84号园区</t>
  </si>
  <si>
    <t>京东集团全球客服中心85号园区</t>
  </si>
  <si>
    <t>京东集团全球客服中心86号园区</t>
  </si>
  <si>
    <t>京东集团全球客服中心87号园区</t>
  </si>
  <si>
    <t>京东集团全球客服中心88号园区</t>
  </si>
  <si>
    <t>京东集团全球客服中心89号园区</t>
  </si>
  <si>
    <t>京东集团全球客服中心90号园区</t>
  </si>
  <si>
    <t>jiangmengying5</t>
  </si>
  <si>
    <t>蒋梦萦</t>
  </si>
  <si>
    <t>1、负责企业金融小微平台（应收）、采购融资、应收融资账票款运营
2、负责434信托委贷场景提单认款</t>
  </si>
  <si>
    <t>1、万能博士：对话交互，输入问题或一段文字协助润色总结，每周；
2、慧记：识别音频并总结，智能会议纪要，不定期；</t>
  </si>
  <si>
    <t>京东集团全球客服中心91号园区</t>
  </si>
  <si>
    <t>京东集团全球客服中心92号园区</t>
  </si>
  <si>
    <t>京东集团全球客服中心93号园区</t>
  </si>
  <si>
    <t>京东集团全球客服中心94号园区</t>
  </si>
  <si>
    <t>京东集团全球客服中心95号园区</t>
  </si>
  <si>
    <t>京东集团全球客服中心96号园区</t>
  </si>
  <si>
    <t>京东集团全球客服中心97号园区</t>
  </si>
  <si>
    <t>京东集团全球客服中心98号园区</t>
  </si>
  <si>
    <t>京东集团全球客服中心99号园区</t>
  </si>
  <si>
    <t>京东集团全球客服中心100号园区</t>
  </si>
  <si>
    <t>京东集团全球客服中心101号园区</t>
  </si>
  <si>
    <t>京东集团全球客服中心102号园区</t>
  </si>
  <si>
    <t>京东集团全球客服中心103号园区</t>
  </si>
  <si>
    <t>zhouxiao39</t>
  </si>
  <si>
    <t>周笑</t>
  </si>
  <si>
    <t>1、负责财富基金、小金库、小集合管理费应收账票运营；
2、负责财富黄金、保险理财手续费应收账票运营；</t>
  </si>
  <si>
    <t>京东集团全球客服中心104号园区</t>
  </si>
  <si>
    <t>万能博士、豆包</t>
  </si>
  <si>
    <t>京东集团全球客服中心105号园区</t>
  </si>
  <si>
    <t>京东集团全球客服中心106号园区</t>
  </si>
  <si>
    <t>京东集团全球客服中心107号园区</t>
  </si>
  <si>
    <t>京东集团全球客服中心108号园区</t>
  </si>
  <si>
    <t>京东集团全球客服中心109号园区</t>
  </si>
  <si>
    <t>京东集团全球客服中心110号园区</t>
  </si>
  <si>
    <t>京东集团全球客服中心111号园区</t>
  </si>
  <si>
    <t>京东集团全球客服中心112号园区</t>
  </si>
  <si>
    <t>chenzhuo47</t>
  </si>
  <si>
    <t>陈卓</t>
  </si>
  <si>
    <t>1、负责数据科技业务部应收账票款运营；
2、负责硬件售卖应收账票款运营以及服务商开票</t>
  </si>
  <si>
    <t>万能博士：对话交互，润色，每周</t>
  </si>
  <si>
    <t>京东集团全球客服中心113号园区</t>
  </si>
  <si>
    <t>京东集团全球客服中心114号园区</t>
  </si>
  <si>
    <t>京东集团全球客服中心115号园区</t>
  </si>
  <si>
    <t>京东集团全球客服中心116号园区</t>
  </si>
  <si>
    <t>京东集团全球客服中心117号园区</t>
  </si>
  <si>
    <t>京东集团全球客服中心118号园区</t>
  </si>
  <si>
    <t>京东集团全球客服中心119号园区</t>
  </si>
  <si>
    <t>京东集团全球客服中心120号园区</t>
  </si>
  <si>
    <t>京东集团全球客服中心121号园区</t>
  </si>
  <si>
    <t>京东集团全球客服中心122号园区</t>
  </si>
  <si>
    <t>jsxjv</t>
  </si>
  <si>
    <t>许菊</t>
  </si>
  <si>
    <t>1、应付数据科技运营BP；
2、负责产品结算运营部HC分析体系建设；
3、负责电销结算系统化建设、应付管理体系、运营合规风险调优、运营规范机制管理；</t>
  </si>
  <si>
    <t>万能博士：对话交互，润色，每周
慧记：识别音频并总结，智能会议纪要，每周；
zero：方案原型设计，不定期。</t>
  </si>
  <si>
    <t>京东集团全球客服中心123号园区</t>
  </si>
  <si>
    <t>京东集团全球客服中心124号园区</t>
  </si>
  <si>
    <t>京东集团全球客服中心125号园区</t>
  </si>
  <si>
    <t>京东集团全球客服中心126号园区</t>
  </si>
  <si>
    <t>京东集团全球客服中心127号园区</t>
  </si>
  <si>
    <t>京东集团全球客服中心128号园区</t>
  </si>
  <si>
    <t>京东集团全球客服中心129号园区</t>
  </si>
  <si>
    <t>京东集团全球客服中心130号园区</t>
  </si>
  <si>
    <t>京东集团全球客服中心131号园区</t>
  </si>
  <si>
    <t>京东集团全球客服中心132号园区</t>
  </si>
  <si>
    <t>京东集团全球客服中心133号园区</t>
  </si>
  <si>
    <t>京东集团全球客服中心134号园区</t>
  </si>
  <si>
    <t>sunyang28</t>
  </si>
  <si>
    <t>孙扬</t>
  </si>
  <si>
    <t>1、应收运营统筹BP，负责金科群组应收运营体系建设；
2、负责应收管理体系、运营合规风险调优、运营规范机制管理、客户视角的合作全景体系建设；
3、负责统筹应收模块与综合内/外部门交叉协同项目管理，包含财务共建、金科看板建设、审批流提效调优、血汗钱专项、群组内控体系。</t>
  </si>
  <si>
    <t>1、joyclaw：对话交互，名词解读，每周；血汗钱预警（开发中）-每周
2、慧记：识别音频并总结，智能会议纪要，每周；
3、万能博士：对话交互，润色，每周</t>
  </si>
  <si>
    <t>京东集团全球客服中心135号园区</t>
  </si>
  <si>
    <t>万能博士、deepseek</t>
  </si>
  <si>
    <t>京东集团全球客服中心136号园区</t>
  </si>
  <si>
    <t>京东集团全球客服中心137号园区</t>
  </si>
  <si>
    <t>京东集团全球客服中心138号园区</t>
  </si>
  <si>
    <t>京东集团全球客服中心139号园区</t>
  </si>
  <si>
    <t>京东集团全球客服中心140号园区</t>
  </si>
  <si>
    <t>京东集团全球客服中心141号园区</t>
  </si>
  <si>
    <t>龙虾</t>
  </si>
  <si>
    <t>京东集团全球客服中心142号园区</t>
  </si>
  <si>
    <t>京东集团全球客服中心143号园区</t>
  </si>
  <si>
    <t>京东集团全球客服中心144号园区</t>
  </si>
  <si>
    <t>京东集团全球客服中心145号园区</t>
  </si>
  <si>
    <t>京东集团全球客服中心146号园区</t>
  </si>
  <si>
    <t>lixinyue115</t>
  </si>
  <si>
    <t>李欣悦</t>
  </si>
  <si>
    <t>1、负责金白条&amp;信托&amp;借钱平台应收应付账票款运营
2、负责融担费的提单运营工作
3、消金-机构应收BP</t>
  </si>
  <si>
    <t>1、万能博士，对话交互，名词解读，语言润色，每周
2、慧记：记录音频并总结，参与会议时协助总结会议重点，每周；</t>
  </si>
  <si>
    <t>京东集团全球客服中心147号园区</t>
  </si>
  <si>
    <t>京东集团全球客服中心148号园区</t>
  </si>
  <si>
    <t>京东集团全球客服中心149号园区</t>
  </si>
  <si>
    <t>京东集团全球客服中心150号园区</t>
  </si>
  <si>
    <t>京东集团全球客服中心151号园区</t>
  </si>
  <si>
    <t>京东集团全球客服中心152号园区</t>
  </si>
  <si>
    <t>京东集团全球客服中心153号园区</t>
  </si>
  <si>
    <t>京东集团全球客服中心154号园区</t>
  </si>
  <si>
    <t>京东集团全球客服中心155号园区</t>
  </si>
  <si>
    <t>京东集团全球客服中心156号园区</t>
  </si>
  <si>
    <t>hukang19</t>
  </si>
  <si>
    <t>胡康</t>
  </si>
  <si>
    <t>1.通道成本&amp;直连通道应付账票款运营
2.应付运营金链系统接口人，负责监控金链台账使用情况及台账数据及时与准确性，系统需求统筹；</t>
  </si>
  <si>
    <t>1、万能博士：对话交互，信息查询及分析，不定期；
2、慧记：记录音频并总结，参与会议时协助总结会议重点，每周；
3.deepseek/豆包外部资料获取，问题方案分析。</t>
  </si>
  <si>
    <t>京东集团全球客服中心157号园区</t>
  </si>
  <si>
    <t>京东集团全球客服中心158号园区</t>
  </si>
  <si>
    <t>京东集团全球客服中心159号园区</t>
  </si>
  <si>
    <t>京东集团全球客服中心160号园区</t>
  </si>
  <si>
    <t>京东集团全球客服中心161号园区</t>
  </si>
  <si>
    <t>京东集团全球客服中心162号园区</t>
  </si>
  <si>
    <t>京东集团全球客服中心163号园区</t>
  </si>
  <si>
    <t>京东集团全球客服中心164号园区</t>
  </si>
  <si>
    <t>京东集团全球客服中心165号园区</t>
  </si>
  <si>
    <t>京东集团全球客服中心166号园区</t>
  </si>
  <si>
    <t>京东集团全球客服中心167号园区</t>
  </si>
  <si>
    <t>京东集团全球客服中心168号园区</t>
  </si>
  <si>
    <t>hujiaojiao22</t>
  </si>
  <si>
    <t>胡娇娇</t>
  </si>
  <si>
    <t>1、负责财富基金、小金库、小集合管理费应收账票运营；
2、负责财富基金、小金库营销费应收运营业务；</t>
  </si>
  <si>
    <t>京东集团全球客服中心169号园区</t>
  </si>
  <si>
    <t>京东集团全球客服中心170号园区</t>
  </si>
  <si>
    <t>京东集团全球客服中心171号园区</t>
  </si>
  <si>
    <t>京东集团全球客服中心172号园区</t>
  </si>
  <si>
    <t>京东集团全球客服中心173号园区</t>
  </si>
  <si>
    <t>京东集团全球客服中心174号园区</t>
  </si>
  <si>
    <t>京东集团全球客服中心175号园区</t>
  </si>
  <si>
    <t>京东集团全球客服中心176号园区</t>
  </si>
  <si>
    <t>京东集团全球客服中心177号园区</t>
  </si>
  <si>
    <t>jinying31</t>
  </si>
  <si>
    <t>金赢</t>
  </si>
  <si>
    <t xml:space="preserve">负责门店聚合收银服务商分润&amp;网银通道服务商分润&amp;用增应付账票款运营；直营小硬件个人商户打款及门店聚合收银垫付包销。
</t>
  </si>
  <si>
    <t>京东集团全球客服中心178号园区</t>
  </si>
  <si>
    <t>京东集团全球客服中心179号园区</t>
  </si>
  <si>
    <t>京东集团全球客服中心180号园区</t>
  </si>
  <si>
    <t>京东集团全球客服中心181号园区</t>
  </si>
  <si>
    <t>京东集团全球客服中心182号园区</t>
  </si>
  <si>
    <t>京东集团全球客服中心183号园区</t>
  </si>
  <si>
    <t>京东集团全球客服中心184号园区</t>
  </si>
  <si>
    <t>京东集团全球客服中心185号园区</t>
  </si>
  <si>
    <t>京东集团全球客服中心186号园区</t>
  </si>
  <si>
    <t>京东集团全球客服中心187号园区</t>
  </si>
  <si>
    <t>京东集团全球客服中心188号园区</t>
  </si>
  <si>
    <t>京东集团全球客服中心189号园区</t>
  </si>
  <si>
    <t>shenxingxing10</t>
  </si>
  <si>
    <t>沈星星</t>
  </si>
  <si>
    <t>1、负责金条&amp;信贷白条应收账票款运营
2、金链异常监控事项&amp;冗余数据&amp;打包资料监控</t>
  </si>
  <si>
    <t>京东集团全球客服中心190号园区</t>
  </si>
  <si>
    <t>京东集团全球客服中心191号园区</t>
  </si>
  <si>
    <t>京东集团全球客服中心192号园区</t>
  </si>
  <si>
    <t>京东集团全球客服中心193号园区</t>
  </si>
  <si>
    <t>京东集团全球客服中心194号园区</t>
  </si>
  <si>
    <t>京东集团全球客服中心195号园区</t>
  </si>
  <si>
    <t>京东集团全球客服中心196号园区</t>
  </si>
  <si>
    <t>京东集团全球客服中心197号园区</t>
  </si>
  <si>
    <t>京东集团全球客服中心198号园区</t>
  </si>
  <si>
    <t>tianyang13</t>
  </si>
  <si>
    <t>田阳</t>
  </si>
  <si>
    <t>1、负责网银通道-收款产品应收账票款运营
2、统筹非金链RPA+非金链系统需求</t>
  </si>
  <si>
    <t>京东集团全球客服中心199号园区</t>
  </si>
  <si>
    <t>京东集团全球客服中心200号园区</t>
  </si>
  <si>
    <t>京东集团全球客服中心201号园区</t>
  </si>
  <si>
    <t>京东集团全球客服中心202号园区</t>
  </si>
  <si>
    <t>京东集团全球客服中心203号园区</t>
  </si>
  <si>
    <t>京东集团全球客服中心204号园区</t>
  </si>
  <si>
    <t>京东集团全球客服中心205号园区</t>
  </si>
  <si>
    <t>京东集团全球客服中心206号园区</t>
  </si>
  <si>
    <t>京东集团全球客服中心207号园区</t>
  </si>
  <si>
    <t>yangting.262</t>
  </si>
  <si>
    <t>杨婷</t>
  </si>
  <si>
    <t>1、负责网银通道-收款产品应收账票款运营
2、负责ToB服务增值产品-平台账户产品应收账票款运营</t>
  </si>
  <si>
    <t>京东集团全球客服中心208号园区</t>
  </si>
  <si>
    <t>京东集团全球客服中心209号园区</t>
  </si>
  <si>
    <t>京东集团全球客服中心210号园区</t>
  </si>
  <si>
    <t>京东集团全球客服中心211号园区</t>
  </si>
  <si>
    <t>京东集团全球客服中心212号园区</t>
  </si>
  <si>
    <t>京东集团全球客服中心213号园区</t>
  </si>
  <si>
    <t>京东集团全球客服中心214号园区</t>
  </si>
  <si>
    <t>京东集团全球客服中心215号园区</t>
  </si>
  <si>
    <t>京东集团全球客服中心216号园区</t>
  </si>
  <si>
    <t>jiangteng6</t>
  </si>
  <si>
    <t>姜腾</t>
  </si>
  <si>
    <t>1、负责财富基金、小金库、养老金、股票、期货、黄金应付账票款运营。
2、负责财富+消金应付体系运营BP。</t>
  </si>
  <si>
    <t xml:space="preserve">1、万能博士：对话交互，输入问题或一段文字协助润色总结，每周；
2、慧记：识别音频并总结，智能会议纪要，每周；
3、万能博士：行业政策解读，术语答疑等
</t>
  </si>
  <si>
    <t>京东集团全球客服中心217号园区</t>
  </si>
  <si>
    <t>京东集团全球客服中心218号园区</t>
  </si>
  <si>
    <t>京东集团全球客服中心219号园区</t>
  </si>
  <si>
    <t>京东集团全球客服中心220号园区</t>
  </si>
  <si>
    <t>京东集团全球客服中心221号园区</t>
  </si>
  <si>
    <t>京东集团全球客服中心222号园区</t>
  </si>
  <si>
    <t>京东集团全球客服中心223号园区</t>
  </si>
  <si>
    <t>京东集团全球客服中心224号园区</t>
  </si>
  <si>
    <t>京东集团全球客服中心225号园区</t>
  </si>
  <si>
    <t>京东集团全球客服中心226号园区</t>
  </si>
  <si>
    <t>京东集团全球客服中心227号园区</t>
  </si>
  <si>
    <t>京东集团全球客服中心228号园区</t>
  </si>
  <si>
    <t>wangjie178</t>
  </si>
  <si>
    <t>王洁</t>
  </si>
  <si>
    <t>1、负责机构消金金白条应收&amp;应付账票款运营；
2、负责机构支付跨境应收账票款运营；
3、负责机构消金银联白分期应收&amp;应付账票款运营；
4、负责机构授信业务贷款提单及资金预约运营；</t>
  </si>
  <si>
    <t>京东集团全球客服中心229号园区</t>
  </si>
  <si>
    <t>京东集团全球客服中心230号园区</t>
  </si>
  <si>
    <t>京东集团全球客服中心231号园区</t>
  </si>
  <si>
    <t>京东集团全球客服中心232号园区</t>
  </si>
  <si>
    <t>京东集团全球客服中心233号园区</t>
  </si>
  <si>
    <t>京东集团全球客服中心234号园区</t>
  </si>
  <si>
    <t>京东集团全球客服中心235号园区</t>
  </si>
  <si>
    <t>京东集团全球客服中心236号园区</t>
  </si>
  <si>
    <t>京东集团全球客服中心237号园区</t>
  </si>
  <si>
    <t>dingzimeng.0108</t>
  </si>
  <si>
    <t>丁梓萌</t>
  </si>
  <si>
    <t>1、电销应付结算
2、负责电销结算系统化建设、应付管理体系、运营合规风险调优、运营规范机制管理；</t>
  </si>
  <si>
    <t>1、万能博士：对话交互，输入问题或一段文字协助润色总结，找出公式是否存在编写错误及逻辑问题，每天
2、慧记：记录音频并总结，参与会议时协助总结会议重点，每周；</t>
  </si>
  <si>
    <t>京东集团全球客服中心238号园区</t>
  </si>
  <si>
    <t>京东集团全球客服中心239号园区</t>
  </si>
  <si>
    <t>京东集团全球客服中心240号园区</t>
  </si>
  <si>
    <t>京东集团全球客服中心241号园区</t>
  </si>
  <si>
    <t>京东集团全球客服中心242号园区</t>
  </si>
  <si>
    <t>京东集团全球客服中心243号园区</t>
  </si>
  <si>
    <t>京东集团全球客服中心244号园区</t>
  </si>
  <si>
    <t>京东集团全球客服中心245号园区</t>
  </si>
  <si>
    <t>京东集团全球客服中心246号园区</t>
  </si>
  <si>
    <t>京东集团全球客服中心247号园区</t>
  </si>
  <si>
    <t>京东集团全球客服中心248号园区</t>
  </si>
  <si>
    <t>京东集团全球客服中心249号园区</t>
  </si>
  <si>
    <t>wangtianmeng6</t>
  </si>
  <si>
    <t>王甜梦</t>
  </si>
  <si>
    <t>负责信用卡应收应付业务账票结算工作</t>
  </si>
  <si>
    <t>1、万能博士：对话交互，输入问题或一段文字协助润色总结，每周；
2、慧记：识别音频并总结，智能会议纪要，每周；
3、JOYdesk：对话交互/文件上传、文本格式转换，月度</t>
  </si>
  <si>
    <t>京东集团全球客服中心250号园区</t>
  </si>
  <si>
    <t>京东集团全球客服中心251号园区</t>
  </si>
  <si>
    <t>京东集团全球客服中心252号园区</t>
  </si>
  <si>
    <t>京东集团全球客服中心253号园区</t>
  </si>
  <si>
    <t>京东集团全球客服中心254号园区</t>
  </si>
  <si>
    <t>京东集团全球客服中心255号园区</t>
  </si>
  <si>
    <t>京东集团全球客服中心256号园区</t>
  </si>
  <si>
    <t>京东集团全球客服中心257号园区</t>
  </si>
  <si>
    <t>京东集团全球客服中心258号园区</t>
  </si>
  <si>
    <t>qiuman7</t>
  </si>
  <si>
    <t>仇曼</t>
  </si>
  <si>
    <t>1、负责票据融资、物流金融、融资租赁应收应付账票款运营
2、负责票据融资、物流金融未达流水提单运营工作
3、企业金融应付BP</t>
  </si>
  <si>
    <t>京东集团全球客服中心259号园区</t>
  </si>
  <si>
    <t>京东集团全球客服中心260号园区</t>
  </si>
  <si>
    <t>京东集团全球客服中心261号园区</t>
  </si>
  <si>
    <t>京东集团全球客服中心262号园区</t>
  </si>
  <si>
    <t>京东集团全球客服中心263号园区</t>
  </si>
  <si>
    <t>京东集团全球客服中心264号园区</t>
  </si>
  <si>
    <t>京东集团全球客服中心265号园区</t>
  </si>
  <si>
    <t>京东集团全球客服中心266号园区</t>
  </si>
  <si>
    <t>京东集团全球客服中心267号园区</t>
  </si>
  <si>
    <t>京东集团全球客服中心268号园区</t>
  </si>
  <si>
    <t>京东集团全球客服中心269号园区</t>
  </si>
  <si>
    <t>京东集团全球客服中心270号园区</t>
  </si>
  <si>
    <t>wangsuyun</t>
  </si>
  <si>
    <t>王苏云</t>
  </si>
  <si>
    <t>1、负责分分卡差异账的账运营
2、应收消金应收运营BP，
3、负责应收运营体系中部分模块建设（协同机制标准、闭环监控机制-风险穿测）及监控线上化需求跟进；
4、负责应收效能攻坚整体进度追踪，确保有节奏推进和落地；</t>
  </si>
  <si>
    <t>京东集团全球客服中心271号园区</t>
  </si>
  <si>
    <t>京东集团全球客服中心272号园区</t>
  </si>
  <si>
    <t>京东集团全球客服中心273号园区</t>
  </si>
  <si>
    <t>京东集团全球客服中心274号园区</t>
  </si>
  <si>
    <t>京东集团全球客服中心275号园区</t>
  </si>
  <si>
    <t>京东集团全球客服中心276号园区</t>
  </si>
  <si>
    <t>京东集团全球客服中心277号园区</t>
  </si>
  <si>
    <t>京东集团全球客服中心278号园区</t>
  </si>
  <si>
    <t>京东集团全球客服中心279号园区</t>
  </si>
  <si>
    <t>京东集团全球客服中心280号园区</t>
  </si>
  <si>
    <t>京东集团全球客服中心281号园区</t>
  </si>
  <si>
    <t>京东集团全球客服中心282号园区</t>
  </si>
  <si>
    <t>京东集团全球客服中心283号园区</t>
  </si>
  <si>
    <t>lichang.132</t>
  </si>
  <si>
    <t>李畅</t>
  </si>
  <si>
    <t>1、负责借钱平台账票款运营；
2、负责赊白ABS资产服务费票款运营；
3、负责728、581账扣账单核对及申请开票；
4、负责培训工作；</t>
  </si>
  <si>
    <t>1、万能博士：对话交互，方案探讨与文案润色，每周；
2、Joydesk：对话交互/文件上传，信息查询，每周；
3、deepseek：对话交互，方案逻辑梳理，每月；</t>
  </si>
  <si>
    <t>京东集团全球客服中心284号园区</t>
  </si>
  <si>
    <t>京东集团全球客服中心285号园区</t>
  </si>
  <si>
    <t>京东集团全球客服中心286号园区</t>
  </si>
  <si>
    <t>京东集团全球客服中心287号园区</t>
  </si>
  <si>
    <t>京东集团全球客服中心288号园区</t>
  </si>
  <si>
    <t>京东集团全球客服中心289号园区</t>
  </si>
  <si>
    <t>京东集团全球客服中心290号园区</t>
  </si>
  <si>
    <t>京东集团全球客服中心291号园区</t>
  </si>
  <si>
    <t>京东集团全球客服中心292号园区</t>
  </si>
  <si>
    <t>dongxiaoying</t>
  </si>
  <si>
    <t>董笑颖</t>
  </si>
  <si>
    <t>负责企业金融小微平台（应付）&amp;生物资产数字化平台（应收应付）账票款运营</t>
  </si>
  <si>
    <t>京东集团全球客服中心293号园区</t>
  </si>
  <si>
    <t>京东集团全球客服中心294号园区</t>
  </si>
  <si>
    <t>京东集团全球客服中心295号园区</t>
  </si>
  <si>
    <t>京东集团全球客服中心296号园区</t>
  </si>
  <si>
    <t>京东集团全球客服中心297号园区</t>
  </si>
  <si>
    <t>京东集团全球客服中心298号园区</t>
  </si>
  <si>
    <t>京东集团全球客服中心299号园区</t>
  </si>
  <si>
    <t>京东集团全球客服中心300号园区</t>
  </si>
  <si>
    <t>京东集团全球客服中心301号园区</t>
  </si>
  <si>
    <t>京东集团全球客服中心302号园区</t>
  </si>
  <si>
    <t>京东集团全球客服中心303号园区</t>
  </si>
  <si>
    <t>京东集团全球客服中心304号园区</t>
  </si>
  <si>
    <t>京东集团全球客服中心305号园区</t>
  </si>
  <si>
    <t>zhangtian57</t>
  </si>
  <si>
    <t>张甜</t>
  </si>
  <si>
    <t>产假，暂无数据</t>
  </si>
  <si>
    <t>京东集团全球客服中心306号园区</t>
  </si>
  <si>
    <t>lufeng40</t>
  </si>
  <si>
    <t>陆凤</t>
  </si>
  <si>
    <t>负责赊销白条应收运营业务</t>
  </si>
  <si>
    <t>1、万能博士：对话交互，信息查询及分析，每天；
2、JOYdesk：对话交互/文件上传、文本格式转换，每周；
3、慧记：记录音频并总结，参与会议时协助总结会议重点，每周；
4、deepseek：对话交互、信息查询、语言润色</t>
  </si>
  <si>
    <t>京东集团全球客服中心307号园区</t>
  </si>
  <si>
    <t>京东集团全球客服中心308号园区</t>
  </si>
  <si>
    <t>京东集团全球客服中心309号园区</t>
  </si>
  <si>
    <t>京东集团全球客服中心310号园区</t>
  </si>
  <si>
    <t>京东集团全球客服中心311号园区</t>
  </si>
  <si>
    <t>京东集团全球客服中心312号园区</t>
  </si>
  <si>
    <t>京东集团全球客服中心313号园区</t>
  </si>
  <si>
    <t>京东集团全球客服中心314号园区</t>
  </si>
  <si>
    <t>京东集团全球客服中心315号园区</t>
  </si>
  <si>
    <t>一、数据线上化建设与关键指标追踪
需求收集与迭代：收集BI看板的新增与调优需求，制作演示原型（demo），推动数据可视化能力持续优化。
协同机制：与综合运营部经提团队保持紧密协作，确保需求对齐与方案落地。
指标体系建设：收集并建设应收应付等关键指标，明确计算口径与业务含义。
数据产出：按月出具指标值，对异常进行初步定位，支撑业务决策，并出具相关数据报告，包含指标值与图表，用于业务复盘与汇报。
数据校准与维护：进行数据校准与异常治理，日常维护。
二、应付管理体系项目管理
项目统筹：负责应付管理体系的项目规划、进度跟踪与风险管控。
需求管理：进行应付管理体系四大模块的专项推进
三、AI项目部门统筹
工具选型与引入：评估并引入适合业务场景的AI工具，推动AI工具在团队内的普及与应用。
效果追踪：监控AI工具落地、使用情况与效能提升，持续优化使用流程。
五、效能攻坚追踪
效能跟踪：推动效能攻坚的落地情况进行周度通晒，及时预警相关风险。
效果评估：追踪攻坚措施实施后的效率指标变化，确保改进有效。
六、制度解读
集团相关制度发布后的相关性与重点解读
七、校招生培训课程组织
培训实施：组织推广京东集团校招生线上线下培训活动，推进课程学习与达成</t>
  </si>
  <si>
    <t>1、万能博士：对话交互，方案探讨与文案润色，每天；
2、Joydesk：对话交互/文件上传，信息查询、数据分析、文本格式转换，每周；
3、joyclaw：数字员工创建，办公协同，每周；
4、GPT：对话交互，方案探讨、知识查询，每周；
5、deepseek：对话交互，方案逻辑梳理，每月；
6、zero：方案原型设计，偶尔。</t>
  </si>
  <si>
    <t>京东集团全球客服中心316号园区</t>
  </si>
  <si>
    <t>京东集团全球客服中心317号园区</t>
  </si>
  <si>
    <t>京东集团全球客服中心318号园区</t>
  </si>
  <si>
    <t>京东集团全球客服中心319号园区</t>
  </si>
  <si>
    <t>京东集团全球客服中心320号园区</t>
  </si>
  <si>
    <t>deepseek、豆包</t>
  </si>
  <si>
    <t>京东集团全球客服中心321号园区</t>
  </si>
  <si>
    <t>京东集团全球客服中心322号园区</t>
  </si>
  <si>
    <t>京东集团全球客服中心323号园区</t>
  </si>
  <si>
    <t>京东集团全球客服中心324号园区</t>
  </si>
  <si>
    <t>京东集团全球客服中心325号园区</t>
  </si>
  <si>
    <t>京东集团全球客服中心326号园区</t>
  </si>
  <si>
    <t>京东集团全球客服中心327号园区</t>
  </si>
  <si>
    <t>京东集团全球客服中心328号园区</t>
  </si>
  <si>
    <t>京东集团全球客服中心329号园区</t>
  </si>
  <si>
    <t>京东集团全球客服中心330号园区</t>
  </si>
  <si>
    <t>京东集团全球客服中心331号园区</t>
  </si>
  <si>
    <t>京东集团全球客服中心332号园区</t>
  </si>
  <si>
    <t>京东集团全球客服中心333号园区</t>
  </si>
  <si>
    <t>京东集团全球客服中心334号园区</t>
  </si>
  <si>
    <t>京东集团全球客服中心335号园区</t>
  </si>
  <si>
    <t>京东集团全球客服中心336号园区</t>
  </si>
  <si>
    <t>zero</t>
  </si>
  <si>
    <t>京东集团全球客服中心337号园区</t>
  </si>
  <si>
    <t>京东集团全球客服中心338号园区</t>
  </si>
  <si>
    <t>京东集团全球客服中心339号园区</t>
  </si>
  <si>
    <t>京东集团全球客服中心340号园区</t>
  </si>
  <si>
    <t>京东集团全球客服中心341号园区</t>
  </si>
  <si>
    <t>京东集团全球客服中心342号园区</t>
  </si>
  <si>
    <t>京东集团全球客服中心343号园区</t>
  </si>
  <si>
    <t>zoudan6</t>
  </si>
  <si>
    <t>邹丹</t>
  </si>
  <si>
    <t>1、负责金科群组应付运营体系建设；
2、负责应付管理体系、运营合规风险调优、运营规范机制管理、客户视角的合作全景体系建设；</t>
  </si>
  <si>
    <t>1、万能博士：对话交互，方案探讨与文案润色，每天；
2、joyclaw：数字员工创建，办公协同，每周；
3、deepseek：对话交互，方案逻辑梳理，每月；
4、慧记：会议记录及总结，每周
5、JoyAgent：业务结算数据测试和验证（银行营销），偶尔</t>
  </si>
  <si>
    <t>京东集团全球客服中心344号园区</t>
  </si>
  <si>
    <t>京东集团全球客服中心345号园区</t>
  </si>
  <si>
    <t>京东集团全球客服中心346号园区</t>
  </si>
  <si>
    <t>京东集团全球客服中心347号园区</t>
  </si>
  <si>
    <t>京东集团全球客服中心348号园区</t>
  </si>
  <si>
    <t>万能博士、deepseek、龙虾</t>
  </si>
  <si>
    <t>京东集团全球客服中心349号园区</t>
  </si>
  <si>
    <t>京东集团全球客服中心350号园区</t>
  </si>
  <si>
    <t>京东集团全球客服中心351号园区</t>
  </si>
  <si>
    <t>京东集团全球客服中心352号园区</t>
  </si>
  <si>
    <t>京东集团全球客服中心353号园区</t>
  </si>
  <si>
    <t>京东集团全球客服中心354号园区</t>
  </si>
  <si>
    <t>京东集团全球客服中心355号园区</t>
  </si>
  <si>
    <t>京东集团全球客服中心356号园区</t>
  </si>
  <si>
    <t>JoyAgent</t>
  </si>
  <si>
    <t>京东集团全球客服中心357号园区</t>
  </si>
  <si>
    <t>京东集团全球客服中心358号园区</t>
  </si>
  <si>
    <t>京东集团全球客服中心359号园区</t>
  </si>
  <si>
    <t>京东集团全球客服中心360号园区</t>
  </si>
  <si>
    <t>huyan101</t>
  </si>
  <si>
    <t>胡严</t>
  </si>
  <si>
    <t>1、负责银行营销应收账票款运营
2、负责ISV开放平台账票款答疑运营
3、负责银行营销应收业务结算问答agent搭建
4、支付-机构应收BP</t>
  </si>
  <si>
    <t>1、小叮当&amp;joyapex：设定银行营销场景skill，对话交互，回答结算相关问题，每天；
2、慧记：识别音频并总结，智能会议纪要，每周；</t>
  </si>
  <si>
    <t>京东集团全球客服中心361号园区</t>
  </si>
  <si>
    <t>京东集团全球客服中心362号园区</t>
  </si>
  <si>
    <t>京东集团全球客服中心363号园区</t>
  </si>
  <si>
    <t>小叮当&amp;joyapex、deepseek、千问、豆包</t>
  </si>
  <si>
    <t>京东集团全球客服中心364号园区</t>
  </si>
  <si>
    <t>万能博士、小叮当&amp;joyapex</t>
  </si>
  <si>
    <t>京东集团全球客服中心365号园区</t>
  </si>
  <si>
    <t>京东集团全球客服中心366号园区</t>
  </si>
  <si>
    <t>京东集团全球客服中心367号园区</t>
  </si>
  <si>
    <t>京东集团全球客服中心368号园区</t>
  </si>
  <si>
    <t>小叮当&amp;joyapex</t>
  </si>
  <si>
    <t>京东集团全球客服中心369号园区</t>
  </si>
  <si>
    <t>京东集团全球客服中心370号园区</t>
  </si>
  <si>
    <t>京东集团全球客服中心371号园区</t>
  </si>
  <si>
    <t>京东集团全球客服中心372号园区</t>
  </si>
  <si>
    <t>京东集团全球客服中心373号园区</t>
  </si>
  <si>
    <t>京东集团全球客服中心374号园区</t>
  </si>
  <si>
    <t>京东集团全球客服中心375号园区</t>
  </si>
  <si>
    <t>万能博士、小叮当&amp;joyapex、deepseek、千问、豆包</t>
  </si>
  <si>
    <t>京东集团全球客服中心376号园区</t>
  </si>
  <si>
    <t>万能博士、deepseek、千问、豆包</t>
  </si>
  <si>
    <t>京东集团全球客服中心377号园区</t>
  </si>
  <si>
    <t>wangpeiling</t>
  </si>
  <si>
    <t>王培玲</t>
  </si>
  <si>
    <t>1、负责白条外场&amp;金条外场&amp;借钱平台应付账票款运营
2、负责金白条备查流水提单运营工作</t>
  </si>
  <si>
    <t>万能博士-专业场景和名词解读；
慧记-会议记录与总结输出；
deepseek-搜索引擎，交互沟通和材料文案等输出；豆包-p图修图，指令场景制图；</t>
  </si>
  <si>
    <t>京东集团全球客服中心378号园区</t>
  </si>
  <si>
    <t>京东集团全球客服中心379号园区</t>
  </si>
  <si>
    <t>京东集团全球客服中心380号园区</t>
  </si>
  <si>
    <t>京东集团全球客服中心381号园区</t>
  </si>
  <si>
    <t>京东集团全球客服中心382号园区</t>
  </si>
  <si>
    <t>京东集团全球客服中心383号园区</t>
  </si>
  <si>
    <t>京东集团全球客服中心384号园区</t>
  </si>
  <si>
    <t>京东集团全球客服中心385号园区</t>
  </si>
  <si>
    <t>京东集团全球客服中心386号园区</t>
  </si>
  <si>
    <t>jsliy</t>
  </si>
  <si>
    <t>李悦</t>
  </si>
  <si>
    <t>京东集团全球客服中心387号园区</t>
  </si>
  <si>
    <t>京东集团全球客服中心388号园区</t>
  </si>
  <si>
    <t>京东集团全球客服中心389号园区</t>
  </si>
  <si>
    <t>京东集团全球客服中心390号园区</t>
  </si>
  <si>
    <t>京东集团全球客服中心391号园区</t>
  </si>
  <si>
    <t>京东集团全球客服中心392号园区</t>
  </si>
  <si>
    <t>京东集团全球客服中心393号园区</t>
  </si>
  <si>
    <t>京东集团全球客服中心394号园区</t>
  </si>
  <si>
    <t>京东集团全球客服中心395号园区</t>
  </si>
  <si>
    <t>京东集团全球客服中心396号园区</t>
  </si>
  <si>
    <t>京东集团全球客服中心397号园区</t>
  </si>
  <si>
    <t>京东集团全球客服中心398号园区</t>
  </si>
  <si>
    <t>京东集团全球客服中心399号园区</t>
  </si>
  <si>
    <t>京东集团全球客服中心400号园区</t>
  </si>
  <si>
    <t>京东集团全球客服中心401号园区</t>
  </si>
  <si>
    <t>通道打标</t>
  </si>
  <si>
    <t>备注</t>
  </si>
  <si>
    <t>jrxujianghua@jd.com</t>
  </si>
  <si>
    <t>客服</t>
  </si>
  <si>
    <t>sunzhe.21</t>
  </si>
  <si>
    <t>sunzhe.21@jd.com</t>
  </si>
  <si>
    <t>孙哲</t>
  </si>
  <si>
    <t>消费者权益保护部</t>
  </si>
  <si>
    <t>京东集团-京东科技-金融科技事业群-消金公司-消费者权益保护部</t>
  </si>
  <si>
    <t>风险</t>
  </si>
  <si>
    <t>chenxinle3</t>
  </si>
  <si>
    <t>chenxinle3@jd.com</t>
  </si>
  <si>
    <t>陈新乐</t>
  </si>
  <si>
    <t>风控策略岗</t>
  </si>
  <si>
    <t>信贷风险管理部</t>
  </si>
  <si>
    <t>京东集团-京东科技-金融科技事业群-消金公司-信贷风险管理部</t>
  </si>
  <si>
    <t>zhongjingwen6@jd.com</t>
  </si>
  <si>
    <t>CXO垂管</t>
  </si>
  <si>
    <t>shangzhaolong.1</t>
  </si>
  <si>
    <t>shangzhaolong.1@jd.com</t>
  </si>
  <si>
    <t>尚兆龙</t>
  </si>
  <si>
    <t>财务部</t>
  </si>
  <si>
    <t>京东集团-京东科技-金融科技事业群-消金公司-财务部</t>
  </si>
  <si>
    <t>yangyue.188</t>
  </si>
  <si>
    <t>yangyue.188@jd.com</t>
  </si>
  <si>
    <t>杨跃</t>
  </si>
  <si>
    <t>危机处理岗</t>
  </si>
  <si>
    <t>wangyuanyuan.296</t>
  </si>
  <si>
    <t>wangyuanyuan.296@jd.com</t>
  </si>
  <si>
    <t>王媛媛</t>
  </si>
  <si>
    <t>法务岗</t>
  </si>
  <si>
    <t>法律事务部</t>
  </si>
  <si>
    <t>京东集团-京东科技-金融科技事业群-消金公司-法律事务部</t>
  </si>
  <si>
    <t>gaoshuang43</t>
  </si>
  <si>
    <t>gaoshuang43@jd.com</t>
  </si>
  <si>
    <t>高爽</t>
  </si>
  <si>
    <t>全面风险管理部</t>
  </si>
  <si>
    <t>京东集团-京东科技-金融科技事业群-消金公司-全面风险管理部</t>
  </si>
  <si>
    <t>wangxueqiao</t>
  </si>
  <si>
    <t>wangxueqiao@jd.com</t>
  </si>
  <si>
    <t>王雪俏</t>
  </si>
  <si>
    <t>HRBP岗(团队负责人)</t>
  </si>
  <si>
    <t>人资行政部</t>
  </si>
  <si>
    <t>京东集团-京东科技-金融科技事业群-消金公司-人资行政部</t>
  </si>
  <si>
    <t>guowenjing10@jd.com</t>
  </si>
  <si>
    <t>sqgaoyue@jd.com</t>
  </si>
  <si>
    <t>shuaixiaoyuan@jd.com</t>
  </si>
  <si>
    <t>wyjiangfangjie@jd.com</t>
  </si>
  <si>
    <t>sqliyue@jd.com</t>
  </si>
  <si>
    <t>lufeng40@jd.com</t>
  </si>
  <si>
    <t>qishuang.15</t>
  </si>
  <si>
    <t>qishuang.15@jd.com</t>
  </si>
  <si>
    <t>齐爽</t>
  </si>
  <si>
    <t>liutong3@jd.com</t>
  </si>
  <si>
    <t>wangyiding.9</t>
  </si>
  <si>
    <t>wangyiding.9@jd.com</t>
  </si>
  <si>
    <t>王一丁</t>
  </si>
  <si>
    <t>qinziyu.5</t>
  </si>
  <si>
    <t>qinziyu.5@jd.com</t>
  </si>
  <si>
    <t>秦子玉</t>
  </si>
  <si>
    <t>liyawei.32</t>
  </si>
  <si>
    <t>liyawei.32@jd.com</t>
  </si>
  <si>
    <t>李雅葳</t>
  </si>
  <si>
    <t>weiqing.51</t>
  </si>
  <si>
    <t>weiqing.51@jd.com</t>
  </si>
  <si>
    <t>魏晴</t>
  </si>
  <si>
    <t>lushan.45</t>
  </si>
  <si>
    <t>lushan.45@jd.com</t>
  </si>
  <si>
    <t>芦山</t>
  </si>
  <si>
    <t>liushenghui.19@jd.com</t>
  </si>
  <si>
    <t>xuxiaolong.65</t>
  </si>
  <si>
    <t>xuxiaolong.65@jd.com</t>
  </si>
  <si>
    <t>许晓龙</t>
  </si>
  <si>
    <t>贷后运营岗</t>
  </si>
  <si>
    <t>caixiaowen2@jd.com</t>
  </si>
  <si>
    <t>masongling.5@jd.com</t>
  </si>
  <si>
    <t>zhaoting64@jd.com</t>
  </si>
  <si>
    <t>zhangjingyi.79</t>
  </si>
  <si>
    <t>zhangjingyi.79@jd.com</t>
  </si>
  <si>
    <t>张静怡</t>
  </si>
  <si>
    <t>xiangxiaoyan@jd.com</t>
  </si>
  <si>
    <t>sqhujuan5@jd.com</t>
  </si>
  <si>
    <t>lishuyu5</t>
  </si>
  <si>
    <t>lishuyu1@jd.com</t>
  </si>
  <si>
    <t>李树玉</t>
  </si>
  <si>
    <t>危机业务岗</t>
  </si>
  <si>
    <t>jiangmengying5@jd.com</t>
  </si>
  <si>
    <t>zhanchao.12</t>
  </si>
  <si>
    <t>zhanchao.12@jd.com</t>
  </si>
  <si>
    <t>詹超</t>
  </si>
  <si>
    <t>京东天津泰达MSD职场</t>
  </si>
  <si>
    <t>zhouxiao39@jd.com</t>
  </si>
  <si>
    <t>chenzhuo47@jd.com</t>
  </si>
  <si>
    <t>wanglu.512</t>
  </si>
  <si>
    <t>wanglu.512@jd.com</t>
  </si>
  <si>
    <t>王璐</t>
  </si>
  <si>
    <t>zhangzhenliang.9</t>
  </si>
  <si>
    <t>zhangzhenliang.9@jd.com</t>
  </si>
  <si>
    <t>张振亮</t>
  </si>
  <si>
    <t>李白璐</t>
  </si>
  <si>
    <t>liuyueyi3@jd.com</t>
  </si>
  <si>
    <t>zhuolining@jd.com</t>
  </si>
  <si>
    <t>zhangxu135</t>
  </si>
  <si>
    <t>zhangxu6@jd.com</t>
  </si>
  <si>
    <t>张旭</t>
  </si>
  <si>
    <t>zhangyang.867</t>
  </si>
  <si>
    <t>zhangyang.867@jd.com</t>
  </si>
  <si>
    <t>张洋</t>
  </si>
  <si>
    <t>litao81</t>
  </si>
  <si>
    <t>litao249@jd.com</t>
  </si>
  <si>
    <t>李涛</t>
  </si>
  <si>
    <t>客户体验运营岗(团队负责人)</t>
  </si>
  <si>
    <t>shaoxiaobo1@jd.com</t>
  </si>
  <si>
    <t>mijingxin.1</t>
  </si>
  <si>
    <t>mijingxin.1@jd.com</t>
  </si>
  <si>
    <t>米京欣</t>
  </si>
  <si>
    <t>采购岗</t>
  </si>
  <si>
    <t>京东集团全球总部北京1号园区ABC座</t>
  </si>
  <si>
    <t>sqxujv@jd.com</t>
  </si>
  <si>
    <t>renyuxuan.5</t>
  </si>
  <si>
    <t>renyuxuan.5@jd.com</t>
  </si>
  <si>
    <t>任宇轩</t>
  </si>
  <si>
    <t>liuyang332</t>
  </si>
  <si>
    <t>liuyang86@jd.com</t>
  </si>
  <si>
    <t>刘阳</t>
  </si>
  <si>
    <t>法务岗(团队负责人)</t>
  </si>
  <si>
    <t>tanjiamin5@jd.com</t>
  </si>
  <si>
    <t>liyanqiu25</t>
  </si>
  <si>
    <t>李艳秋</t>
  </si>
  <si>
    <t>yulu.73</t>
  </si>
  <si>
    <t>yulu.73@jd.com</t>
  </si>
  <si>
    <t>于璐</t>
  </si>
  <si>
    <t>财务会计岗</t>
  </si>
  <si>
    <t>zhangmingyue28</t>
  </si>
  <si>
    <t>zhangmingyue28@jd.com</t>
  </si>
  <si>
    <t>张明月</t>
  </si>
  <si>
    <t>sqsunyang3@jd.com</t>
  </si>
  <si>
    <t>guosuhua.5</t>
  </si>
  <si>
    <t>guosuhua.5@jd.com</t>
  </si>
  <si>
    <t>郭素华</t>
  </si>
  <si>
    <t>税务岗</t>
  </si>
  <si>
    <t>xidanna.1</t>
  </si>
  <si>
    <t>xidanna.1@jd.com</t>
  </si>
  <si>
    <t>席丹娜</t>
  </si>
  <si>
    <t>fengqiao.11@jd.com</t>
  </si>
  <si>
    <t>yaokeyan.1</t>
  </si>
  <si>
    <t>yaokeyan.1@jd.com</t>
  </si>
  <si>
    <t>么科研</t>
  </si>
  <si>
    <t>sqwangpeiling3@jd.com</t>
  </si>
  <si>
    <t>zandan.1</t>
  </si>
  <si>
    <t>zandan.1@jd.com</t>
  </si>
  <si>
    <t>昝丹</t>
  </si>
  <si>
    <t>物业运营岗</t>
  </si>
  <si>
    <t>zhuxiaorui</t>
  </si>
  <si>
    <t>zhuxiaorui@jd.com</t>
  </si>
  <si>
    <t>朱晓瑞</t>
  </si>
  <si>
    <t>lixinyue115@jd.com</t>
  </si>
  <si>
    <t>sqzoudan@jd.com</t>
  </si>
  <si>
    <t>tongshaobin1</t>
  </si>
  <si>
    <t>tongshaobin1@jd.com</t>
  </si>
  <si>
    <t>佟少斌</t>
  </si>
  <si>
    <t>zhangchunzhi5@jd.com</t>
  </si>
  <si>
    <t>hukang19@jd.com</t>
  </si>
  <si>
    <t>zhenghongzhou3</t>
  </si>
  <si>
    <t>zhenghongzhou3@jd.com</t>
  </si>
  <si>
    <t>郑宏洲</t>
  </si>
  <si>
    <t>风控策略岗(团队负责人)</t>
  </si>
  <si>
    <t>yanzhiyi.1</t>
  </si>
  <si>
    <t>yanzhiyi.1@jd.com</t>
  </si>
  <si>
    <t>闫志怡</t>
  </si>
  <si>
    <t>zhangyi.539</t>
  </si>
  <si>
    <t>zhangyi.539@jd.com</t>
  </si>
  <si>
    <t>张怡</t>
  </si>
  <si>
    <t>hujiaojiao22@jd.com</t>
  </si>
  <si>
    <t>jinying31@jd.com</t>
  </si>
  <si>
    <t>huangzhangcai.1226@jd.com</t>
  </si>
  <si>
    <t>bjzsj</t>
  </si>
  <si>
    <t>zhangsujuan@jd.com</t>
  </si>
  <si>
    <t>综合运营岗(团队负责人)</t>
  </si>
  <si>
    <t>京东集团-京东科技-金融科技事业群-综合运营部</t>
  </si>
  <si>
    <t>shenxingxing10@jd.com</t>
  </si>
  <si>
    <t>sqtianyang1@jd.com</t>
  </si>
  <si>
    <t>cuimeng19</t>
  </si>
  <si>
    <t>cuimeng19@jd.com</t>
  </si>
  <si>
    <t>崔萌</t>
  </si>
  <si>
    <t>经营分析岗(团队负责人)</t>
  </si>
  <si>
    <t>wangyanjie@jd.com</t>
  </si>
  <si>
    <t>wangxu31</t>
  </si>
  <si>
    <t>wangxu31@jd.com</t>
  </si>
  <si>
    <t>王旭</t>
  </si>
  <si>
    <t>qiumingyue.3</t>
  </si>
  <si>
    <t>qiumingyue.3@jd.com</t>
  </si>
  <si>
    <t>邱明月</t>
  </si>
  <si>
    <t>liujie.976</t>
  </si>
  <si>
    <t>liujie.976@jd.com</t>
  </si>
  <si>
    <t>刘杰</t>
  </si>
  <si>
    <t>yangting.262@jd.com</t>
  </si>
  <si>
    <t>zhengmengran.3</t>
  </si>
  <si>
    <t>zhengmengran.3@jd.com</t>
  </si>
  <si>
    <t>郑梦冉</t>
  </si>
  <si>
    <t>yangjing.555</t>
  </si>
  <si>
    <t>yangjing.555@jd.com</t>
  </si>
  <si>
    <t>杨静</t>
  </si>
  <si>
    <t>gengxue.5114</t>
  </si>
  <si>
    <t>gengxue.5114@jd.com</t>
  </si>
  <si>
    <t>耿雪</t>
  </si>
  <si>
    <t>sqjiangteng@jd.com</t>
  </si>
  <si>
    <t>liukening6</t>
  </si>
  <si>
    <t>liukening6@jd.com</t>
  </si>
  <si>
    <t>刘可宁</t>
  </si>
  <si>
    <t>wangxiaoqing.92</t>
  </si>
  <si>
    <t>wangxiaoqing.92@jd.com</t>
  </si>
  <si>
    <t>王晓晴</t>
  </si>
  <si>
    <t>wangjie178@jd.com</t>
  </si>
  <si>
    <t>dingzimeng.0108@jd.com</t>
  </si>
  <si>
    <t>chengbin34@jd.com</t>
  </si>
  <si>
    <t>重庆市-重庆市</t>
  </si>
  <si>
    <t>京东重庆杨柳路3号职场</t>
  </si>
  <si>
    <t>houkaixuan.1@jd.com</t>
  </si>
  <si>
    <t>wangtianmeng6@jd.com</t>
  </si>
  <si>
    <t>gaorui55</t>
  </si>
  <si>
    <t>gaorui55@jd.com</t>
  </si>
  <si>
    <t>高睿</t>
  </si>
  <si>
    <t>qiuman7@jd.com</t>
  </si>
  <si>
    <t>sqhuyan5@jd.com</t>
  </si>
  <si>
    <t>zongzhizhen.1</t>
  </si>
  <si>
    <t>zongzhizhen.1@jd.com</t>
  </si>
  <si>
    <t>宗志臻</t>
  </si>
  <si>
    <t>wangsuyun@jd.com</t>
  </si>
  <si>
    <t>guanfutao1</t>
  </si>
  <si>
    <t>guanfutao1@jd.com</t>
  </si>
  <si>
    <t>管富韬</t>
  </si>
  <si>
    <t>anjing.34</t>
  </si>
  <si>
    <t>anjing.34@jd.com</t>
  </si>
  <si>
    <t>安菁</t>
  </si>
  <si>
    <t>lichang.132@jd.com</t>
  </si>
  <si>
    <t>sqdongxiaoying@jd.com</t>
  </si>
  <si>
    <t>zhangxuejiao.29</t>
  </si>
  <si>
    <t>zhangxuejiao.29@jd.com</t>
  </si>
  <si>
    <t>张雪娇</t>
  </si>
  <si>
    <t>mengying.34</t>
  </si>
  <si>
    <t>mengying.34@jd.com</t>
  </si>
  <si>
    <t>孟莹</t>
  </si>
  <si>
    <t>yuliyang1</t>
  </si>
  <si>
    <t>yuliyang1@jd.com</t>
  </si>
  <si>
    <t>郁丽阳</t>
  </si>
  <si>
    <t>hanting16</t>
  </si>
  <si>
    <t>hanting16@jd.com</t>
  </si>
  <si>
    <t>韩婷</t>
  </si>
  <si>
    <t>sqzhangtian3@jd.com</t>
  </si>
  <si>
    <t>tangling.56</t>
  </si>
  <si>
    <t>tangling.56@jd.com</t>
  </si>
  <si>
    <t>唐玲</t>
  </si>
  <si>
    <t>wangwanqiu.10</t>
  </si>
  <si>
    <t>wangwanqiu.10@jd.com</t>
  </si>
  <si>
    <t>王婉秋</t>
  </si>
  <si>
    <t xml:space="preserve">  </t>
  </si>
  <si>
    <t>流程管理</t>
  </si>
  <si>
    <t>系统开发</t>
  </si>
  <si>
    <t>风险报告</t>
  </si>
  <si>
    <t>底层积木化工作内容</t>
  </si>
  <si>
    <r>
      <rPr>
        <sz val="10"/>
        <color rgb="FF000000"/>
        <rFont val="京东朗正体 1.0 玲珑"/>
        <charset val="134"/>
      </rPr>
      <t xml:space="preserve">AI化潜力：根据任务复杂度、人际互动性、标准化程度综合评估
</t>
    </r>
    <r>
      <rPr>
        <i/>
        <sz val="10"/>
        <color rgb="FFED7D31"/>
        <rFont val="京东朗正体 1.0 玲珑"/>
        <charset val="134"/>
      </rPr>
      <t>高潜力：任务复杂度低、标准化程度高、人际互动性低
低潜力：任务复杂度高、标准化程度低、人际互动性高
中潜力：高潜力区和低潜力区组合外，其他各组合集合</t>
    </r>
  </si>
  <si>
    <t>工作内容</t>
  </si>
  <si>
    <t>一级模块</t>
  </si>
  <si>
    <t>二级模块</t>
  </si>
  <si>
    <t>任务复杂度</t>
  </si>
  <si>
    <t>标准化程度</t>
  </si>
  <si>
    <t>人际互动性</t>
  </si>
  <si>
    <t>信息处理类</t>
  </si>
  <si>
    <t>指季度会、月度会、经分会等材料，部分专项及业绩分析可AI化</t>
  </si>
  <si>
    <t>格式的标准化？内容完整性》</t>
  </si>
  <si>
    <t>分析决策类</t>
  </si>
  <si>
    <t>指数据底层处理，模型开发等</t>
  </si>
  <si>
    <t>BI看板建设等</t>
  </si>
  <si>
    <t>对于对客账单或者一些监管报送场景，有特殊格式要求的情况，BI图表并不能满足，需要用中国式报表做复杂设计和配置方能完成</t>
  </si>
  <si>
    <t>定期发送数据报告触达相关对象，用于常态化指标跟踪</t>
  </si>
  <si>
    <t>承接阶段性业务目标，通过多维度数据下探与交叉分析，洞察业务现状与驱动因素，形成可落地的业务结论，为业务方向制定与打法优化提供决策依据。</t>
  </si>
  <si>
    <t>指销售KPI设定，业绩核算等</t>
  </si>
  <si>
    <t>有如人效分析类工作，基本逻辑梳理清楚，可通过AI实现报告输出，可分为高潜力-田晓微</t>
  </si>
  <si>
    <t>执行操作类</t>
  </si>
  <si>
    <t>如需求对接中出现系统问题，识别问题并流转对应的产研侧跟进处理</t>
  </si>
  <si>
    <t>如枚举配置、账户申请等，完成前置沟通后的配置和申请流程可AI化</t>
  </si>
  <si>
    <t>特指从零开始建制度、流程、规范，乃至各类分析体系、指标体系搭建等，需要思路和框架输入。</t>
  </si>
  <si>
    <t>管理协调类</t>
  </si>
  <si>
    <t>监管举报及信访客诉处置、违规线索核查应对等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</si>
</sst>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57">
    <font>
      <sz val="11"/>
      <color theme="1"/>
      <name val="宋体"/>
      <charset val="134"/>
      <scheme val="minor"/>
    </font>
    <font>
      <sz val="11"/>
      <color theme="1"/>
      <name val="京东朗正体 1.0 玲珑"/>
      <charset val="134"/>
    </font>
    <font>
      <sz val="10"/>
      <color theme="1"/>
      <name val="京东朗正体 1.0 玲珑"/>
      <charset val="134"/>
    </font>
    <font>
      <sz val="10"/>
      <color rgb="FF000000"/>
      <name val="京东朗正体 1.0 玲珑"/>
      <charset val="134"/>
    </font>
    <font>
      <b/>
      <sz val="10.5"/>
      <color rgb="FF000000"/>
      <name val="京东朗正体 1.0 玲珑"/>
      <charset val="134"/>
    </font>
    <font>
      <i/>
      <sz val="10.5"/>
      <color rgb="FF000000"/>
      <name val="京东朗正体 1.0 玲珑"/>
      <charset val="134"/>
    </font>
    <font>
      <sz val="10.5"/>
      <color rgb="FF000000"/>
      <name val="京东朗正体 1.0 玲珑"/>
      <charset val="134"/>
    </font>
    <font>
      <i/>
      <sz val="11"/>
      <color rgb="FF000000"/>
      <name val="京东朗正体 1.0 玲珑"/>
      <charset val="134"/>
    </font>
    <font>
      <sz val="11"/>
      <color rgb="FF000000"/>
      <name val="京东朗正体 1.0 玲珑"/>
      <charset val="134"/>
    </font>
    <font>
      <sz val="10.5"/>
      <color rgb="FFFF0000"/>
      <name val="京东朗正体 1.0 玲珑"/>
      <charset val="134"/>
    </font>
    <font>
      <i/>
      <sz val="11"/>
      <color theme="1"/>
      <name val="京东朗正体 1.0 玲珑"/>
      <charset val="134"/>
    </font>
    <font>
      <sz val="11"/>
      <color rgb="FFFF0000"/>
      <name val="京东朗正体 1.0 玲珑"/>
      <charset val="134"/>
    </font>
    <font>
      <i/>
      <sz val="11"/>
      <color rgb="FFFF0000"/>
      <name val="京东朗正体 1.0 玲珑"/>
      <charset val="134"/>
    </font>
    <font>
      <sz val="11"/>
      <color rgb="FF000000"/>
      <name val="宋体"/>
      <charset val="134"/>
    </font>
    <font>
      <sz val="12"/>
      <name val="等线"/>
      <charset val="134"/>
    </font>
    <font>
      <sz val="12"/>
      <color rgb="FF000000"/>
      <name val="等线"/>
      <charset val="134"/>
    </font>
    <font>
      <sz val="11"/>
      <color rgb="FF000000"/>
      <name val="等线"/>
      <charset val="134"/>
    </font>
    <font>
      <b/>
      <sz val="11"/>
      <color theme="1"/>
      <name val="京东朗正体 1.0 玲珑"/>
      <charset val="134"/>
    </font>
    <font>
      <sz val="12"/>
      <color theme="1"/>
      <name val="等线"/>
      <charset val="134"/>
    </font>
    <font>
      <sz val="11"/>
      <color theme="1"/>
      <name val="京东朗正体 1.0 纤秀"/>
      <charset val="134"/>
    </font>
    <font>
      <b/>
      <sz val="11"/>
      <color rgb="FF000000"/>
      <name val="京东朗正体 1.0 玲珑"/>
      <charset val="134"/>
    </font>
    <font>
      <sz val="12"/>
      <color rgb="FF000000"/>
      <name val="京东朗正体 1.0 玲珑"/>
      <charset val="134"/>
    </font>
    <font>
      <b/>
      <sz val="12"/>
      <color rgb="FF000000"/>
      <name val="京东朗正体 1.0 玲珑"/>
      <charset val="134"/>
    </font>
    <font>
      <sz val="12"/>
      <color rgb="FFFF0000"/>
      <name val="京东朗正体 1.0 玲珑"/>
      <charset val="134"/>
    </font>
    <font>
      <sz val="12"/>
      <name val="京东朗正体 1.0 玲珑"/>
      <charset val="134"/>
    </font>
    <font>
      <sz val="12"/>
      <name val="京东朗正体 1.0 玲珑"/>
      <charset val="0"/>
    </font>
    <font>
      <sz val="12"/>
      <color rgb="FF000000"/>
      <name val="京东朗正体 1.0 玲珑"/>
      <charset val="0"/>
    </font>
    <font>
      <sz val="12"/>
      <name val="等线"/>
      <charset val="0"/>
    </font>
    <font>
      <sz val="12"/>
      <color rgb="FF000000"/>
      <name val="等线"/>
      <charset val="0"/>
    </font>
    <font>
      <i/>
      <sz val="12"/>
      <color rgb="FF000000"/>
      <name val="等线"/>
      <charset val="134"/>
    </font>
    <font>
      <b/>
      <sz val="12"/>
      <name val="等线"/>
      <charset val="134"/>
    </font>
    <font>
      <sz val="11"/>
      <color rgb="FFED7D31"/>
      <name val="京东朗正体 1.0 玲珑"/>
      <charset val="134"/>
    </font>
    <font>
      <sz val="12"/>
      <color rgb="FF000000"/>
      <name val="京东朗正体 1.0 纤秀"/>
      <charset val="134"/>
    </font>
    <font>
      <sz val="11"/>
      <color rgb="FF000000"/>
      <name val="京东朗正体 1.0 纤秀"/>
      <charset val="134"/>
    </font>
    <font>
      <sz val="10.5"/>
      <color rgb="FF000000"/>
      <name val="京东朗正体 1.0 纤秀"/>
      <charset val="134"/>
    </font>
    <font>
      <i/>
      <sz val="11"/>
      <color rgb="FF000000"/>
      <name val="京东朗正体 1.0 纤秀"/>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0"/>
      <color rgb="FFED7D31"/>
      <name val="京东朗正体 1.0 玲珑"/>
      <charset val="134"/>
    </font>
  </fonts>
  <fills count="49">
    <fill>
      <patternFill patternType="none"/>
    </fill>
    <fill>
      <patternFill patternType="gray125"/>
    </fill>
    <fill>
      <patternFill patternType="solid">
        <fgColor rgb="FFFFFF00"/>
        <bgColor indexed="64"/>
      </patternFill>
    </fill>
    <fill>
      <patternFill patternType="solid">
        <fgColor rgb="FFFBE5D6"/>
        <bgColor indexed="64"/>
      </patternFill>
    </fill>
    <fill>
      <patternFill patternType="solid">
        <fgColor rgb="FFBFBFBF"/>
        <bgColor indexed="64"/>
      </patternFill>
    </fill>
    <fill>
      <patternFill patternType="solid">
        <fgColor rgb="FFFFFF00"/>
        <bgColor rgb="FF000000"/>
      </patternFill>
    </fill>
    <fill>
      <patternFill patternType="solid">
        <fgColor rgb="FFC0C0C0"/>
        <bgColor rgb="FF000000"/>
      </patternFill>
    </fill>
    <fill>
      <patternFill patternType="solid">
        <fgColor rgb="FF92D050"/>
        <bgColor rgb="FF000000"/>
      </patternFill>
    </fill>
    <fill>
      <patternFill patternType="solid">
        <fgColor rgb="FF00B0F0"/>
        <bgColor indexed="64"/>
      </patternFill>
    </fill>
    <fill>
      <patternFill patternType="solid">
        <fgColor rgb="FFC5E0B4"/>
        <bgColor indexed="64"/>
      </patternFill>
    </fill>
    <fill>
      <patternFill patternType="solid">
        <fgColor rgb="FF92D050"/>
        <bgColor indexed="64"/>
      </patternFill>
    </fill>
    <fill>
      <patternFill patternType="solid">
        <fgColor rgb="FFC5E0B4"/>
        <bgColor rgb="FF000000"/>
      </patternFill>
    </fill>
    <fill>
      <patternFill patternType="solid">
        <fgColor rgb="FFFFFFFF"/>
        <bgColor indexed="64"/>
      </patternFill>
    </fill>
    <fill>
      <patternFill patternType="solid">
        <fgColor rgb="FFFFFFFF"/>
        <bgColor rgb="FF000000"/>
      </patternFill>
    </fill>
    <fill>
      <patternFill patternType="solid">
        <fgColor rgb="FF70AD47"/>
        <bgColor indexed="64"/>
      </patternFill>
    </fill>
    <fill>
      <patternFill patternType="solid">
        <fgColor rgb="FFE2F0D9"/>
        <bgColor indexed="64"/>
      </patternFill>
    </fill>
    <fill>
      <patternFill patternType="solid">
        <fgColor rgb="FFF4B183"/>
        <bgColor indexed="64"/>
      </patternFill>
    </fill>
    <fill>
      <patternFill patternType="solid">
        <fgColor rgb="FFA6A6A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0" fillId="18" borderId="10"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11" applyNumberFormat="0" applyFill="0" applyAlignment="0" applyProtection="0">
      <alignment vertical="center"/>
    </xf>
    <xf numFmtId="0" fontId="43" fillId="0" borderId="11" applyNumberFormat="0" applyFill="0" applyAlignment="0" applyProtection="0">
      <alignment vertical="center"/>
    </xf>
    <xf numFmtId="0" fontId="44" fillId="0" borderId="12" applyNumberFormat="0" applyFill="0" applyAlignment="0" applyProtection="0">
      <alignment vertical="center"/>
    </xf>
    <xf numFmtId="0" fontId="44" fillId="0" borderId="0" applyNumberFormat="0" applyFill="0" applyBorder="0" applyAlignment="0" applyProtection="0">
      <alignment vertical="center"/>
    </xf>
    <xf numFmtId="0" fontId="45" fillId="19" borderId="13" applyNumberFormat="0" applyAlignment="0" applyProtection="0">
      <alignment vertical="center"/>
    </xf>
    <xf numFmtId="0" fontId="46" fillId="20" borderId="14" applyNumberFormat="0" applyAlignment="0" applyProtection="0">
      <alignment vertical="center"/>
    </xf>
    <xf numFmtId="0" fontId="47" fillId="20" borderId="13" applyNumberFormat="0" applyAlignment="0" applyProtection="0">
      <alignment vertical="center"/>
    </xf>
    <xf numFmtId="0" fontId="48" fillId="21" borderId="15" applyNumberFormat="0" applyAlignment="0" applyProtection="0">
      <alignment vertical="center"/>
    </xf>
    <xf numFmtId="0" fontId="49" fillId="0" borderId="16" applyNumberFormat="0" applyFill="0" applyAlignment="0" applyProtection="0">
      <alignment vertical="center"/>
    </xf>
    <xf numFmtId="0" fontId="50" fillId="0" borderId="17" applyNumberFormat="0" applyFill="0" applyAlignment="0" applyProtection="0">
      <alignment vertical="center"/>
    </xf>
    <xf numFmtId="0" fontId="51" fillId="22" borderId="0" applyNumberFormat="0" applyBorder="0" applyAlignment="0" applyProtection="0">
      <alignment vertical="center"/>
    </xf>
    <xf numFmtId="0" fontId="52" fillId="23" borderId="0" applyNumberFormat="0" applyBorder="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55" fillId="26" borderId="0" applyNumberFormat="0" applyBorder="0" applyAlignment="0" applyProtection="0">
      <alignment vertical="center"/>
    </xf>
    <xf numFmtId="0" fontId="55" fillId="27" borderId="0" applyNumberFormat="0" applyBorder="0" applyAlignment="0" applyProtection="0">
      <alignment vertical="center"/>
    </xf>
    <xf numFmtId="0" fontId="54" fillId="28" borderId="0" applyNumberFormat="0" applyBorder="0" applyAlignment="0" applyProtection="0">
      <alignment vertical="center"/>
    </xf>
    <xf numFmtId="0" fontId="54" fillId="29" borderId="0" applyNumberFormat="0" applyBorder="0" applyAlignment="0" applyProtection="0">
      <alignment vertical="center"/>
    </xf>
    <xf numFmtId="0" fontId="55" fillId="30" borderId="0" applyNumberFormat="0" applyBorder="0" applyAlignment="0" applyProtection="0">
      <alignment vertical="center"/>
    </xf>
    <xf numFmtId="0" fontId="55" fillId="31" borderId="0" applyNumberFormat="0" applyBorder="0" applyAlignment="0" applyProtection="0">
      <alignment vertical="center"/>
    </xf>
    <xf numFmtId="0" fontId="54" fillId="32" borderId="0" applyNumberFormat="0" applyBorder="0" applyAlignment="0" applyProtection="0">
      <alignment vertical="center"/>
    </xf>
    <xf numFmtId="0" fontId="54" fillId="33" borderId="0" applyNumberFormat="0" applyBorder="0" applyAlignment="0" applyProtection="0">
      <alignment vertical="center"/>
    </xf>
    <xf numFmtId="0" fontId="55" fillId="34" borderId="0" applyNumberFormat="0" applyBorder="0" applyAlignment="0" applyProtection="0">
      <alignment vertical="center"/>
    </xf>
    <xf numFmtId="0" fontId="55" fillId="35" borderId="0" applyNumberFormat="0" applyBorder="0" applyAlignment="0" applyProtection="0">
      <alignment vertical="center"/>
    </xf>
    <xf numFmtId="0" fontId="54" fillId="36" borderId="0" applyNumberFormat="0" applyBorder="0" applyAlignment="0" applyProtection="0">
      <alignment vertical="center"/>
    </xf>
    <xf numFmtId="0" fontId="54" fillId="37" borderId="0" applyNumberFormat="0" applyBorder="0" applyAlignment="0" applyProtection="0">
      <alignment vertical="center"/>
    </xf>
    <xf numFmtId="0" fontId="55" fillId="38" borderId="0" applyNumberFormat="0" applyBorder="0" applyAlignment="0" applyProtection="0">
      <alignment vertical="center"/>
    </xf>
    <xf numFmtId="0" fontId="55" fillId="39" borderId="0" applyNumberFormat="0" applyBorder="0" applyAlignment="0" applyProtection="0">
      <alignment vertical="center"/>
    </xf>
    <xf numFmtId="0" fontId="54" fillId="40" borderId="0" applyNumberFormat="0" applyBorder="0" applyAlignment="0" applyProtection="0">
      <alignment vertical="center"/>
    </xf>
    <xf numFmtId="0" fontId="54" fillId="41" borderId="0" applyNumberFormat="0" applyBorder="0" applyAlignment="0" applyProtection="0">
      <alignment vertical="center"/>
    </xf>
    <xf numFmtId="0" fontId="55" fillId="42" borderId="0" applyNumberFormat="0" applyBorder="0" applyAlignment="0" applyProtection="0">
      <alignment vertical="center"/>
    </xf>
    <xf numFmtId="0" fontId="55" fillId="43" borderId="0" applyNumberFormat="0" applyBorder="0" applyAlignment="0" applyProtection="0">
      <alignment vertical="center"/>
    </xf>
    <xf numFmtId="0" fontId="54" fillId="44" borderId="0" applyNumberFormat="0" applyBorder="0" applyAlignment="0" applyProtection="0">
      <alignment vertical="center"/>
    </xf>
    <xf numFmtId="0" fontId="54" fillId="45" borderId="0" applyNumberFormat="0" applyBorder="0" applyAlignment="0" applyProtection="0">
      <alignment vertical="center"/>
    </xf>
    <xf numFmtId="0" fontId="55" fillId="46" borderId="0" applyNumberFormat="0" applyBorder="0" applyAlignment="0" applyProtection="0">
      <alignment vertical="center"/>
    </xf>
    <xf numFmtId="0" fontId="55" fillId="47" borderId="0" applyNumberFormat="0" applyBorder="0" applyAlignment="0" applyProtection="0">
      <alignment vertical="center"/>
    </xf>
    <xf numFmtId="0" fontId="54" fillId="48" borderId="0" applyNumberFormat="0" applyBorder="0" applyAlignment="0" applyProtection="0">
      <alignment vertical="center"/>
    </xf>
  </cellStyleXfs>
  <cellXfs count="290">
    <xf numFmtId="0" fontId="0" fillId="0" borderId="0" xfId="0">
      <alignment vertical="center"/>
    </xf>
    <xf numFmtId="0" fontId="1" fillId="0" borderId="0" xfId="0" applyFont="1" applyAlignment="1">
      <alignment horizontal="left" vertical="center"/>
    </xf>
    <xf numFmtId="0" fontId="1" fillId="0" borderId="0" xfId="0" applyFont="1">
      <alignment vertical="center"/>
    </xf>
    <xf numFmtId="0" fontId="1" fillId="0" borderId="0" xfId="0" applyFont="1" applyAlignment="1">
      <alignment vertical="center" wrapTex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2" fillId="0" borderId="0" xfId="0" applyFont="1" applyAlignment="1">
      <alignment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1" fillId="0" borderId="1" xfId="0" applyFont="1" applyBorder="1" applyAlignment="1">
      <alignment vertical="center" wrapText="1"/>
    </xf>
    <xf numFmtId="0" fontId="9" fillId="0" borderId="1" xfId="0" applyFont="1" applyBorder="1" applyAlignment="1">
      <alignment horizontal="left" vertical="center" wrapText="1"/>
    </xf>
    <xf numFmtId="0" fontId="8" fillId="0" borderId="1" xfId="0" applyFont="1" applyBorder="1" applyAlignment="1">
      <alignment vertical="center" wrapText="1"/>
    </xf>
    <xf numFmtId="0" fontId="8" fillId="0" borderId="1" xfId="0" applyFont="1" applyBorder="1" applyAlignment="1">
      <alignment horizontal="left"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10" fillId="0" borderId="1" xfId="0" applyFont="1" applyBorder="1" applyAlignment="1">
      <alignment horizontal="center" vertical="center"/>
    </xf>
    <xf numFmtId="0" fontId="6" fillId="0" borderId="4" xfId="0" applyFont="1" applyBorder="1" applyAlignment="1">
      <alignment horizontal="left" vertical="center" wrapText="1"/>
    </xf>
    <xf numFmtId="0" fontId="11" fillId="0" borderId="1" xfId="0" applyFont="1" applyBorder="1" applyAlignment="1">
      <alignment horizontal="left" vertical="center"/>
    </xf>
    <xf numFmtId="0" fontId="12" fillId="0" borderId="1" xfId="0" applyFont="1" applyBorder="1" applyAlignment="1">
      <alignment horizontal="center" vertical="center"/>
    </xf>
    <xf numFmtId="0" fontId="9" fillId="2" borderId="1" xfId="0" applyFont="1" applyFill="1" applyBorder="1" applyAlignment="1">
      <alignment horizontal="left" vertical="center" wrapText="1"/>
    </xf>
    <xf numFmtId="0" fontId="13" fillId="0" borderId="0" xfId="0" applyFont="1">
      <alignment vertical="center"/>
    </xf>
    <xf numFmtId="0" fontId="0" fillId="0" borderId="0" xfId="0" applyNumberFormat="1">
      <alignment vertical="center"/>
    </xf>
    <xf numFmtId="0" fontId="0" fillId="0" borderId="0" xfId="0" applyAlignment="1">
      <alignment vertical="center"/>
    </xf>
    <xf numFmtId="0" fontId="14" fillId="5" borderId="1" xfId="0" applyFont="1" applyFill="1" applyBorder="1" applyAlignment="1">
      <alignment horizontal="center" vertical="center"/>
    </xf>
    <xf numFmtId="0" fontId="14" fillId="5" borderId="5" xfId="0" applyFont="1" applyFill="1" applyBorder="1" applyAlignment="1">
      <alignment horizontal="center" vertical="center"/>
    </xf>
    <xf numFmtId="0" fontId="14" fillId="6" borderId="5" xfId="0" applyFont="1" applyFill="1" applyBorder="1" applyAlignment="1">
      <alignment horizontal="center" vertical="center"/>
    </xf>
    <xf numFmtId="0" fontId="14" fillId="0" borderId="0" xfId="0" applyFont="1">
      <alignment vertical="center"/>
    </xf>
    <xf numFmtId="0" fontId="15" fillId="0" borderId="0" xfId="0" applyFont="1">
      <alignment vertical="center"/>
    </xf>
    <xf numFmtId="0" fontId="14" fillId="7" borderId="0" xfId="0" applyFont="1" applyFill="1">
      <alignment vertical="center"/>
    </xf>
    <xf numFmtId="0" fontId="16" fillId="0" borderId="0" xfId="0" applyFont="1" applyAlignment="1"/>
    <xf numFmtId="0" fontId="17" fillId="0" borderId="0" xfId="0" applyFont="1" applyBorder="1" applyAlignment="1">
      <alignment horizontal="left" vertical="center"/>
    </xf>
    <xf numFmtId="0" fontId="18" fillId="0" borderId="0" xfId="0" applyFont="1" applyBorder="1" applyAlignment="1">
      <alignment horizontal="center" vertical="center"/>
    </xf>
    <xf numFmtId="0" fontId="18" fillId="0" borderId="0" xfId="0" applyFont="1" applyBorder="1" applyAlignment="1">
      <alignment horizontal="left" vertical="center"/>
    </xf>
    <xf numFmtId="0" fontId="18" fillId="0" borderId="0" xfId="0" applyFont="1" applyAlignment="1">
      <alignment horizontal="left" vertical="center" wrapText="1"/>
    </xf>
    <xf numFmtId="0" fontId="18" fillId="0" borderId="0" xfId="0" applyFont="1" applyBorder="1" applyAlignment="1">
      <alignment horizontal="left" vertical="center" wrapText="1"/>
    </xf>
    <xf numFmtId="0" fontId="18" fillId="0" borderId="1" xfId="0" applyFont="1" applyFill="1" applyBorder="1" applyAlignment="1">
      <alignment horizontal="left" vertical="center"/>
    </xf>
    <xf numFmtId="0" fontId="18" fillId="0" borderId="0" xfId="0" applyNumberFormat="1" applyFont="1" applyBorder="1" applyAlignment="1">
      <alignment horizontal="center" vertical="center"/>
    </xf>
    <xf numFmtId="0" fontId="18" fillId="0" borderId="0" xfId="0" applyNumberFormat="1" applyFont="1" applyBorder="1" applyAlignment="1">
      <alignment horizontal="left" vertical="center" wrapText="1"/>
    </xf>
    <xf numFmtId="0" fontId="19" fillId="0" borderId="0" xfId="0" applyFont="1" applyAlignment="1">
      <alignment horizontal="center" vertical="center"/>
    </xf>
    <xf numFmtId="0" fontId="20" fillId="0" borderId="0" xfId="0" applyFont="1" applyBorder="1" applyAlignment="1">
      <alignment horizontal="left" vertical="center"/>
    </xf>
    <xf numFmtId="0" fontId="20" fillId="0" borderId="0" xfId="0" applyFont="1" applyBorder="1" applyAlignment="1">
      <alignment horizontal="center" vertical="center"/>
    </xf>
    <xf numFmtId="0" fontId="20" fillId="0" borderId="0" xfId="0" applyFont="1" applyBorder="1" applyAlignment="1">
      <alignment horizontal="left" vertical="center" wrapText="1"/>
    </xf>
    <xf numFmtId="0" fontId="8" fillId="0" borderId="0" xfId="0" applyNumberFormat="1" applyFont="1" applyBorder="1" applyAlignment="1">
      <alignment horizontal="left" vertical="center" wrapText="1"/>
    </xf>
    <xf numFmtId="0" fontId="20" fillId="0" borderId="0" xfId="0" applyNumberFormat="1" applyFont="1" applyBorder="1" applyAlignment="1">
      <alignment horizontal="left" vertical="center" wrapText="1"/>
    </xf>
    <xf numFmtId="0" fontId="21" fillId="6" borderId="1" xfId="0" applyFont="1" applyFill="1" applyBorder="1" applyAlignment="1">
      <alignment horizontal="left" vertical="center"/>
    </xf>
    <xf numFmtId="0" fontId="21" fillId="6" borderId="1" xfId="0" applyNumberFormat="1" applyFont="1" applyFill="1" applyBorder="1" applyAlignment="1">
      <alignment horizontal="center" vertical="center"/>
    </xf>
    <xf numFmtId="0" fontId="22" fillId="8" borderId="1" xfId="0" applyFont="1" applyFill="1" applyBorder="1" applyAlignment="1">
      <alignment horizontal="left" vertical="center"/>
    </xf>
    <xf numFmtId="0" fontId="22" fillId="9" borderId="1" xfId="0" applyFont="1" applyFill="1" applyBorder="1" applyAlignment="1">
      <alignment horizontal="left" vertical="center"/>
    </xf>
    <xf numFmtId="0" fontId="22" fillId="2" borderId="1" xfId="0" applyFont="1" applyFill="1" applyBorder="1" applyAlignment="1">
      <alignment horizontal="left" vertical="center"/>
    </xf>
    <xf numFmtId="0" fontId="23" fillId="0" borderId="0" xfId="0" applyFont="1" applyBorder="1" applyAlignment="1">
      <alignment horizontal="left" vertical="center"/>
    </xf>
    <xf numFmtId="0" fontId="23" fillId="0" borderId="0" xfId="0" applyFont="1" applyBorder="1" applyAlignment="1">
      <alignment horizontal="center" vertical="center"/>
    </xf>
    <xf numFmtId="0" fontId="23" fillId="0" borderId="0" xfId="0" applyNumberFormat="1" applyFont="1" applyBorder="1" applyAlignment="1">
      <alignment horizontal="center" vertical="center"/>
    </xf>
    <xf numFmtId="0" fontId="23" fillId="0" borderId="0" xfId="0" applyFont="1" applyBorder="1" applyAlignment="1">
      <alignment horizontal="left" vertical="center" wrapText="1"/>
    </xf>
    <xf numFmtId="0" fontId="23" fillId="0" borderId="0" xfId="0" applyNumberFormat="1" applyFont="1" applyBorder="1" applyAlignment="1">
      <alignment horizontal="left" vertical="center" wrapText="1"/>
    </xf>
    <xf numFmtId="0" fontId="24" fillId="0" borderId="0" xfId="0" applyFont="1" applyBorder="1" applyAlignment="1">
      <alignment horizontal="left" vertical="center"/>
    </xf>
    <xf numFmtId="0" fontId="24" fillId="0" borderId="0" xfId="0" applyFont="1" applyBorder="1" applyAlignment="1">
      <alignment horizontal="center" vertical="center"/>
    </xf>
    <xf numFmtId="0" fontId="24" fillId="0" borderId="0" xfId="0" applyNumberFormat="1" applyFont="1" applyBorder="1" applyAlignment="1">
      <alignment horizontal="center" vertical="center"/>
    </xf>
    <xf numFmtId="0" fontId="21" fillId="0" borderId="0" xfId="0" applyFont="1" applyBorder="1" applyAlignment="1">
      <alignment horizontal="left" vertical="center" wrapText="1"/>
    </xf>
    <xf numFmtId="0" fontId="21" fillId="0" borderId="0" xfId="0" applyNumberFormat="1" applyFont="1" applyBorder="1" applyAlignment="1">
      <alignment horizontal="left" vertical="center" wrapText="1"/>
    </xf>
    <xf numFmtId="0" fontId="24" fillId="0" borderId="0" xfId="0" applyFont="1" applyBorder="1" applyAlignment="1">
      <alignment horizontal="left" vertical="center" wrapText="1"/>
    </xf>
    <xf numFmtId="0" fontId="24" fillId="0" borderId="0" xfId="0" applyFont="1" applyAlignment="1">
      <alignment horizontal="center" vertical="center"/>
    </xf>
    <xf numFmtId="0" fontId="24" fillId="0" borderId="0" xfId="0" applyNumberFormat="1" applyFont="1" applyAlignment="1">
      <alignment horizontal="center" vertical="center"/>
    </xf>
    <xf numFmtId="0" fontId="21"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Border="1" applyAlignment="1">
      <alignment horizontal="center" vertical="center" wrapText="1"/>
    </xf>
    <xf numFmtId="0" fontId="24" fillId="0" borderId="0" xfId="0" applyNumberFormat="1" applyFont="1" applyBorder="1" applyAlignment="1">
      <alignment horizontal="center" vertical="center" wrapText="1"/>
    </xf>
    <xf numFmtId="0" fontId="24" fillId="0" borderId="0" xfId="0" applyNumberFormat="1" applyFont="1" applyBorder="1" applyAlignment="1">
      <alignment horizontal="left" vertical="center" wrapText="1"/>
    </xf>
    <xf numFmtId="0" fontId="24" fillId="0" borderId="0" xfId="0" applyFont="1" applyAlignment="1">
      <alignment horizontal="left" vertical="center" wrapText="1"/>
    </xf>
    <xf numFmtId="0" fontId="21" fillId="0" borderId="0" xfId="0" applyFont="1" applyBorder="1" applyAlignment="1">
      <alignment horizontal="left" vertical="center"/>
    </xf>
    <xf numFmtId="0" fontId="25" fillId="0" borderId="0" xfId="0" applyNumberFormat="1" applyFont="1" applyBorder="1" applyAlignment="1">
      <alignment horizontal="left" vertical="center" wrapText="1"/>
    </xf>
    <xf numFmtId="0" fontId="25" fillId="0" borderId="0" xfId="0" applyFont="1" applyBorder="1" applyAlignment="1">
      <alignment horizontal="left" vertical="center" wrapText="1"/>
    </xf>
    <xf numFmtId="0" fontId="26" fillId="0" borderId="0" xfId="0" applyFont="1" applyBorder="1" applyAlignment="1">
      <alignment horizontal="left" vertical="center" wrapText="1"/>
    </xf>
    <xf numFmtId="0" fontId="21" fillId="0" borderId="0" xfId="0" applyFont="1" applyAlignment="1">
      <alignment horizontal="left" vertical="center"/>
    </xf>
    <xf numFmtId="0" fontId="21" fillId="0" borderId="0" xfId="0" applyNumberFormat="1" applyFont="1" applyAlignment="1">
      <alignment horizontal="center" vertical="center"/>
    </xf>
    <xf numFmtId="0" fontId="21" fillId="0" borderId="0" xfId="0" applyNumberFormat="1" applyFont="1" applyBorder="1" applyAlignment="1">
      <alignment horizontal="center" vertical="center"/>
    </xf>
    <xf numFmtId="0" fontId="21" fillId="0" borderId="0" xfId="0" applyFont="1" applyAlignment="1">
      <alignment horizontal="center" vertical="center" wrapText="1"/>
    </xf>
    <xf numFmtId="0" fontId="24" fillId="0" borderId="0" xfId="0" applyFont="1" applyAlignment="1">
      <alignment horizontal="center" vertical="center" wrapText="1"/>
    </xf>
    <xf numFmtId="0" fontId="15" fillId="0" borderId="0" xfId="0" applyFont="1" applyBorder="1" applyAlignment="1">
      <alignment horizontal="left" vertical="center"/>
    </xf>
    <xf numFmtId="0" fontId="24" fillId="0" borderId="0" xfId="0" applyNumberFormat="1" applyFont="1" applyAlignment="1">
      <alignment horizontal="center" vertical="center" wrapText="1"/>
    </xf>
    <xf numFmtId="0" fontId="21" fillId="0" borderId="0" xfId="0" applyFont="1" applyBorder="1" applyAlignment="1">
      <alignment horizontal="center" vertical="center"/>
    </xf>
    <xf numFmtId="0" fontId="24" fillId="7" borderId="0" xfId="0" applyNumberFormat="1" applyFont="1" applyFill="1" applyAlignment="1">
      <alignment horizontal="center" vertical="center"/>
    </xf>
    <xf numFmtId="0" fontId="24" fillId="7" borderId="0" xfId="0" applyFont="1" applyFill="1" applyBorder="1" applyAlignment="1">
      <alignment horizontal="left" vertical="center"/>
    </xf>
    <xf numFmtId="0" fontId="24" fillId="7" borderId="0" xfId="0" applyFont="1" applyFill="1" applyBorder="1" applyAlignment="1">
      <alignment horizontal="center" vertical="center"/>
    </xf>
    <xf numFmtId="0" fontId="21" fillId="7" borderId="0" xfId="0" applyFont="1" applyFill="1" applyBorder="1" applyAlignment="1">
      <alignment horizontal="left" vertical="center" wrapText="1"/>
    </xf>
    <xf numFmtId="0" fontId="24" fillId="0" borderId="0" xfId="0" applyFont="1" applyFill="1" applyAlignment="1">
      <alignment horizontal="center" vertical="center"/>
    </xf>
    <xf numFmtId="0" fontId="24" fillId="0" borderId="0" xfId="0" applyFont="1" applyFill="1" applyAlignment="1">
      <alignment horizontal="left" vertical="center"/>
    </xf>
    <xf numFmtId="0" fontId="24" fillId="7" borderId="0" xfId="0" applyFont="1" applyFill="1" applyAlignment="1">
      <alignment horizontal="center" vertical="center"/>
    </xf>
    <xf numFmtId="0" fontId="24" fillId="7" borderId="0" xfId="0" applyFont="1" applyFill="1" applyAlignment="1">
      <alignment horizontal="left" vertical="center"/>
    </xf>
    <xf numFmtId="0" fontId="26" fillId="0" borderId="0" xfId="0" applyNumberFormat="1" applyFont="1" applyBorder="1" applyAlignment="1">
      <alignment horizontal="left" vertical="center" wrapText="1"/>
    </xf>
    <xf numFmtId="0" fontId="24" fillId="7" borderId="0" xfId="0" applyNumberFormat="1" applyFont="1" applyFill="1" applyBorder="1" applyAlignment="1">
      <alignment horizontal="center" vertical="center"/>
    </xf>
    <xf numFmtId="0" fontId="22" fillId="0" borderId="0" xfId="0" applyFont="1" applyBorder="1" applyAlignment="1">
      <alignment horizontal="left" vertical="center" wrapText="1"/>
    </xf>
    <xf numFmtId="0" fontId="24" fillId="7" borderId="0" xfId="0" applyFont="1" applyFill="1" applyBorder="1" applyAlignment="1">
      <alignment horizontal="left" vertical="center" wrapText="1"/>
    </xf>
    <xf numFmtId="0" fontId="21" fillId="7" borderId="0" xfId="0" applyFont="1" applyFill="1" applyAlignment="1">
      <alignment horizontal="center" vertical="center"/>
    </xf>
    <xf numFmtId="0" fontId="21" fillId="7" borderId="0" xfId="0" applyNumberFormat="1" applyFont="1" applyFill="1" applyAlignment="1">
      <alignment horizontal="center" vertical="center"/>
    </xf>
    <xf numFmtId="0" fontId="24" fillId="0" borderId="0" xfId="0" applyFont="1" applyFill="1" applyBorder="1" applyAlignment="1">
      <alignment horizontal="left" vertical="center"/>
    </xf>
    <xf numFmtId="0" fontId="24" fillId="0" borderId="0" xfId="0" applyFont="1" applyFill="1" applyBorder="1" applyAlignment="1">
      <alignment horizontal="center" vertical="center"/>
    </xf>
    <xf numFmtId="0" fontId="21" fillId="0" borderId="0" xfId="0" applyFont="1" applyFill="1" applyBorder="1" applyAlignment="1">
      <alignment horizontal="left" vertical="center" wrapText="1"/>
    </xf>
    <xf numFmtId="0" fontId="14" fillId="0" borderId="0" xfId="0" applyFont="1" applyAlignment="1">
      <alignment horizontal="center" vertical="center"/>
    </xf>
    <xf numFmtId="0" fontId="15" fillId="0" borderId="0" xfId="0" applyFont="1" applyAlignment="1">
      <alignment horizontal="center" vertical="center" wrapText="1"/>
    </xf>
    <xf numFmtId="0" fontId="27" fillId="0" borderId="0" xfId="0" applyFont="1" applyBorder="1" applyAlignment="1">
      <alignment horizontal="left" vertical="center" wrapText="1"/>
    </xf>
    <xf numFmtId="0" fontId="14" fillId="0" borderId="0" xfId="0" applyFont="1" applyBorder="1" applyAlignment="1">
      <alignment horizontal="left" vertical="center"/>
    </xf>
    <xf numFmtId="0" fontId="14" fillId="0" borderId="0" xfId="0" applyFont="1" applyBorder="1" applyAlignment="1">
      <alignment horizontal="center" vertical="center"/>
    </xf>
    <xf numFmtId="0" fontId="15" fillId="0" borderId="0" xfId="0" applyFont="1" applyBorder="1" applyAlignment="1">
      <alignment horizontal="left" vertical="center" wrapText="1"/>
    </xf>
    <xf numFmtId="0" fontId="14" fillId="0" borderId="0" xfId="0" applyFont="1" applyAlignment="1">
      <alignment horizontal="left" vertical="center" wrapText="1"/>
    </xf>
    <xf numFmtId="0" fontId="14" fillId="0" borderId="0" xfId="0" applyNumberFormat="1" applyFont="1" applyBorder="1" applyAlignment="1">
      <alignment horizontal="left" vertical="center" wrapText="1"/>
    </xf>
    <xf numFmtId="0" fontId="14" fillId="0" borderId="0" xfId="0" applyFont="1" applyAlignment="1">
      <alignment horizontal="left" vertical="center"/>
    </xf>
    <xf numFmtId="0" fontId="14" fillId="0" borderId="0" xfId="0" applyNumberFormat="1" applyFont="1" applyBorder="1" applyAlignment="1">
      <alignment horizontal="center" vertical="center"/>
    </xf>
    <xf numFmtId="0" fontId="15" fillId="0" borderId="0" xfId="0" applyNumberFormat="1" applyFont="1" applyBorder="1" applyAlignment="1">
      <alignment horizontal="center" vertical="center"/>
    </xf>
    <xf numFmtId="0" fontId="14" fillId="0" borderId="0" xfId="0" applyFont="1" applyBorder="1" applyAlignment="1">
      <alignment horizontal="left" vertical="center" wrapText="1"/>
    </xf>
    <xf numFmtId="0" fontId="15" fillId="0" borderId="0" xfId="0" applyNumberFormat="1" applyFont="1" applyBorder="1" applyAlignment="1">
      <alignment horizontal="left" vertical="center" wrapText="1"/>
    </xf>
    <xf numFmtId="0" fontId="14" fillId="0" borderId="0" xfId="0" applyNumberFormat="1" applyFont="1" applyAlignment="1">
      <alignment horizontal="center" vertical="center"/>
    </xf>
    <xf numFmtId="0" fontId="14" fillId="7" borderId="0" xfId="0" applyFont="1" applyFill="1" applyBorder="1" applyAlignment="1">
      <alignment horizontal="left" vertical="center"/>
    </xf>
    <xf numFmtId="0" fontId="14" fillId="7" borderId="0" xfId="0" applyFont="1" applyFill="1" applyBorder="1" applyAlignment="1">
      <alignment horizontal="center" vertical="center"/>
    </xf>
    <xf numFmtId="0" fontId="14" fillId="7" borderId="0" xfId="0" applyNumberFormat="1" applyFont="1" applyFill="1" applyAlignment="1">
      <alignment horizontal="center" vertical="center"/>
    </xf>
    <xf numFmtId="0" fontId="15" fillId="7" borderId="0" xfId="0" applyFont="1" applyFill="1" applyBorder="1" applyAlignment="1">
      <alignment horizontal="left" vertical="center" wrapText="1"/>
    </xf>
    <xf numFmtId="0" fontId="15" fillId="7" borderId="0" xfId="0" applyNumberFormat="1" applyFont="1" applyFill="1" applyBorder="1" applyAlignment="1">
      <alignment horizontal="left" vertical="center" wrapText="1"/>
    </xf>
    <xf numFmtId="0" fontId="15" fillId="0" borderId="0" xfId="0" applyFont="1" applyAlignment="1">
      <alignment horizontal="left" vertical="center" wrapText="1"/>
    </xf>
    <xf numFmtId="0" fontId="27" fillId="0" borderId="0" xfId="0" applyNumberFormat="1" applyFont="1" applyBorder="1" applyAlignment="1">
      <alignment horizontal="left" vertical="center" wrapText="1"/>
    </xf>
    <xf numFmtId="0" fontId="14" fillId="7" borderId="0" xfId="0" applyFont="1" applyFill="1" applyAlignment="1">
      <alignment horizontal="center" vertical="center"/>
    </xf>
    <xf numFmtId="0" fontId="14" fillId="7" borderId="0" xfId="0" applyFont="1" applyFill="1" applyAlignment="1">
      <alignment horizontal="left" vertical="center" wrapText="1"/>
    </xf>
    <xf numFmtId="0" fontId="21" fillId="10" borderId="0" xfId="0" applyNumberFormat="1" applyFont="1" applyFill="1" applyBorder="1" applyAlignment="1">
      <alignment horizontal="left" vertical="center" wrapText="1"/>
    </xf>
    <xf numFmtId="0" fontId="14" fillId="7" borderId="0" xfId="0" applyFont="1" applyFill="1" applyAlignment="1">
      <alignment horizontal="left" vertical="center"/>
    </xf>
    <xf numFmtId="0" fontId="24" fillId="10" borderId="0" xfId="0" applyNumberFormat="1" applyFont="1" applyFill="1" applyBorder="1" applyAlignment="1">
      <alignment horizontal="left" vertical="center" wrapText="1"/>
    </xf>
    <xf numFmtId="0" fontId="25" fillId="10" borderId="0" xfId="0" applyFont="1" applyFill="1" applyBorder="1" applyAlignment="1">
      <alignment horizontal="left" vertical="center" wrapText="1"/>
    </xf>
    <xf numFmtId="0" fontId="15" fillId="10" borderId="0" xfId="0" applyNumberFormat="1" applyFont="1" applyFill="1" applyBorder="1" applyAlignment="1">
      <alignment horizontal="left" vertical="center" wrapText="1"/>
    </xf>
    <xf numFmtId="0" fontId="28" fillId="0" borderId="0" xfId="0" applyFont="1" applyBorder="1" applyAlignment="1">
      <alignment horizontal="left" vertical="center" wrapText="1"/>
    </xf>
    <xf numFmtId="0" fontId="29" fillId="0" borderId="0" xfId="0" applyFont="1" applyBorder="1" applyAlignment="1">
      <alignment horizontal="left" vertical="center"/>
    </xf>
    <xf numFmtId="0" fontId="21" fillId="0" borderId="1" xfId="0" applyNumberFormat="1" applyFont="1" applyBorder="1" applyAlignment="1">
      <alignment horizontal="left" vertical="center" wrapText="1"/>
    </xf>
    <xf numFmtId="0" fontId="15" fillId="0" borderId="0" xfId="0" applyNumberFormat="1" applyFont="1" applyAlignment="1">
      <alignment horizontal="center" vertical="center"/>
    </xf>
    <xf numFmtId="0" fontId="14" fillId="0" borderId="0" xfId="0" applyFont="1" applyFill="1" applyBorder="1" applyAlignment="1">
      <alignment horizontal="left" vertical="center"/>
    </xf>
    <xf numFmtId="0" fontId="14" fillId="0" borderId="0" xfId="0" applyFont="1" applyFill="1" applyBorder="1" applyAlignment="1">
      <alignment horizontal="center" vertical="center"/>
    </xf>
    <xf numFmtId="0" fontId="14" fillId="0" borderId="0" xfId="0" applyNumberFormat="1" applyFont="1" applyFill="1" applyBorder="1" applyAlignment="1">
      <alignment horizontal="center" vertical="center"/>
    </xf>
    <xf numFmtId="0" fontId="14" fillId="0" borderId="0" xfId="0" applyFont="1" applyBorder="1" applyAlignment="1">
      <alignment horizontal="center" vertical="center" wrapText="1"/>
    </xf>
    <xf numFmtId="0" fontId="14" fillId="0" borderId="0" xfId="0" applyNumberFormat="1" applyFont="1" applyBorder="1" applyAlignment="1">
      <alignment horizontal="center" vertical="center" wrapText="1"/>
    </xf>
    <xf numFmtId="0" fontId="30" fillId="11" borderId="0" xfId="0" applyNumberFormat="1" applyFont="1" applyFill="1" applyBorder="1" applyAlignment="1">
      <alignment horizontal="left" vertical="center" wrapText="1"/>
    </xf>
    <xf numFmtId="0" fontId="24" fillId="10" borderId="1" xfId="0" applyFont="1" applyFill="1" applyBorder="1" applyAlignment="1">
      <alignment horizontal="left" vertical="center"/>
    </xf>
    <xf numFmtId="0" fontId="24" fillId="10" borderId="1" xfId="0" applyFont="1" applyFill="1" applyBorder="1" applyAlignment="1">
      <alignment horizontal="center" vertical="center"/>
    </xf>
    <xf numFmtId="0" fontId="21" fillId="10" borderId="1" xfId="0" applyFont="1" applyFill="1" applyBorder="1" applyAlignment="1">
      <alignment horizontal="center" vertical="center"/>
    </xf>
    <xf numFmtId="0" fontId="24" fillId="10" borderId="1" xfId="0" applyFont="1" applyFill="1" applyBorder="1" applyAlignment="1">
      <alignment horizontal="left" vertical="center" wrapText="1"/>
    </xf>
    <xf numFmtId="0" fontId="24" fillId="10" borderId="1" xfId="0" applyNumberFormat="1" applyFont="1" applyFill="1" applyBorder="1" applyAlignment="1">
      <alignment horizontal="left" vertical="center" wrapText="1"/>
    </xf>
    <xf numFmtId="0" fontId="21" fillId="10" borderId="1" xfId="0" applyNumberFormat="1" applyFont="1" applyFill="1" applyBorder="1" applyAlignment="1">
      <alignment horizontal="left" vertical="center" wrapText="1"/>
    </xf>
    <xf numFmtId="0" fontId="23" fillId="10" borderId="1" xfId="0" applyFont="1" applyFill="1" applyBorder="1" applyAlignment="1">
      <alignment horizontal="left" vertical="center"/>
    </xf>
    <xf numFmtId="0" fontId="21" fillId="10" borderId="1" xfId="0" applyFont="1" applyFill="1" applyBorder="1" applyAlignment="1">
      <alignment horizontal="left" vertical="center"/>
    </xf>
    <xf numFmtId="0" fontId="24" fillId="10" borderId="2" xfId="0" applyNumberFormat="1" applyFont="1" applyFill="1" applyBorder="1" applyAlignment="1">
      <alignment horizontal="left" vertical="center" wrapText="1"/>
    </xf>
    <xf numFmtId="0" fontId="24" fillId="10" borderId="4" xfId="0" applyNumberFormat="1" applyFont="1" applyFill="1" applyBorder="1" applyAlignment="1">
      <alignment horizontal="left" vertical="center" wrapText="1"/>
    </xf>
    <xf numFmtId="0" fontId="15" fillId="0" borderId="1" xfId="0" applyFont="1" applyFill="1" applyBorder="1" applyAlignment="1">
      <alignment horizontal="left" vertical="center"/>
    </xf>
    <xf numFmtId="0" fontId="24" fillId="0" borderId="1" xfId="0" applyFont="1" applyFill="1" applyBorder="1" applyAlignment="1">
      <alignment horizontal="left" vertical="center"/>
    </xf>
    <xf numFmtId="0" fontId="24" fillId="0" borderId="1" xfId="0" applyFont="1" applyFill="1" applyBorder="1" applyAlignment="1">
      <alignment horizontal="center" vertical="center"/>
    </xf>
    <xf numFmtId="0" fontId="21" fillId="0" borderId="1" xfId="0" applyFont="1" applyFill="1" applyBorder="1" applyAlignment="1">
      <alignment horizontal="center" vertical="center"/>
    </xf>
    <xf numFmtId="0" fontId="24" fillId="0" borderId="1" xfId="0" applyFont="1" applyFill="1" applyBorder="1" applyAlignment="1">
      <alignment horizontal="left" vertical="center" wrapText="1"/>
    </xf>
    <xf numFmtId="0" fontId="24" fillId="0" borderId="1" xfId="0" applyNumberFormat="1" applyFont="1" applyFill="1" applyBorder="1" applyAlignment="1">
      <alignment horizontal="left" vertical="center" wrapText="1"/>
    </xf>
    <xf numFmtId="0" fontId="21" fillId="0" borderId="1" xfId="0" applyNumberFormat="1" applyFont="1" applyFill="1" applyBorder="1" applyAlignment="1">
      <alignment horizontal="left" vertical="center" wrapText="1"/>
    </xf>
    <xf numFmtId="0" fontId="23" fillId="0" borderId="1" xfId="0" applyFont="1" applyFill="1" applyBorder="1" applyAlignment="1">
      <alignment horizontal="left" vertical="center"/>
    </xf>
    <xf numFmtId="0" fontId="21" fillId="0" borderId="1" xfId="0" applyFont="1" applyFill="1" applyBorder="1" applyAlignment="1">
      <alignment horizontal="left" vertical="center"/>
    </xf>
    <xf numFmtId="0" fontId="24" fillId="0" borderId="2" xfId="0" applyNumberFormat="1" applyFont="1" applyFill="1" applyBorder="1" applyAlignment="1">
      <alignment horizontal="left" vertical="center" wrapText="1"/>
    </xf>
    <xf numFmtId="0" fontId="24" fillId="0" borderId="4" xfId="0" applyNumberFormat="1" applyFont="1" applyFill="1" applyBorder="1" applyAlignment="1">
      <alignment horizontal="left" vertical="center" wrapText="1"/>
    </xf>
    <xf numFmtId="0" fontId="8" fillId="0" borderId="0" xfId="0" applyFont="1" applyAlignment="1">
      <alignment horizontal="left" vertical="center"/>
    </xf>
    <xf numFmtId="0" fontId="8" fillId="0" borderId="0" xfId="0" applyFont="1" applyAlignment="1">
      <alignment horizontal="center" vertical="center"/>
    </xf>
    <xf numFmtId="0" fontId="8" fillId="0" borderId="0" xfId="0" applyFont="1" applyAlignment="1">
      <alignment vertical="center" wrapText="1"/>
    </xf>
    <xf numFmtId="0" fontId="8" fillId="0" borderId="0" xfId="0" applyFont="1">
      <alignment vertical="center"/>
    </xf>
    <xf numFmtId="0" fontId="8" fillId="0" borderId="1" xfId="0" applyFont="1" applyBorder="1" applyAlignment="1">
      <alignment horizontal="left" vertical="center" wrapText="1"/>
    </xf>
    <xf numFmtId="0" fontId="8" fillId="0" borderId="0" xfId="0" applyFont="1" applyAlignment="1">
      <alignment horizontal="center" vertical="center" wrapText="1"/>
    </xf>
    <xf numFmtId="0" fontId="31" fillId="0" borderId="0" xfId="0" applyFont="1" applyAlignment="1">
      <alignment horizontal="left" vertical="center"/>
    </xf>
    <xf numFmtId="0" fontId="8" fillId="0" borderId="0" xfId="0" applyNumberFormat="1" applyFont="1">
      <alignment vertical="center"/>
    </xf>
    <xf numFmtId="0" fontId="32" fillId="0" borderId="2" xfId="0" applyFont="1" applyBorder="1" applyAlignment="1">
      <alignment horizontal="left" vertical="center"/>
    </xf>
    <xf numFmtId="0" fontId="33" fillId="0" borderId="1" xfId="0" applyFont="1" applyBorder="1" applyAlignment="1">
      <alignment horizontal="left" vertical="center"/>
    </xf>
    <xf numFmtId="0" fontId="33" fillId="0" borderId="1" xfId="0" applyNumberFormat="1" applyFont="1" applyBorder="1" applyAlignment="1">
      <alignment horizontal="center" vertical="center"/>
    </xf>
    <xf numFmtId="0" fontId="33" fillId="0" borderId="1" xfId="0" applyFont="1" applyBorder="1" applyAlignment="1">
      <alignment horizontal="left" vertical="center" wrapText="1"/>
    </xf>
    <xf numFmtId="0" fontId="32" fillId="0" borderId="1" xfId="0" applyNumberFormat="1" applyFont="1" applyBorder="1" applyAlignment="1">
      <alignment horizontal="left" vertical="center"/>
    </xf>
    <xf numFmtId="0" fontId="33" fillId="0" borderId="1" xfId="0" applyNumberFormat="1" applyFont="1" applyBorder="1" applyAlignment="1">
      <alignment horizontal="left" vertical="center" wrapText="1"/>
    </xf>
    <xf numFmtId="0" fontId="33" fillId="12" borderId="1" xfId="0" applyNumberFormat="1" applyFont="1" applyFill="1" applyBorder="1" applyAlignment="1">
      <alignment horizontal="left" vertical="center" wrapText="1"/>
    </xf>
    <xf numFmtId="0" fontId="33" fillId="0" borderId="1" xfId="0" applyFont="1" applyFill="1" applyBorder="1" applyAlignment="1">
      <alignment horizontal="left" vertical="center" wrapText="1"/>
    </xf>
    <xf numFmtId="0" fontId="32" fillId="0" borderId="3" xfId="0" applyFont="1" applyBorder="1" applyAlignment="1">
      <alignment horizontal="left" vertical="center"/>
    </xf>
    <xf numFmtId="0" fontId="33" fillId="0" borderId="1" xfId="0" applyNumberFormat="1" applyFont="1" applyBorder="1" applyAlignment="1">
      <alignment horizontal="left" vertical="center"/>
    </xf>
    <xf numFmtId="0" fontId="33" fillId="0" borderId="3" xfId="0" applyFont="1" applyBorder="1" applyAlignment="1">
      <alignment horizontal="left" vertical="center"/>
    </xf>
    <xf numFmtId="0" fontId="32" fillId="0" borderId="1" xfId="0" applyFont="1" applyBorder="1" applyAlignment="1">
      <alignment horizontal="left" vertical="center" wrapText="1"/>
    </xf>
    <xf numFmtId="0" fontId="33" fillId="13" borderId="1" xfId="0" applyFont="1" applyFill="1" applyBorder="1" applyAlignment="1">
      <alignment horizontal="left" vertical="center" wrapText="1"/>
    </xf>
    <xf numFmtId="0" fontId="33" fillId="12" borderId="1" xfId="0" applyNumberFormat="1" applyFont="1" applyFill="1" applyBorder="1" applyAlignment="1">
      <alignment horizontal="left" vertical="center"/>
    </xf>
    <xf numFmtId="0" fontId="33" fillId="12" borderId="1" xfId="0" applyFont="1" applyFill="1" applyBorder="1" applyAlignment="1">
      <alignment horizontal="left" vertical="center" wrapText="1"/>
    </xf>
    <xf numFmtId="0" fontId="32" fillId="0" borderId="4" xfId="0" applyFont="1" applyBorder="1" applyAlignment="1">
      <alignment horizontal="left" vertical="center"/>
    </xf>
    <xf numFmtId="0" fontId="32" fillId="0" borderId="1" xfId="0" applyFont="1" applyBorder="1" applyAlignment="1">
      <alignment horizontal="left" vertical="center"/>
    </xf>
    <xf numFmtId="0" fontId="32" fillId="0" borderId="1" xfId="0" applyNumberFormat="1" applyFont="1" applyBorder="1" applyAlignment="1">
      <alignment horizontal="center" vertical="center"/>
    </xf>
    <xf numFmtId="0" fontId="32" fillId="0" borderId="2" xfId="0" applyNumberFormat="1" applyFont="1" applyBorder="1" applyAlignment="1">
      <alignment horizontal="left" vertical="center"/>
    </xf>
    <xf numFmtId="0" fontId="34" fillId="0" borderId="1" xfId="0" applyNumberFormat="1" applyFont="1" applyBorder="1" applyAlignment="1">
      <alignment horizontal="left" vertical="center" wrapText="1"/>
    </xf>
    <xf numFmtId="0" fontId="32" fillId="0" borderId="4" xfId="0" applyNumberFormat="1" applyFont="1" applyBorder="1" applyAlignment="1">
      <alignment horizontal="left" vertical="center"/>
    </xf>
    <xf numFmtId="0" fontId="32" fillId="0" borderId="3" xfId="0" applyNumberFormat="1" applyFont="1" applyBorder="1" applyAlignment="1">
      <alignment horizontal="left" vertical="center"/>
    </xf>
    <xf numFmtId="0" fontId="33" fillId="0" borderId="1" xfId="0" applyNumberFormat="1" applyFont="1" applyFill="1" applyBorder="1" applyAlignment="1">
      <alignment horizontal="left" vertical="center"/>
    </xf>
    <xf numFmtId="0" fontId="34" fillId="2" borderId="1" xfId="0" applyNumberFormat="1" applyFont="1" applyFill="1" applyBorder="1" applyAlignment="1">
      <alignment horizontal="left" vertical="center" wrapText="1"/>
    </xf>
    <xf numFmtId="0" fontId="32" fillId="0" borderId="1" xfId="0" applyNumberFormat="1" applyFont="1" applyFill="1" applyBorder="1" applyAlignment="1">
      <alignment horizontal="left" vertical="center"/>
    </xf>
    <xf numFmtId="0" fontId="32" fillId="0" borderId="1" xfId="0" applyFont="1" applyFill="1" applyBorder="1" applyAlignment="1">
      <alignment horizontal="left" vertical="center" wrapText="1"/>
    </xf>
    <xf numFmtId="0" fontId="21" fillId="0" borderId="1" xfId="0" applyFont="1" applyBorder="1" applyAlignment="1">
      <alignment horizontal="left" vertical="center" wrapText="1"/>
    </xf>
    <xf numFmtId="0" fontId="33" fillId="0" borderId="1" xfId="0" applyNumberFormat="1" applyFont="1" applyFill="1" applyBorder="1" applyAlignment="1">
      <alignment horizontal="left" vertical="center" wrapText="1"/>
    </xf>
    <xf numFmtId="0" fontId="21" fillId="0" borderId="4" xfId="0" applyFont="1" applyBorder="1" applyAlignment="1">
      <alignment horizontal="left" vertical="center" wrapText="1"/>
    </xf>
    <xf numFmtId="0" fontId="32" fillId="0" borderId="2" xfId="0" applyNumberFormat="1" applyFont="1" applyBorder="1" applyAlignment="1">
      <alignment horizontal="center" vertical="center"/>
    </xf>
    <xf numFmtId="0" fontId="32" fillId="0" borderId="2" xfId="0" applyFont="1" applyBorder="1" applyAlignment="1">
      <alignment horizontal="left" vertical="center" wrapText="1"/>
    </xf>
    <xf numFmtId="0" fontId="32" fillId="0" borderId="1" xfId="0" applyNumberFormat="1" applyFont="1" applyBorder="1" applyAlignment="1">
      <alignment horizontal="left" vertical="center" wrapText="1"/>
    </xf>
    <xf numFmtId="0" fontId="32" fillId="0" borderId="3" xfId="0" applyNumberFormat="1" applyFont="1" applyBorder="1" applyAlignment="1">
      <alignment horizontal="center" vertical="center"/>
    </xf>
    <xf numFmtId="0" fontId="32" fillId="0" borderId="3" xfId="0" applyFont="1" applyBorder="1" applyAlignment="1">
      <alignment horizontal="left" vertical="center" wrapText="1"/>
    </xf>
    <xf numFmtId="0" fontId="34" fillId="0" borderId="5" xfId="0" applyFont="1" applyBorder="1" applyAlignment="1">
      <alignment horizontal="left" vertical="center" wrapText="1"/>
    </xf>
    <xf numFmtId="0" fontId="35" fillId="0" borderId="5" xfId="0" applyFont="1" applyBorder="1" applyAlignment="1">
      <alignment horizontal="left" vertical="center"/>
    </xf>
    <xf numFmtId="0" fontId="34" fillId="0" borderId="2" xfId="0" applyFont="1" applyBorder="1" applyAlignment="1">
      <alignment horizontal="left" vertical="center" wrapText="1"/>
    </xf>
    <xf numFmtId="0" fontId="34" fillId="0" borderId="6" xfId="0" applyFont="1" applyBorder="1" applyAlignment="1">
      <alignment horizontal="left" vertical="center" wrapText="1"/>
    </xf>
    <xf numFmtId="0" fontId="35" fillId="0" borderId="6" xfId="0" applyFont="1" applyBorder="1" applyAlignment="1">
      <alignment horizontal="left" vertical="center"/>
    </xf>
    <xf numFmtId="0" fontId="34" fillId="0" borderId="3" xfId="0" applyFont="1" applyBorder="1" applyAlignment="1">
      <alignment horizontal="left" vertical="center" wrapText="1"/>
    </xf>
    <xf numFmtId="0" fontId="33" fillId="0" borderId="6" xfId="0" applyFont="1" applyBorder="1" applyAlignment="1">
      <alignment horizontal="left" vertical="center"/>
    </xf>
    <xf numFmtId="0" fontId="34" fillId="0" borderId="4" xfId="0" applyFont="1" applyBorder="1" applyAlignment="1">
      <alignment horizontal="left" vertical="center" wrapText="1"/>
    </xf>
    <xf numFmtId="0" fontId="32" fillId="0" borderId="2" xfId="0" applyFont="1" applyFill="1" applyBorder="1" applyAlignment="1">
      <alignment horizontal="left" vertical="center"/>
    </xf>
    <xf numFmtId="0" fontId="32" fillId="0" borderId="1" xfId="0" applyFont="1" applyFill="1" applyBorder="1" applyAlignment="1">
      <alignment horizontal="left" vertical="center"/>
    </xf>
    <xf numFmtId="0" fontId="32" fillId="0" borderId="1" xfId="0" applyNumberFormat="1" applyFont="1" applyFill="1" applyBorder="1" applyAlignment="1">
      <alignment horizontal="center" vertical="center"/>
    </xf>
    <xf numFmtId="0" fontId="6" fillId="0" borderId="5" xfId="0" applyFont="1" applyBorder="1" applyAlignment="1">
      <alignment horizontal="left" vertical="center" wrapText="1"/>
    </xf>
    <xf numFmtId="0" fontId="21" fillId="0" borderId="5" xfId="0" applyFont="1" applyBorder="1" applyAlignment="1">
      <alignment horizontal="left" vertical="center" wrapText="1"/>
    </xf>
    <xf numFmtId="0" fontId="16" fillId="0" borderId="1" xfId="0" applyFont="1" applyBorder="1" applyAlignment="1">
      <alignment horizontal="left" vertical="center"/>
    </xf>
    <xf numFmtId="0" fontId="21" fillId="0" borderId="7" xfId="0" applyFont="1" applyBorder="1" applyAlignment="1">
      <alignment horizontal="left" vertical="center" wrapText="1"/>
    </xf>
    <xf numFmtId="0" fontId="32" fillId="0" borderId="3" xfId="0" applyFont="1" applyFill="1" applyBorder="1" applyAlignment="1">
      <alignment horizontal="left" vertical="center"/>
    </xf>
    <xf numFmtId="0" fontId="8" fillId="0" borderId="5" xfId="0" applyFont="1" applyBorder="1" applyAlignment="1">
      <alignment horizontal="left" vertical="center"/>
    </xf>
    <xf numFmtId="0" fontId="8" fillId="0" borderId="6" xfId="0" applyFont="1" applyBorder="1" applyAlignment="1">
      <alignment horizontal="left" vertical="center"/>
    </xf>
    <xf numFmtId="0" fontId="6" fillId="0" borderId="1" xfId="0" applyNumberFormat="1" applyFont="1" applyBorder="1" applyAlignment="1">
      <alignment horizontal="left" vertical="center" wrapText="1"/>
    </xf>
    <xf numFmtId="0" fontId="32" fillId="0" borderId="4" xfId="0" applyNumberFormat="1" applyFont="1" applyBorder="1" applyAlignment="1">
      <alignment horizontal="center" vertical="center"/>
    </xf>
    <xf numFmtId="0" fontId="32" fillId="0" borderId="4" xfId="0" applyFont="1" applyBorder="1" applyAlignment="1">
      <alignment horizontal="left" vertical="center" wrapText="1"/>
    </xf>
    <xf numFmtId="0" fontId="33" fillId="0" borderId="0" xfId="0" applyFont="1" applyAlignment="1">
      <alignment horizontal="left" vertical="center"/>
    </xf>
    <xf numFmtId="0" fontId="8" fillId="13" borderId="4" xfId="0" applyFont="1" applyFill="1" applyBorder="1" applyAlignment="1">
      <alignment horizontal="left" vertical="center" wrapText="1"/>
    </xf>
    <xf numFmtId="0" fontId="8" fillId="13" borderId="6" xfId="0" applyFont="1" applyFill="1" applyBorder="1" applyAlignment="1">
      <alignment horizontal="left" vertical="center"/>
    </xf>
    <xf numFmtId="0" fontId="6" fillId="0" borderId="6" xfId="0" applyFont="1" applyBorder="1" applyAlignment="1">
      <alignment horizontal="left" vertical="center" wrapText="1"/>
    </xf>
    <xf numFmtId="0" fontId="32" fillId="12" borderId="1" xfId="0" applyNumberFormat="1" applyFont="1" applyFill="1" applyBorder="1" applyAlignment="1">
      <alignment horizontal="left" vertical="center" wrapText="1"/>
    </xf>
    <xf numFmtId="0" fontId="21" fillId="0" borderId="4" xfId="0" applyFont="1" applyBorder="1" applyAlignment="1">
      <alignment horizontal="left" vertical="center"/>
    </xf>
    <xf numFmtId="0" fontId="21" fillId="0" borderId="5" xfId="0" applyFont="1" applyBorder="1" applyAlignment="1">
      <alignment horizontal="left" vertical="center"/>
    </xf>
    <xf numFmtId="0" fontId="21" fillId="0" borderId="1" xfId="0" applyFont="1" applyBorder="1" applyAlignment="1">
      <alignment horizontal="left" vertical="center"/>
    </xf>
    <xf numFmtId="0" fontId="33" fillId="0" borderId="2" xfId="0" applyNumberFormat="1" applyFont="1" applyFill="1" applyBorder="1" applyAlignment="1">
      <alignment horizontal="left" vertical="center" wrapText="1"/>
    </xf>
    <xf numFmtId="0" fontId="33" fillId="0" borderId="4" xfId="0" applyNumberFormat="1" applyFont="1" applyFill="1" applyBorder="1" applyAlignment="1">
      <alignment horizontal="left" vertical="center" wrapText="1"/>
    </xf>
    <xf numFmtId="0" fontId="7" fillId="0" borderId="1" xfId="0" applyFont="1" applyBorder="1" applyAlignment="1">
      <alignment horizontal="left" vertical="center"/>
    </xf>
    <xf numFmtId="0" fontId="33" fillId="0" borderId="3" xfId="0" applyNumberFormat="1" applyFont="1" applyFill="1" applyBorder="1" applyAlignment="1">
      <alignment horizontal="left" vertical="center" wrapText="1"/>
    </xf>
    <xf numFmtId="0" fontId="7" fillId="0" borderId="1" xfId="0" applyFont="1" applyFill="1" applyBorder="1" applyAlignment="1">
      <alignment horizontal="left" vertical="center"/>
    </xf>
    <xf numFmtId="0" fontId="32" fillId="0" borderId="1" xfId="0" applyNumberFormat="1" applyFont="1" applyFill="1" applyBorder="1" applyAlignment="1">
      <alignment horizontal="left" vertical="center" wrapText="1"/>
    </xf>
    <xf numFmtId="0" fontId="32" fillId="0" borderId="2" xfId="0" applyFont="1" applyBorder="1" applyAlignment="1">
      <alignment horizontal="center" vertical="center"/>
    </xf>
    <xf numFmtId="0" fontId="32" fillId="0" borderId="2" xfId="0" applyNumberFormat="1" applyFont="1" applyBorder="1" applyAlignment="1">
      <alignment horizontal="left" vertical="center" wrapText="1"/>
    </xf>
    <xf numFmtId="0" fontId="32" fillId="0" borderId="3" xfId="0" applyNumberFormat="1" applyFont="1" applyBorder="1" applyAlignment="1">
      <alignment horizontal="left" vertical="center" wrapText="1"/>
    </xf>
    <xf numFmtId="0" fontId="33" fillId="12" borderId="2" xfId="0" applyNumberFormat="1" applyFont="1" applyFill="1" applyBorder="1" applyAlignment="1">
      <alignment horizontal="left" vertical="center"/>
    </xf>
    <xf numFmtId="0" fontId="8" fillId="0" borderId="1" xfId="0" applyNumberFormat="1" applyFont="1" applyBorder="1" applyAlignment="1">
      <alignment horizontal="left" vertical="center"/>
    </xf>
    <xf numFmtId="0" fontId="32" fillId="0" borderId="4" xfId="0" applyNumberFormat="1" applyFont="1" applyBorder="1" applyAlignment="1">
      <alignment horizontal="left" vertical="center" wrapText="1"/>
    </xf>
    <xf numFmtId="0" fontId="8" fillId="0" borderId="1" xfId="0" applyNumberFormat="1" applyFont="1" applyFill="1" applyBorder="1" applyAlignment="1">
      <alignment horizontal="left" vertical="center"/>
    </xf>
    <xf numFmtId="0" fontId="32" fillId="12" borderId="1" xfId="0" applyFont="1" applyFill="1" applyBorder="1" applyAlignment="1">
      <alignment horizontal="left" vertical="center" wrapText="1"/>
    </xf>
    <xf numFmtId="0" fontId="34" fillId="0" borderId="1" xfId="0" applyFont="1" applyBorder="1" applyAlignment="1">
      <alignment horizontal="left" vertical="center" wrapText="1"/>
    </xf>
    <xf numFmtId="0" fontId="32" fillId="0" borderId="4" xfId="0" applyNumberFormat="1" applyFont="1" applyFill="1" applyBorder="1" applyAlignment="1">
      <alignment horizontal="left" vertical="center" wrapText="1"/>
    </xf>
    <xf numFmtId="0" fontId="8" fillId="0" borderId="1" xfId="0" applyFont="1" applyFill="1" applyBorder="1" applyAlignment="1">
      <alignment horizontal="left" vertical="center"/>
    </xf>
    <xf numFmtId="0" fontId="32" fillId="0" borderId="3" xfId="0" applyFont="1" applyBorder="1" applyAlignment="1">
      <alignment horizontal="center" vertical="center"/>
    </xf>
    <xf numFmtId="0" fontId="32" fillId="0" borderId="8" xfId="0" applyFont="1" applyBorder="1" applyAlignment="1">
      <alignment horizontal="left" vertical="center" wrapText="1"/>
    </xf>
    <xf numFmtId="0" fontId="34" fillId="12" borderId="5" xfId="0" applyNumberFormat="1" applyFont="1" applyFill="1" applyBorder="1" applyAlignment="1">
      <alignment horizontal="left" vertical="center" wrapText="1"/>
    </xf>
    <xf numFmtId="0" fontId="33" fillId="12" borderId="5" xfId="0" applyNumberFormat="1" applyFont="1" applyFill="1" applyBorder="1" applyAlignment="1">
      <alignment horizontal="left" vertical="center"/>
    </xf>
    <xf numFmtId="0" fontId="34" fillId="12" borderId="1" xfId="0" applyNumberFormat="1" applyFont="1" applyFill="1" applyBorder="1" applyAlignment="1">
      <alignment horizontal="left" vertical="center" wrapText="1"/>
    </xf>
    <xf numFmtId="0" fontId="33" fillId="0" borderId="2" xfId="0" applyNumberFormat="1" applyFont="1" applyBorder="1" applyAlignment="1">
      <alignment horizontal="center" vertical="center"/>
    </xf>
    <xf numFmtId="0" fontId="32" fillId="0" borderId="1" xfId="0" applyFont="1" applyFill="1" applyBorder="1" applyAlignment="1">
      <alignment horizontal="center" vertical="center"/>
    </xf>
    <xf numFmtId="0" fontId="32" fillId="0" borderId="2" xfId="0" applyNumberFormat="1" applyFont="1" applyFill="1" applyBorder="1" applyAlignment="1">
      <alignment horizontal="center" vertical="center"/>
    </xf>
    <xf numFmtId="0" fontId="32" fillId="0" borderId="2" xfId="0" applyFont="1" applyFill="1" applyBorder="1" applyAlignment="1">
      <alignment horizontal="left" vertical="center" wrapText="1"/>
    </xf>
    <xf numFmtId="0" fontId="34" fillId="0" borderId="2" xfId="0" applyNumberFormat="1" applyFont="1" applyBorder="1" applyAlignment="1">
      <alignment horizontal="left" vertical="center" wrapText="1"/>
    </xf>
    <xf numFmtId="0" fontId="33" fillId="0" borderId="2" xfId="0" applyNumberFormat="1" applyFont="1" applyBorder="1" applyAlignment="1">
      <alignment horizontal="left" vertical="center"/>
    </xf>
    <xf numFmtId="0" fontId="32" fillId="0" borderId="2" xfId="0" applyNumberFormat="1" applyFont="1" applyFill="1" applyBorder="1" applyAlignment="1">
      <alignment horizontal="left" vertical="center" wrapText="1"/>
    </xf>
    <xf numFmtId="0" fontId="21" fillId="0" borderId="1" xfId="0" applyNumberFormat="1" applyFont="1" applyBorder="1" applyAlignment="1">
      <alignment horizontal="left" vertical="center"/>
    </xf>
    <xf numFmtId="0" fontId="33" fillId="0" borderId="1" xfId="0" applyFont="1" applyBorder="1" applyAlignment="1">
      <alignment horizontal="center" vertical="center"/>
    </xf>
    <xf numFmtId="0" fontId="33" fillId="0" borderId="2" xfId="0" applyFont="1" applyBorder="1" applyAlignment="1">
      <alignment horizontal="left" vertical="center"/>
    </xf>
    <xf numFmtId="0" fontId="6" fillId="0" borderId="9" xfId="0" applyFont="1" applyBorder="1" applyAlignment="1">
      <alignment horizontal="left" vertical="center" wrapText="1"/>
    </xf>
    <xf numFmtId="0" fontId="33" fillId="12" borderId="2" xfId="0" applyFont="1" applyFill="1" applyBorder="1" applyAlignment="1">
      <alignment horizontal="left" vertical="center" wrapText="1"/>
    </xf>
    <xf numFmtId="0" fontId="33" fillId="0" borderId="2" xfId="0" applyFont="1" applyBorder="1" applyAlignment="1">
      <alignment horizontal="left" vertical="center" wrapText="1"/>
    </xf>
    <xf numFmtId="0" fontId="33" fillId="0" borderId="3" xfId="0" applyNumberFormat="1" applyFont="1" applyBorder="1" applyAlignment="1">
      <alignment horizontal="center" vertical="center"/>
    </xf>
    <xf numFmtId="0" fontId="33" fillId="0" borderId="3" xfId="0" applyFont="1" applyBorder="1" applyAlignment="1">
      <alignment horizontal="left" vertical="center" wrapText="1"/>
    </xf>
    <xf numFmtId="0" fontId="33" fillId="0" borderId="3" xfId="0" applyNumberFormat="1" applyFont="1" applyBorder="1" applyAlignment="1">
      <alignment horizontal="left" vertical="center"/>
    </xf>
    <xf numFmtId="0" fontId="33" fillId="0" borderId="4" xfId="0" applyNumberFormat="1" applyFont="1" applyBorder="1" applyAlignment="1">
      <alignment horizontal="left" vertical="center"/>
    </xf>
    <xf numFmtId="0" fontId="33" fillId="0" borderId="4" xfId="0" applyFont="1" applyBorder="1" applyAlignment="1">
      <alignment horizontal="left" vertical="center"/>
    </xf>
    <xf numFmtId="0" fontId="33" fillId="0" borderId="4" xfId="0" applyNumberFormat="1" applyFont="1" applyBorder="1" applyAlignment="1">
      <alignment horizontal="center" vertical="center"/>
    </xf>
    <xf numFmtId="0" fontId="33" fillId="0" borderId="4" xfId="0" applyFont="1" applyBorder="1" applyAlignment="1">
      <alignment horizontal="left" vertical="center" wrapText="1"/>
    </xf>
    <xf numFmtId="0" fontId="36" fillId="0" borderId="0" xfId="0" applyFont="1">
      <alignment vertical="center"/>
    </xf>
    <xf numFmtId="0" fontId="20" fillId="14" borderId="1" xfId="0" applyFont="1" applyFill="1" applyBorder="1" applyAlignment="1">
      <alignment horizontal="center" vertical="center"/>
    </xf>
    <xf numFmtId="0" fontId="20" fillId="15" borderId="1" xfId="0" applyFont="1" applyFill="1" applyBorder="1" applyAlignment="1">
      <alignment horizontal="center" vertical="center"/>
    </xf>
    <xf numFmtId="0" fontId="20" fillId="15" borderId="1" xfId="0" applyFont="1" applyFill="1" applyBorder="1" applyAlignment="1">
      <alignment horizontal="center" vertical="center" wrapText="1"/>
    </xf>
    <xf numFmtId="0" fontId="20" fillId="16" borderId="1" xfId="0" applyFont="1" applyFill="1" applyBorder="1" applyAlignment="1">
      <alignment horizontal="center" vertical="center"/>
    </xf>
    <xf numFmtId="0" fontId="20" fillId="17" borderId="1" xfId="0" applyFont="1" applyFill="1" applyBorder="1" applyAlignment="1">
      <alignment horizontal="center" vertical="center"/>
    </xf>
    <xf numFmtId="0" fontId="1" fillId="0" borderId="1" xfId="0" applyFont="1" applyBorder="1" applyAlignment="1">
      <alignment horizontal="center" vertical="center" wrapText="1"/>
    </xf>
    <xf numFmtId="0" fontId="8" fillId="0" borderId="2" xfId="0" applyFont="1" applyBorder="1" applyAlignment="1">
      <alignment horizontal="center" vertical="center"/>
    </xf>
    <xf numFmtId="0" fontId="8" fillId="0" borderId="1" xfId="0" applyFont="1" applyBorder="1">
      <alignment vertical="center"/>
    </xf>
    <xf numFmtId="0" fontId="8" fillId="0" borderId="1" xfId="0" applyFont="1" applyBorder="1" applyAlignment="1">
      <alignment horizontal="center" vertical="center" wrapText="1"/>
    </xf>
    <xf numFmtId="0" fontId="8" fillId="0" borderId="3" xfId="0" applyFont="1" applyBorder="1" applyAlignment="1">
      <alignment horizontal="center" vertical="center"/>
    </xf>
    <xf numFmtId="0" fontId="1" fillId="0" borderId="1" xfId="0" applyFont="1" applyBorder="1">
      <alignment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left" vertical="center" wrapText="1"/>
    </xf>
    <xf numFmtId="0" fontId="1" fillId="0" borderId="4"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customXml/item3.xml" Type="http://schemas.openxmlformats.org/officeDocument/2006/relationships/customXml"/><Relationship Id="rId11" Target="../customXml/item4.xml" Type="http://schemas.openxmlformats.org/officeDocument/2006/relationships/customXml"/><Relationship Id="rId12" Target="../customXml/item5.xml" Type="http://schemas.openxmlformats.org/officeDocument/2006/relationships/customXml"/><Relationship Id="rId13" Target="../customXml/item6.xml" Type="http://schemas.openxmlformats.org/officeDocument/2006/relationships/customXml"/><Relationship Id="rId14"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customXml/item1.xml" Type="http://schemas.openxmlformats.org/officeDocument/2006/relationships/customXml"/><Relationship Id="rId7" Target="../customXml/item2.xml" Type="http://schemas.openxmlformats.org/officeDocument/2006/relationships/customXml"/><Relationship Id="rId8" Target="theme/theme1.xml" Type="http://schemas.openxmlformats.org/officeDocument/2006/relationships/theme"/><Relationship Id="rId9" Target="sharedStrings.xml" Type="http://schemas.openxmlformats.org/officeDocument/2006/relationships/sharedStrings"/></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241300</xdr:colOff>
      <xdr:row>406</xdr:row>
      <xdr:rowOff>0</xdr:rowOff>
    </xdr:from>
    <xdr:to>
      <xdr:col>22</xdr:col>
      <xdr:colOff>241300</xdr:colOff>
      <xdr:row>406</xdr:row>
      <xdr:rowOff>0</xdr:rowOff>
    </xdr:to>
    <xdr:pic>
      <xdr:nvPicPr>
        <xdr:cNvPr id="7" name="E657119C-6982-421D-8BA7-E74DEB70A7DB-12"/>
        <xdr:cNvPicPr>
          <a:picLocks noChangeAspect="1"/>
        </xdr:cNvPicPr>
      </xdr:nvPicPr>
      <xdr:blipFill>
        <a:stretch>
          <a:fillRect/>
        </a:stretch>
      </xdr:blipFill>
      <xdr:spPr>
        <a:xfrm>
          <a:off x="31723965" y="105446830"/>
          <a:ext cx="0" cy="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0</xdr:colOff>
      <xdr:row>79</xdr:row>
      <xdr:rowOff>165100</xdr:rowOff>
    </xdr:from>
    <xdr:to>
      <xdr:col>13</xdr:col>
      <xdr:colOff>0</xdr:colOff>
      <xdr:row>79</xdr:row>
      <xdr:rowOff>165100</xdr:rowOff>
    </xdr:to>
    <xdr:pic>
      <xdr:nvPicPr>
        <xdr:cNvPr id="10244" name="E657119C-6982-421D-8BA7-E74DEB70A7DB-1"/>
        <xdr:cNvPicPr>
          <a:picLocks noChangeAspect="1"/>
        </xdr:cNvPicPr>
      </xdr:nvPicPr>
      <xdr:blipFill>
        <a:stretch>
          <a:fillRect/>
        </a:stretch>
      </xdr:blipFill>
      <xdr:spPr>
        <a:xfrm>
          <a:off x="13855065" y="15967075"/>
          <a:ext cx="0" cy="0"/>
        </a:xfrm>
        <a:prstGeom prst="rect">
          <a:avLst/>
        </a:prstGeom>
        <a:noFill/>
        <a:ln w="9525">
          <a:noFill/>
        </a:ln>
      </xdr:spPr>
    </xdr:pic>
    <xdr:clientData/>
  </xdr:twoCellAnchor>
  <xdr:twoCellAnchor editAs="oneCell">
    <xdr:from>
      <xdr:col>13</xdr:col>
      <xdr:colOff>0</xdr:colOff>
      <xdr:row>90</xdr:row>
      <xdr:rowOff>88900</xdr:rowOff>
    </xdr:from>
    <xdr:to>
      <xdr:col>13</xdr:col>
      <xdr:colOff>0</xdr:colOff>
      <xdr:row>90</xdr:row>
      <xdr:rowOff>88900</xdr:rowOff>
    </xdr:to>
    <xdr:pic>
      <xdr:nvPicPr>
        <xdr:cNvPr id="10242" name="E657119C-6982-421D-8BA7-E74DEB70A7DB-2"/>
        <xdr:cNvPicPr>
          <a:picLocks noChangeAspect="1"/>
        </xdr:cNvPicPr>
      </xdr:nvPicPr>
      <xdr:blipFill>
        <a:stretch>
          <a:fillRect/>
        </a:stretch>
      </xdr:blipFill>
      <xdr:spPr>
        <a:xfrm>
          <a:off x="13855065" y="18091150"/>
          <a:ext cx="0" cy="0"/>
        </a:xfrm>
        <a:prstGeom prst="rect">
          <a:avLst/>
        </a:prstGeom>
        <a:noFill/>
        <a:ln w="9525">
          <a:noFill/>
        </a:ln>
      </xdr:spPr>
    </xdr:pic>
    <xdr:clientData/>
  </xdr:twoCellAnchor>
  <xdr:twoCellAnchor editAs="oneCell">
    <xdr:from>
      <xdr:col>13</xdr:col>
      <xdr:colOff>0</xdr:colOff>
      <xdr:row>90</xdr:row>
      <xdr:rowOff>114300</xdr:rowOff>
    </xdr:from>
    <xdr:to>
      <xdr:col>13</xdr:col>
      <xdr:colOff>0</xdr:colOff>
      <xdr:row>90</xdr:row>
      <xdr:rowOff>114300</xdr:rowOff>
    </xdr:to>
    <xdr:pic>
      <xdr:nvPicPr>
        <xdr:cNvPr id="10246" name="E657119C-6982-421D-8BA7-E74DEB70A7DB-3"/>
        <xdr:cNvPicPr>
          <a:picLocks noChangeAspect="1"/>
        </xdr:cNvPicPr>
      </xdr:nvPicPr>
      <xdr:blipFill>
        <a:stretch>
          <a:fillRect/>
        </a:stretch>
      </xdr:blipFill>
      <xdr:spPr>
        <a:xfrm>
          <a:off x="13855065" y="18116550"/>
          <a:ext cx="0" cy="0"/>
        </a:xfrm>
        <a:prstGeom prst="rect">
          <a:avLst/>
        </a:prstGeom>
        <a:noFill/>
        <a:ln w="9525">
          <a:noFill/>
        </a:ln>
      </xdr:spPr>
    </xdr:pic>
    <xdr:clientData/>
  </xdr:twoCellAnchor>
  <xdr:twoCellAnchor editAs="oneCell">
    <xdr:from>
      <xdr:col>13</xdr:col>
      <xdr:colOff>0</xdr:colOff>
      <xdr:row>91</xdr:row>
      <xdr:rowOff>0</xdr:rowOff>
    </xdr:from>
    <xdr:to>
      <xdr:col>13</xdr:col>
      <xdr:colOff>0</xdr:colOff>
      <xdr:row>91</xdr:row>
      <xdr:rowOff>0</xdr:rowOff>
    </xdr:to>
    <xdr:pic>
      <xdr:nvPicPr>
        <xdr:cNvPr id="10245" name="E657119C-6982-421D-8BA7-E74DEB70A7DB-4"/>
        <xdr:cNvPicPr>
          <a:picLocks noChangeAspect="1"/>
        </xdr:cNvPicPr>
      </xdr:nvPicPr>
      <xdr:blipFill>
        <a:stretch>
          <a:fillRect/>
        </a:stretch>
      </xdr:blipFill>
      <xdr:spPr>
        <a:xfrm>
          <a:off x="13855065" y="18202275"/>
          <a:ext cx="0" cy="0"/>
        </a:xfrm>
        <a:prstGeom prst="rect">
          <a:avLst/>
        </a:prstGeom>
        <a:noFill/>
        <a:ln w="9525">
          <a:noFill/>
        </a:ln>
      </xdr:spPr>
    </xdr:pic>
    <xdr:clientData/>
  </xdr:twoCellAnchor>
  <xdr:twoCellAnchor editAs="oneCell">
    <xdr:from>
      <xdr:col>13</xdr:col>
      <xdr:colOff>0</xdr:colOff>
      <xdr:row>219</xdr:row>
      <xdr:rowOff>88900</xdr:rowOff>
    </xdr:from>
    <xdr:to>
      <xdr:col>13</xdr:col>
      <xdr:colOff>0</xdr:colOff>
      <xdr:row>219</xdr:row>
      <xdr:rowOff>88900</xdr:rowOff>
    </xdr:to>
    <xdr:pic>
      <xdr:nvPicPr>
        <xdr:cNvPr id="10243" name="E657119C-6982-421D-8BA7-E74DEB70A7DB-5"/>
        <xdr:cNvPicPr>
          <a:picLocks noChangeAspect="1"/>
        </xdr:cNvPicPr>
      </xdr:nvPicPr>
      <xdr:blipFill>
        <a:stretch>
          <a:fillRect/>
        </a:stretch>
      </xdr:blipFill>
      <xdr:spPr>
        <a:xfrm>
          <a:off x="13855065" y="43856275"/>
          <a:ext cx="0" cy="0"/>
        </a:xfrm>
        <a:prstGeom prst="rect">
          <a:avLst/>
        </a:prstGeom>
        <a:noFill/>
        <a:ln w="9525">
          <a:noFill/>
        </a:ln>
      </xdr:spPr>
    </xdr:pic>
    <xdr:clientData/>
  </xdr:twoCellAnchor>
  <xdr:twoCellAnchor editAs="oneCell">
    <xdr:from>
      <xdr:col>8</xdr:col>
      <xdr:colOff>241300</xdr:colOff>
      <xdr:row>224</xdr:row>
      <xdr:rowOff>127000</xdr:rowOff>
    </xdr:from>
    <xdr:to>
      <xdr:col>8</xdr:col>
      <xdr:colOff>241300</xdr:colOff>
      <xdr:row>224</xdr:row>
      <xdr:rowOff>127000</xdr:rowOff>
    </xdr:to>
    <xdr:pic>
      <xdr:nvPicPr>
        <xdr:cNvPr id="10241" name="E657119C-6982-421D-8BA7-E74DEB70A7DB-6"/>
        <xdr:cNvPicPr>
          <a:picLocks noChangeAspect="1"/>
        </xdr:cNvPicPr>
      </xdr:nvPicPr>
      <xdr:blipFill>
        <a:stretch>
          <a:fillRect/>
        </a:stretch>
      </xdr:blipFill>
      <xdr:spPr>
        <a:xfrm>
          <a:off x="6903720" y="44799250"/>
          <a:ext cx="0" cy="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cco-watermark" Target="../media/image1.png" Type="http://schemas.openxmlformats.org/officeDocument/2006/relationships/image"/></Relationships>
</file>

<file path=xl/worksheets/_rels/sheet2.xml.rels><?xml version="1.0" encoding="UTF-8" standalone="no"?><Relationships xmlns="http://schemas.openxmlformats.org/package/2006/relationships"><Relationship Id="cco-watermark" Target="../media/image1.png" Type="http://schemas.openxmlformats.org/officeDocument/2006/relationships/image"/><Relationship Id="rId1" Target="../drawings/drawing1.xml" Type="http://schemas.openxmlformats.org/officeDocument/2006/relationships/drawing"/><Relationship Id="rId2" Target="mailto:masongling.5@jd.com" TargetMode="External" Type="http://schemas.openxmlformats.org/officeDocument/2006/relationships/hyperlink"/><Relationship Id="rId3" Target="mailto:jinying31@jd.com" TargetMode="External" Type="http://schemas.openxmlformats.org/officeDocument/2006/relationships/hyperlink"/></Relationships>
</file>

<file path=xl/worksheets/_rels/sheet3.xml.rels><?xml version="1.0" encoding="UTF-8" standalone="no"?><Relationships xmlns="http://schemas.openxmlformats.org/package/2006/relationships"><Relationship Id="cco-watermark" Target="../media/image1.png" Type="http://schemas.openxmlformats.org/officeDocument/2006/relationships/image"/><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cco-watermark" Target="../media/image1.png" Type="http://schemas.openxmlformats.org/officeDocument/2006/relationships/image"/></Relationships>
</file>

<file path=xl/worksheets/_rels/sheet5.xml.rels><?xml version="1.0" encoding="UTF-8" standalone="no"?><Relationships xmlns="http://schemas.openxmlformats.org/package/2006/relationships"><Relationship Id="cco-watermark"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workbookViewId="0">
      <selection activeCell="A1" sqref="A1"/>
    </sheetView>
  </sheetViews>
  <sheetFormatPr defaultColWidth="9" defaultRowHeight="13.5"/>
  <cols>
    <col min="3" max="3" customWidth="true" width="11.0" collapsed="false"/>
    <col min="4" max="4" customWidth="true" width="10.375" collapsed="false"/>
    <col min="5" max="5" customWidth="true" width="15.625" collapsed="false"/>
    <col min="6" max="6" customWidth="true" width="12.3166666666667" collapsed="false"/>
    <col min="7" max="7" customWidth="true" width="17.4666666666667" collapsed="false"/>
    <col min="8" max="8" customWidth="true" width="59.625" collapsed="false"/>
  </cols>
  <sheetData>
    <row r="1" s="274" customFormat="1" ht="23.55" customHeight="1" spans="1:9">
      <c r="A1" s="275" t="s">
        <v>0</v>
      </c>
      <c r="B1" s="275" t="s">
        <v>1</v>
      </c>
      <c r="C1" s="276" t="s">
        <v>2</v>
      </c>
      <c r="D1" s="276" t="s">
        <v>3</v>
      </c>
      <c r="E1" s="277" t="s">
        <v>4</v>
      </c>
      <c r="F1" s="278" t="s">
        <v>5</v>
      </c>
      <c r="G1" s="278" t="s">
        <v>6</v>
      </c>
      <c r="H1" s="278" t="s">
        <v>7</v>
      </c>
      <c r="I1" s="279" t="s">
        <v>8</v>
      </c>
    </row>
    <row r="2" ht="14.25" spans="1:9">
      <c r="A2" s="280" t="s">
        <v>9</v>
      </c>
      <c r="B2" s="13" t="s">
        <v>10</v>
      </c>
      <c r="C2" s="13" t="s">
        <v>11</v>
      </c>
      <c r="D2" s="281" t="s">
        <v>12</v>
      </c>
      <c r="E2" s="165" t="s">
        <v>13</v>
      </c>
      <c r="F2" s="13" t="s">
        <v>14</v>
      </c>
      <c r="G2" s="282" t="s">
        <v>15</v>
      </c>
      <c r="H2" s="282" t="s">
        <v>16</v>
      </c>
      <c r="I2" s="283" t="s">
        <v>17</v>
      </c>
    </row>
    <row r="3" ht="14.25" spans="1:9">
      <c r="A3" s="280"/>
      <c r="B3" s="13"/>
      <c r="C3" s="13"/>
      <c r="D3" s="284"/>
      <c r="E3" s="165"/>
      <c r="F3" s="13" t="s">
        <v>18</v>
      </c>
      <c r="G3" s="282" t="s">
        <v>19</v>
      </c>
      <c r="H3" s="282" t="s">
        <v>20</v>
      </c>
      <c r="I3" s="283"/>
    </row>
    <row r="4" ht="14.25" spans="1:9">
      <c r="A4" s="280"/>
      <c r="B4" s="13"/>
      <c r="C4" s="13"/>
      <c r="D4" s="284"/>
      <c r="E4" s="165"/>
      <c r="F4" s="13" t="s">
        <v>21</v>
      </c>
      <c r="G4" s="285" t="s">
        <v>22</v>
      </c>
      <c r="H4" s="282" t="s">
        <v>23</v>
      </c>
      <c r="I4" s="283"/>
    </row>
    <row r="5" ht="14.25" spans="1:9">
      <c r="A5" s="280"/>
      <c r="B5" s="13"/>
      <c r="C5" s="13"/>
      <c r="D5" s="284"/>
      <c r="E5" s="165"/>
      <c r="F5" s="13" t="s">
        <v>24</v>
      </c>
      <c r="G5" s="282" t="s">
        <v>25</v>
      </c>
      <c r="H5" s="282" t="s">
        <v>26</v>
      </c>
      <c r="I5" s="283"/>
    </row>
    <row r="6" ht="14.25" spans="1:9">
      <c r="A6" s="280"/>
      <c r="B6" s="13"/>
      <c r="C6" s="13"/>
      <c r="D6" s="284"/>
      <c r="E6" s="165"/>
      <c r="F6" s="13" t="s">
        <v>27</v>
      </c>
      <c r="G6" s="282" t="s">
        <v>28</v>
      </c>
      <c r="H6" s="282" t="s">
        <v>29</v>
      </c>
      <c r="I6" s="283"/>
    </row>
    <row r="7" ht="14.25" spans="1:9">
      <c r="A7" s="280"/>
      <c r="B7" s="13"/>
      <c r="C7" s="13"/>
      <c r="D7" s="284"/>
      <c r="E7" s="165"/>
      <c r="F7" s="13" t="s">
        <v>30</v>
      </c>
      <c r="G7" s="282" t="s">
        <v>31</v>
      </c>
      <c r="H7" s="282" t="s">
        <v>32</v>
      </c>
      <c r="I7" s="283"/>
    </row>
    <row r="8" ht="14.25" spans="1:9">
      <c r="A8" s="280"/>
      <c r="B8" s="13"/>
      <c r="C8" s="286"/>
      <c r="D8" s="287"/>
      <c r="E8" s="288"/>
      <c r="F8" s="13" t="s">
        <v>33</v>
      </c>
      <c r="G8" s="282" t="s">
        <v>34</v>
      </c>
      <c r="H8" s="282" t="s">
        <v>35</v>
      </c>
      <c r="I8" s="283"/>
    </row>
    <row r="9" ht="14.25" spans="1:9">
      <c r="A9" s="280"/>
      <c r="B9" s="13"/>
      <c r="C9" s="286"/>
      <c r="D9" s="287"/>
      <c r="E9" s="288"/>
      <c r="F9" s="286" t="s">
        <v>36</v>
      </c>
      <c r="G9" s="282" t="s">
        <v>37</v>
      </c>
      <c r="H9" s="282" t="s">
        <v>38</v>
      </c>
      <c r="I9" s="283"/>
    </row>
    <row r="10" ht="14.25" spans="1:9">
      <c r="A10" s="280"/>
      <c r="B10" s="13"/>
      <c r="C10" s="286"/>
      <c r="D10" s="287"/>
      <c r="E10" s="288"/>
      <c r="F10" s="13" t="s">
        <v>39</v>
      </c>
      <c r="G10" s="282" t="s">
        <v>40</v>
      </c>
      <c r="H10" s="282" t="s">
        <v>41</v>
      </c>
      <c r="I10" s="283"/>
    </row>
    <row r="11" ht="14.25" spans="1:9">
      <c r="A11" s="280"/>
      <c r="B11" s="13"/>
      <c r="C11" s="286"/>
      <c r="D11" s="287"/>
      <c r="E11" s="288"/>
      <c r="F11" s="13" t="s">
        <v>42</v>
      </c>
      <c r="G11" s="282" t="s">
        <v>43</v>
      </c>
      <c r="H11" s="282" t="s">
        <v>44</v>
      </c>
      <c r="I11" s="283"/>
    </row>
    <row r="12" ht="14.25" spans="1:9">
      <c r="A12" s="280"/>
      <c r="B12" s="13"/>
      <c r="C12" s="286"/>
      <c r="D12" s="289"/>
      <c r="E12" s="288"/>
      <c r="F12" s="13" t="s">
        <v>45</v>
      </c>
      <c r="G12" s="282" t="s">
        <v>46</v>
      </c>
      <c r="H12" s="282" t="s">
        <v>47</v>
      </c>
      <c r="I12" s="283"/>
    </row>
  </sheetData>
  <sheetProtection formatCells="0" formatColumns="0" formatRows="0" insertRows="0" insertColumns="0" insertHyperlinks="0" deleteColumns="0" deleteRows="0" sort="0" autoFilter="0" pivotTables="0"/>
  <mergeCells count="6">
    <mergeCell ref="A2:A12"/>
    <mergeCell ref="B2:B12"/>
    <mergeCell ref="C2:C12"/>
    <mergeCell ref="D2:D12"/>
    <mergeCell ref="E2:E12"/>
    <mergeCell ref="I2:I12"/>
  </mergeCells>
  <pageMargins left="0.75" right="0.75" top="1" bottom="1" header="0.5" footer="0.5"/>
  <headerFooter/>
  <picture r:id="cco-watermark"/>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252"/>
  <sheetViews>
    <sheetView tabSelected="1" zoomScale="60" zoomScaleNormal="60" workbookViewId="0">
      <pane ySplit="2" topLeftCell="A1" activePane="bottomLeft" state="frozen"/>
      <selection/>
      <selection pane="bottomLeft" activeCell="D44" sqref="D44:D45"/>
    </sheetView>
  </sheetViews>
  <sheetFormatPr defaultColWidth="9" defaultRowHeight="25.85" customHeight="1"/>
  <cols>
    <col min="1" max="1" customWidth="true" style="37" width="15.8166666666667" collapsed="false"/>
    <col min="2" max="2" customWidth="true" style="36" width="13.1916666666667" collapsed="false"/>
    <col min="3" max="3" customWidth="true" hidden="true" style="36" width="13.1916666666667" collapsed="false"/>
    <col min="4" max="4" customWidth="true" hidden="true" style="41" width="13.875" collapsed="false"/>
    <col min="5" max="5" customWidth="true" hidden="true" style="41" width="19.35" collapsed="false"/>
    <col min="6" max="6" customWidth="true" style="39" width="50.625" collapsed="false"/>
    <col min="7" max="7" customWidth="true" style="39" width="60.8083333333333" collapsed="false"/>
    <col min="8" max="8" customWidth="true" style="42" width="18.75" collapsed="false"/>
    <col min="9" max="9" customWidth="true" style="42" width="17.2083333333333" collapsed="false"/>
    <col min="10" max="10" customWidth="true" style="43" width="16.05" collapsed="false"/>
    <col min="11" max="11" customWidth="true" style="42" width="16.05" collapsed="false"/>
    <col min="12" max="12" customWidth="true" style="42" width="28.55" collapsed="false"/>
    <col min="13" max="13" customWidth="true" style="42" width="37.675" collapsed="false"/>
    <col min="14" max="14" customWidth="true" style="42" width="20.325" collapsed="false"/>
    <col min="15" max="15" customWidth="true" style="36" width="13.1916666666667" collapsed="false"/>
    <col min="16" max="16" customWidth="true" style="37" width="19.6333333333333" collapsed="false"/>
    <col min="17" max="18" customWidth="true" style="37" width="16.0" collapsed="false"/>
    <col min="19" max="19" customWidth="true" style="37" width="18.6333333333333" collapsed="false"/>
    <col min="20" max="22" customWidth="true" style="37" width="11.55" collapsed="false"/>
    <col min="23" max="23" customWidth="true" style="37" width="38.1166666666667" collapsed="false"/>
    <col min="24" max="16384" style="37" width="9.0" collapsed="false"/>
  </cols>
  <sheetData>
    <row r="1" s="35" customFormat="1" customHeight="1" spans="1:23">
      <c r="A1" s="44" t="s">
        <v>48</v>
      </c>
      <c r="B1" s="44"/>
      <c r="C1" s="44"/>
      <c r="D1" s="45" t="s">
        <v>49</v>
      </c>
      <c r="E1" s="45"/>
      <c r="F1" s="46" t="s">
        <v>50</v>
      </c>
      <c r="G1" s="46" t="s">
        <v>51</v>
      </c>
      <c r="H1" s="47" t="s">
        <v>52</v>
      </c>
      <c r="I1" s="47" t="s">
        <v>53</v>
      </c>
      <c r="J1" s="47" t="s">
        <v>52</v>
      </c>
      <c r="K1" s="48" t="s">
        <v>54</v>
      </c>
      <c r="L1" s="48" t="s">
        <v>55</v>
      </c>
      <c r="M1" s="48" t="s">
        <v>56</v>
      </c>
      <c r="N1" s="48" t="s">
        <v>57</v>
      </c>
      <c r="O1" s="44"/>
      <c r="P1" s="44"/>
      <c r="Q1" s="44"/>
      <c r="R1" s="44"/>
      <c r="S1" s="44"/>
      <c r="T1" s="44"/>
      <c r="U1" s="44"/>
      <c r="V1" s="44"/>
      <c r="W1" s="44"/>
    </row>
    <row r="2" s="36" customFormat="1" customHeight="1" spans="1:23">
      <c r="A2" s="49" t="s">
        <v>58</v>
      </c>
      <c r="B2" s="49" t="s">
        <v>59</v>
      </c>
      <c r="C2" s="49" t="s">
        <v>60</v>
      </c>
      <c r="D2" s="50" t="s">
        <v>61</v>
      </c>
      <c r="E2" s="50" t="s">
        <v>62</v>
      </c>
      <c r="F2" s="51" t="s">
        <v>63</v>
      </c>
      <c r="G2" s="51" t="s">
        <v>64</v>
      </c>
      <c r="H2" s="52" t="s">
        <v>65</v>
      </c>
      <c r="I2" s="52" t="s">
        <v>66</v>
      </c>
      <c r="J2" s="52" t="s">
        <v>67</v>
      </c>
      <c r="K2" s="52" t="s">
        <v>68</v>
      </c>
      <c r="L2" s="53" t="s">
        <v>69</v>
      </c>
      <c r="M2" s="53" t="s">
        <v>70</v>
      </c>
      <c r="N2" s="53" t="s">
        <v>71</v>
      </c>
      <c r="O2" s="49" t="s">
        <v>72</v>
      </c>
      <c r="P2" s="49" t="s">
        <v>73</v>
      </c>
      <c r="Q2" s="49" t="s">
        <v>74</v>
      </c>
      <c r="R2" s="49" t="s">
        <v>75</v>
      </c>
      <c r="S2" s="49" t="s">
        <v>76</v>
      </c>
      <c r="T2" s="49" t="s">
        <v>77</v>
      </c>
      <c r="U2" s="49" t="s">
        <v>78</v>
      </c>
      <c r="V2" s="49" t="s">
        <v>79</v>
      </c>
      <c r="W2" s="49" t="s">
        <v>80</v>
      </c>
    </row>
    <row r="3" s="37" customFormat="1" customHeight="1" spans="1:23">
      <c r="A3" s="54" t="s">
        <v>81</v>
      </c>
      <c r="B3" s="55" t="s">
        <v>82</v>
      </c>
      <c r="C3" s="55" t="s">
        <v>83</v>
      </c>
      <c r="D3" s="56"/>
      <c r="E3" s="56"/>
      <c r="F3" s="57" t="s">
        <v>84</v>
      </c>
      <c r="G3" s="57" t="s">
        <v>84</v>
      </c>
      <c r="H3" s="58" t="s">
        <v>85</v>
      </c>
      <c r="I3" s="58" t="s">
        <v>86</v>
      </c>
      <c r="J3" s="58" t="s">
        <v>87</v>
      </c>
      <c r="K3" s="58" t="s">
        <v>88</v>
      </c>
      <c r="L3" s="54">
        <v>21</v>
      </c>
      <c r="M3" s="54" t="s">
        <v>89</v>
      </c>
      <c r="N3" s="58" t="s">
        <v>90</v>
      </c>
      <c r="O3" s="55"/>
      <c r="P3" s="54"/>
      <c r="Q3" s="54"/>
      <c r="R3" s="54"/>
      <c r="S3" s="54"/>
      <c r="T3" s="54"/>
      <c r="U3" s="54"/>
      <c r="V3" s="54"/>
      <c r="W3" s="54"/>
    </row>
    <row r="4" s="37" customFormat="1" customHeight="1" spans="1:23">
      <c r="A4" s="54"/>
      <c r="B4" s="55"/>
      <c r="C4" s="55"/>
      <c r="D4" s="56"/>
      <c r="E4" s="56"/>
      <c r="F4" s="57"/>
      <c r="G4" s="57"/>
      <c r="H4" s="58" t="s">
        <v>91</v>
      </c>
      <c r="I4" s="58" t="s">
        <v>92</v>
      </c>
      <c r="J4" s="58" t="s">
        <v>87</v>
      </c>
      <c r="K4" s="58" t="s">
        <v>93</v>
      </c>
      <c r="L4" s="54">
        <v>63</v>
      </c>
      <c r="M4" s="54" t="s">
        <v>94</v>
      </c>
      <c r="N4" s="58" t="s">
        <v>90</v>
      </c>
      <c r="O4" s="55"/>
      <c r="P4" s="54"/>
      <c r="Q4" s="54"/>
      <c r="R4" s="54"/>
      <c r="S4" s="54"/>
      <c r="T4" s="54"/>
      <c r="U4" s="54"/>
      <c r="V4" s="54"/>
      <c r="W4" s="54"/>
    </row>
    <row r="5" s="37" customFormat="1" ht="15.75" spans="1:23">
      <c r="A5" s="54"/>
      <c r="B5" s="55"/>
      <c r="C5" s="55"/>
      <c r="D5" s="56"/>
      <c r="E5" s="56"/>
      <c r="F5" s="57"/>
      <c r="G5" s="57"/>
      <c r="H5" s="58" t="s">
        <v>95</v>
      </c>
      <c r="I5" s="58" t="s">
        <v>96</v>
      </c>
      <c r="J5" s="58" t="s">
        <v>97</v>
      </c>
      <c r="K5" s="58" t="s">
        <v>88</v>
      </c>
      <c r="L5" s="54">
        <v>84</v>
      </c>
      <c r="M5" s="54" t="s">
        <v>98</v>
      </c>
      <c r="N5" s="58" t="s">
        <v>99</v>
      </c>
      <c r="O5" s="55"/>
      <c r="P5" s="54"/>
      <c r="Q5" s="54"/>
      <c r="R5" s="54"/>
      <c r="S5" s="54"/>
      <c r="T5" s="54"/>
      <c r="U5" s="54"/>
      <c r="V5" s="54"/>
      <c r="W5" s="54"/>
    </row>
    <row r="6" s="37" customFormat="1" ht="15.75" spans="1:23">
      <c r="A6" s="59" t="s">
        <v>100</v>
      </c>
      <c r="B6" s="60" t="s">
        <v>101</v>
      </c>
      <c r="C6" s="60" t="s">
        <v>83</v>
      </c>
      <c r="D6" s="61" t="s">
        <v>102</v>
      </c>
      <c r="E6" s="61" t="s">
        <v>103</v>
      </c>
      <c r="F6" s="62" t="s">
        <v>104</v>
      </c>
      <c r="G6" s="62" t="s">
        <v>105</v>
      </c>
      <c r="H6" s="63" t="s">
        <v>106</v>
      </c>
      <c r="I6" s="63" t="s">
        <v>107</v>
      </c>
      <c r="J6" s="63" t="s">
        <v>108</v>
      </c>
      <c r="K6" s="63" t="s">
        <v>93</v>
      </c>
      <c r="L6" s="54">
        <v>109</v>
      </c>
      <c r="M6" s="54" t="s">
        <v>109</v>
      </c>
      <c r="N6" s="63" t="s">
        <v>110</v>
      </c>
      <c r="O6" s="60" t="s">
        <v>42</v>
      </c>
      <c r="P6" s="64" t="s">
        <v>111</v>
      </c>
      <c r="Q6" s="59" t="s">
        <v>112</v>
      </c>
      <c r="R6" s="59" t="s">
        <v>113</v>
      </c>
      <c r="S6" s="59" t="s">
        <v>114</v>
      </c>
      <c r="T6" s="59" t="s">
        <v>44</v>
      </c>
      <c r="U6" s="65" t="s">
        <v>115</v>
      </c>
      <c r="V6" s="59" t="s">
        <v>116</v>
      </c>
      <c r="W6" s="59" t="s">
        <v>117</v>
      </c>
    </row>
    <row r="7" s="37" customFormat="1" ht="30" customHeight="1" spans="1:23">
      <c r="A7" s="59"/>
      <c r="B7" s="60"/>
      <c r="C7" s="60"/>
      <c r="D7" s="61" t="s">
        <v>102</v>
      </c>
      <c r="E7" s="61" t="s">
        <v>103</v>
      </c>
      <c r="F7" s="62"/>
      <c r="G7" s="62"/>
      <c r="H7" s="63" t="s">
        <v>106</v>
      </c>
      <c r="I7" s="63" t="s">
        <v>118</v>
      </c>
      <c r="J7" s="63" t="s">
        <v>108</v>
      </c>
      <c r="K7" s="63" t="s">
        <v>93</v>
      </c>
      <c r="L7" s="54">
        <v>29</v>
      </c>
      <c r="M7" s="54" t="s">
        <v>98</v>
      </c>
      <c r="N7" s="63" t="s">
        <v>99</v>
      </c>
      <c r="O7" s="60"/>
      <c r="P7" s="64"/>
      <c r="Q7" s="59"/>
      <c r="R7" s="59"/>
      <c r="S7" s="59"/>
      <c r="T7" s="59"/>
      <c r="U7" s="65"/>
      <c r="V7" s="59"/>
      <c r="W7" s="59"/>
    </row>
    <row r="8" s="37" customFormat="1" ht="15.75" spans="1:23">
      <c r="A8" s="59"/>
      <c r="B8" s="60"/>
      <c r="C8" s="60"/>
      <c r="D8" s="61" t="s">
        <v>102</v>
      </c>
      <c r="E8" s="61" t="s">
        <v>103</v>
      </c>
      <c r="F8" s="62"/>
      <c r="G8" s="62"/>
      <c r="H8" s="63" t="s">
        <v>119</v>
      </c>
      <c r="I8" s="63" t="s">
        <v>120</v>
      </c>
      <c r="J8" s="63" t="s">
        <v>108</v>
      </c>
      <c r="K8" s="63" t="s">
        <v>93</v>
      </c>
      <c r="L8" s="54">
        <v>30</v>
      </c>
      <c r="M8" s="54" t="s">
        <v>121</v>
      </c>
      <c r="N8" s="63" t="s">
        <v>110</v>
      </c>
      <c r="O8" s="60"/>
      <c r="P8" s="64"/>
      <c r="Q8" s="59"/>
      <c r="R8" s="59"/>
      <c r="S8" s="59"/>
      <c r="T8" s="59"/>
      <c r="U8" s="65"/>
      <c r="V8" s="59"/>
      <c r="W8" s="59"/>
    </row>
    <row r="9" s="37" customFormat="1" ht="15.75" spans="1:23">
      <c r="A9" s="65" t="s">
        <v>122</v>
      </c>
      <c r="B9" s="65" t="s">
        <v>123</v>
      </c>
      <c r="C9" s="65" t="s">
        <v>83</v>
      </c>
      <c r="D9" s="66" t="s">
        <v>102</v>
      </c>
      <c r="E9" s="66" t="s">
        <v>103</v>
      </c>
      <c r="F9" s="67" t="s">
        <v>124</v>
      </c>
      <c r="G9" s="67" t="s">
        <v>125</v>
      </c>
      <c r="H9" s="63" t="s">
        <v>91</v>
      </c>
      <c r="I9" s="63" t="s">
        <v>92</v>
      </c>
      <c r="J9" s="63" t="s">
        <v>108</v>
      </c>
      <c r="K9" s="63" t="s">
        <v>93</v>
      </c>
      <c r="L9" s="54">
        <v>21</v>
      </c>
      <c r="M9" s="54" t="s">
        <v>126</v>
      </c>
      <c r="N9" s="63" t="s">
        <v>90</v>
      </c>
      <c r="O9" s="65" t="s">
        <v>27</v>
      </c>
      <c r="P9" s="68" t="s">
        <v>127</v>
      </c>
      <c r="Q9" s="68" t="s">
        <v>112</v>
      </c>
      <c r="R9" s="68" t="s">
        <v>128</v>
      </c>
      <c r="S9" s="68" t="s">
        <v>129</v>
      </c>
      <c r="T9" s="68" t="s">
        <v>130</v>
      </c>
      <c r="U9" s="65" t="s">
        <v>131</v>
      </c>
      <c r="V9" s="65" t="s">
        <v>116</v>
      </c>
      <c r="W9" s="65" t="s">
        <v>117</v>
      </c>
    </row>
    <row r="10" ht="15.75" customHeight="1" spans="1:23">
      <c r="A10" s="65"/>
      <c r="B10" s="65"/>
      <c r="C10" s="65"/>
      <c r="D10" s="66"/>
      <c r="E10" s="66"/>
      <c r="F10" s="67"/>
      <c r="G10" s="67"/>
      <c r="H10" s="63" t="s">
        <v>132</v>
      </c>
      <c r="I10" s="63" t="s">
        <v>133</v>
      </c>
      <c r="J10" s="63" t="s">
        <v>108</v>
      </c>
      <c r="K10" s="63" t="s">
        <v>93</v>
      </c>
      <c r="L10" s="54">
        <v>42</v>
      </c>
      <c r="M10" s="54" t="s">
        <v>126</v>
      </c>
      <c r="N10" s="63" t="s">
        <v>90</v>
      </c>
      <c r="O10" s="65"/>
      <c r="P10" s="68"/>
      <c r="Q10" s="68"/>
      <c r="R10" s="68"/>
      <c r="S10" s="68"/>
      <c r="T10" s="68"/>
      <c r="U10" s="65"/>
      <c r="V10" s="65"/>
      <c r="W10" s="65"/>
    </row>
    <row r="11" s="38" customFormat="1" ht="15.75" spans="1:23">
      <c r="A11" s="65"/>
      <c r="B11" s="65"/>
      <c r="C11" s="65"/>
      <c r="D11" s="66"/>
      <c r="E11" s="66"/>
      <c r="F11" s="67"/>
      <c r="G11" s="67"/>
      <c r="H11" s="63" t="s">
        <v>95</v>
      </c>
      <c r="I11" s="63" t="s">
        <v>96</v>
      </c>
      <c r="J11" s="63" t="s">
        <v>97</v>
      </c>
      <c r="K11" s="63" t="s">
        <v>134</v>
      </c>
      <c r="L11" s="54">
        <v>21</v>
      </c>
      <c r="M11" s="54" t="s">
        <v>135</v>
      </c>
      <c r="N11" s="63" t="s">
        <v>99</v>
      </c>
      <c r="O11" s="65"/>
      <c r="P11" s="68"/>
      <c r="Q11" s="68"/>
      <c r="R11" s="68"/>
      <c r="S11" s="68"/>
      <c r="T11" s="68"/>
      <c r="U11" s="65"/>
      <c r="V11" s="65"/>
      <c r="W11" s="65"/>
    </row>
    <row r="12" s="38" customFormat="1" ht="15.75" spans="1:23">
      <c r="A12" s="65"/>
      <c r="B12" s="65"/>
      <c r="C12" s="65"/>
      <c r="D12" s="66"/>
      <c r="E12" s="66"/>
      <c r="F12" s="67"/>
      <c r="G12" s="67"/>
      <c r="H12" s="63" t="s">
        <v>95</v>
      </c>
      <c r="I12" s="63" t="s">
        <v>136</v>
      </c>
      <c r="J12" s="63" t="s">
        <v>97</v>
      </c>
      <c r="K12" s="63" t="s">
        <v>93</v>
      </c>
      <c r="L12" s="54">
        <v>84</v>
      </c>
      <c r="M12" s="54" t="s">
        <v>98</v>
      </c>
      <c r="N12" s="63" t="s">
        <v>99</v>
      </c>
      <c r="O12" s="65"/>
      <c r="P12" s="68"/>
      <c r="Q12" s="68"/>
      <c r="R12" s="68"/>
      <c r="S12" s="68"/>
      <c r="T12" s="68"/>
      <c r="U12" s="65"/>
      <c r="V12" s="65"/>
      <c r="W12" s="65"/>
    </row>
    <row r="13" s="39" customFormat="1" ht="88.5" customHeight="1" spans="1:23">
      <c r="A13" s="64" t="s">
        <v>137</v>
      </c>
      <c r="B13" s="69" t="s">
        <v>138</v>
      </c>
      <c r="C13" s="69" t="s">
        <v>83</v>
      </c>
      <c r="D13" s="70" t="s">
        <v>102</v>
      </c>
      <c r="E13" s="70" t="s">
        <v>103</v>
      </c>
      <c r="F13" s="62" t="s">
        <v>139</v>
      </c>
      <c r="G13" s="62" t="s">
        <v>140</v>
      </c>
      <c r="H13" s="63" t="s">
        <v>141</v>
      </c>
      <c r="I13" s="63" t="s">
        <v>142</v>
      </c>
      <c r="J13" s="63" t="s">
        <v>97</v>
      </c>
      <c r="K13" s="63" t="s">
        <v>93</v>
      </c>
      <c r="L13" s="54">
        <v>89</v>
      </c>
      <c r="M13" s="54" t="s">
        <v>98</v>
      </c>
      <c r="N13" s="63" t="s">
        <v>99</v>
      </c>
      <c r="O13" s="69" t="s">
        <v>45</v>
      </c>
      <c r="P13" s="64" t="s">
        <v>143</v>
      </c>
      <c r="Q13" s="59" t="s">
        <v>112</v>
      </c>
      <c r="R13" s="59" t="s">
        <v>144</v>
      </c>
      <c r="S13" s="59" t="s">
        <v>145</v>
      </c>
      <c r="T13" s="59" t="s">
        <v>146</v>
      </c>
      <c r="U13" s="59" t="s">
        <v>147</v>
      </c>
      <c r="V13" s="59" t="s">
        <v>148</v>
      </c>
      <c r="W13" s="59" t="s">
        <v>149</v>
      </c>
    </row>
    <row r="14" s="39" customFormat="1" ht="15.75" spans="1:23">
      <c r="A14" s="64"/>
      <c r="B14" s="69"/>
      <c r="C14" s="69"/>
      <c r="D14" s="70"/>
      <c r="E14" s="70"/>
      <c r="F14" s="62"/>
      <c r="G14" s="62"/>
      <c r="H14" s="71" t="s">
        <v>141</v>
      </c>
      <c r="I14" s="71" t="s">
        <v>150</v>
      </c>
      <c r="J14" s="63" t="s">
        <v>108</v>
      </c>
      <c r="K14" s="71" t="s">
        <v>134</v>
      </c>
      <c r="L14" s="54">
        <v>15</v>
      </c>
      <c r="M14" s="54" t="s">
        <v>151</v>
      </c>
      <c r="N14" s="71" t="s">
        <v>110</v>
      </c>
      <c r="O14" s="69"/>
      <c r="P14" s="64"/>
      <c r="Q14" s="59"/>
      <c r="R14" s="59"/>
      <c r="S14" s="59"/>
      <c r="T14" s="59"/>
      <c r="U14" s="59"/>
      <c r="V14" s="59"/>
      <c r="W14" s="59"/>
    </row>
    <row r="15" s="39" customFormat="1" ht="15.75" spans="1:23">
      <c r="A15" s="64"/>
      <c r="B15" s="69"/>
      <c r="C15" s="69"/>
      <c r="D15" s="70"/>
      <c r="E15" s="70"/>
      <c r="F15" s="62"/>
      <c r="G15" s="62"/>
      <c r="H15" s="71" t="s">
        <v>132</v>
      </c>
      <c r="I15" s="71" t="s">
        <v>133</v>
      </c>
      <c r="J15" s="63" t="s">
        <v>108</v>
      </c>
      <c r="K15" s="71" t="s">
        <v>93</v>
      </c>
      <c r="L15" s="54">
        <v>64</v>
      </c>
      <c r="M15" s="54" t="s">
        <v>151</v>
      </c>
      <c r="N15" s="71" t="s">
        <v>110</v>
      </c>
      <c r="O15" s="69"/>
      <c r="P15" s="64"/>
      <c r="Q15" s="59"/>
      <c r="R15" s="59"/>
      <c r="S15" s="59"/>
      <c r="T15" s="59"/>
      <c r="U15" s="59"/>
      <c r="V15" s="59"/>
      <c r="W15" s="59"/>
    </row>
    <row r="16" s="37" customFormat="1" ht="15.75" customHeight="1" spans="1:23">
      <c r="A16" s="68" t="s">
        <v>152</v>
      </c>
      <c r="B16" s="65" t="s">
        <v>153</v>
      </c>
      <c r="C16" s="65" t="s">
        <v>83</v>
      </c>
      <c r="D16" s="66" t="s">
        <v>102</v>
      </c>
      <c r="E16" s="66" t="s">
        <v>154</v>
      </c>
      <c r="F16" s="72" t="s">
        <v>155</v>
      </c>
      <c r="G16" s="72" t="s">
        <v>156</v>
      </c>
      <c r="H16" s="71" t="s">
        <v>157</v>
      </c>
      <c r="I16" s="71" t="s">
        <v>158</v>
      </c>
      <c r="J16" s="63" t="s">
        <v>108</v>
      </c>
      <c r="K16" s="71" t="s">
        <v>134</v>
      </c>
      <c r="L16" s="73">
        <f>3*21</f>
        <v>63</v>
      </c>
      <c r="M16" s="73" t="s">
        <v>159</v>
      </c>
      <c r="N16" s="71" t="s">
        <v>110</v>
      </c>
      <c r="O16" s="65" t="s">
        <v>18</v>
      </c>
      <c r="P16" s="68" t="s">
        <v>160</v>
      </c>
      <c r="Q16" s="68" t="s">
        <v>112</v>
      </c>
      <c r="R16" s="68" t="s">
        <v>161</v>
      </c>
      <c r="S16" s="68" t="s">
        <v>162</v>
      </c>
      <c r="T16" s="68" t="s">
        <v>20</v>
      </c>
      <c r="U16" s="68" t="s">
        <v>163</v>
      </c>
      <c r="V16" s="68" t="s">
        <v>164</v>
      </c>
      <c r="W16" s="68" t="s">
        <v>165</v>
      </c>
    </row>
    <row r="17" s="37" customFormat="1" ht="15.75" spans="1:23">
      <c r="A17" s="68"/>
      <c r="B17" s="65"/>
      <c r="C17" s="65"/>
      <c r="D17" s="66"/>
      <c r="E17" s="66"/>
      <c r="F17" s="72"/>
      <c r="G17" s="72"/>
      <c r="H17" s="63" t="s">
        <v>157</v>
      </c>
      <c r="I17" s="71" t="s">
        <v>166</v>
      </c>
      <c r="J17" s="63" t="s">
        <v>108</v>
      </c>
      <c r="K17" s="71" t="s">
        <v>134</v>
      </c>
      <c r="L17" s="73">
        <f t="shared" ref="L17:L21" si="0">2*21</f>
        <v>42</v>
      </c>
      <c r="M17" s="73" t="s">
        <v>159</v>
      </c>
      <c r="N17" s="63" t="s">
        <v>110</v>
      </c>
      <c r="O17" s="65"/>
      <c r="P17" s="68"/>
      <c r="Q17" s="68"/>
      <c r="R17" s="68"/>
      <c r="S17" s="68"/>
      <c r="T17" s="68"/>
      <c r="U17" s="68"/>
      <c r="V17" s="68"/>
      <c r="W17" s="68"/>
    </row>
    <row r="18" s="37" customFormat="1" ht="15.75" spans="1:23">
      <c r="A18" s="68"/>
      <c r="B18" s="65"/>
      <c r="C18" s="65"/>
      <c r="D18" s="66"/>
      <c r="E18" s="66"/>
      <c r="F18" s="72"/>
      <c r="G18" s="72"/>
      <c r="H18" s="63" t="s">
        <v>167</v>
      </c>
      <c r="I18" s="71" t="s">
        <v>168</v>
      </c>
      <c r="J18" s="63" t="s">
        <v>108</v>
      </c>
      <c r="K18" s="71" t="s">
        <v>93</v>
      </c>
      <c r="L18" s="73">
        <f t="shared" si="0"/>
        <v>42</v>
      </c>
      <c r="M18" s="73" t="s">
        <v>169</v>
      </c>
      <c r="N18" s="71" t="s">
        <v>90</v>
      </c>
      <c r="O18" s="65"/>
      <c r="P18" s="68"/>
      <c r="Q18" s="68"/>
      <c r="R18" s="68"/>
      <c r="S18" s="68"/>
      <c r="T18" s="68"/>
      <c r="U18" s="68"/>
      <c r="V18" s="68"/>
      <c r="W18" s="68"/>
    </row>
    <row r="19" s="37" customFormat="1" ht="15.75" spans="1:23">
      <c r="A19" s="68"/>
      <c r="B19" s="65"/>
      <c r="C19" s="65"/>
      <c r="D19" s="66"/>
      <c r="E19" s="66"/>
      <c r="F19" s="72"/>
      <c r="G19" s="72"/>
      <c r="H19" s="63" t="s">
        <v>106</v>
      </c>
      <c r="I19" s="63" t="s">
        <v>170</v>
      </c>
      <c r="J19" s="63" t="s">
        <v>108</v>
      </c>
      <c r="K19" s="63" t="s">
        <v>93</v>
      </c>
      <c r="L19" s="73">
        <f t="shared" ref="L19:L23" si="1">1*21</f>
        <v>21</v>
      </c>
      <c r="M19" s="73" t="s">
        <v>159</v>
      </c>
      <c r="N19" s="63" t="s">
        <v>90</v>
      </c>
      <c r="O19" s="65"/>
      <c r="P19" s="68"/>
      <c r="Q19" s="68"/>
      <c r="R19" s="68"/>
      <c r="S19" s="68"/>
      <c r="T19" s="68"/>
      <c r="U19" s="68"/>
      <c r="V19" s="68"/>
      <c r="W19" s="68"/>
    </row>
    <row r="20" s="37" customFormat="1" ht="15.75" spans="1:23">
      <c r="A20" s="68" t="s">
        <v>171</v>
      </c>
      <c r="B20" s="65" t="s">
        <v>172</v>
      </c>
      <c r="C20" s="65" t="s">
        <v>173</v>
      </c>
      <c r="D20" s="66" t="s">
        <v>102</v>
      </c>
      <c r="E20" s="66" t="s">
        <v>154</v>
      </c>
      <c r="F20" s="67" t="s">
        <v>174</v>
      </c>
      <c r="G20" s="67" t="s">
        <v>175</v>
      </c>
      <c r="H20" s="63" t="s">
        <v>95</v>
      </c>
      <c r="I20" s="63" t="s">
        <v>176</v>
      </c>
      <c r="J20" s="63" t="s">
        <v>97</v>
      </c>
      <c r="K20" s="63" t="s">
        <v>93</v>
      </c>
      <c r="L20" s="73">
        <f>4*21</f>
        <v>84</v>
      </c>
      <c r="M20" s="73" t="s">
        <v>177</v>
      </c>
      <c r="N20" s="63" t="s">
        <v>110</v>
      </c>
      <c r="O20" s="65" t="s">
        <v>18</v>
      </c>
      <c r="P20" s="68" t="s">
        <v>178</v>
      </c>
      <c r="Q20" s="68" t="s">
        <v>112</v>
      </c>
      <c r="R20" s="68" t="s">
        <v>161</v>
      </c>
      <c r="S20" s="68" t="s">
        <v>179</v>
      </c>
      <c r="T20" s="68" t="s">
        <v>180</v>
      </c>
      <c r="U20" s="68" t="s">
        <v>181</v>
      </c>
      <c r="V20" s="68" t="s">
        <v>116</v>
      </c>
      <c r="W20" s="68" t="s">
        <v>117</v>
      </c>
    </row>
    <row r="21" s="37" customFormat="1" ht="15.75" spans="1:23">
      <c r="A21" s="68"/>
      <c r="B21" s="65"/>
      <c r="C21" s="65"/>
      <c r="D21" s="66"/>
      <c r="E21" s="66"/>
      <c r="F21" s="67"/>
      <c r="G21" s="67"/>
      <c r="H21" s="74" t="s">
        <v>157</v>
      </c>
      <c r="I21" s="75" t="s">
        <v>158</v>
      </c>
      <c r="J21" s="63" t="s">
        <v>108</v>
      </c>
      <c r="K21" s="75" t="s">
        <v>134</v>
      </c>
      <c r="L21" s="73">
        <f t="shared" si="0"/>
        <v>42</v>
      </c>
      <c r="M21" s="73" t="s">
        <v>182</v>
      </c>
      <c r="N21" s="75" t="s">
        <v>110</v>
      </c>
      <c r="O21" s="65"/>
      <c r="P21" s="68"/>
      <c r="Q21" s="68"/>
      <c r="R21" s="68"/>
      <c r="S21" s="68"/>
      <c r="T21" s="68"/>
      <c r="U21" s="68"/>
      <c r="V21" s="68"/>
      <c r="W21" s="68"/>
    </row>
    <row r="22" s="37" customFormat="1" ht="15.75" customHeight="1" spans="1:23">
      <c r="A22" s="68"/>
      <c r="B22" s="65"/>
      <c r="C22" s="65"/>
      <c r="D22" s="66"/>
      <c r="E22" s="66"/>
      <c r="F22" s="67"/>
      <c r="G22" s="67"/>
      <c r="H22" s="74" t="s">
        <v>106</v>
      </c>
      <c r="I22" s="75" t="s">
        <v>107</v>
      </c>
      <c r="J22" s="63" t="s">
        <v>108</v>
      </c>
      <c r="K22" s="75" t="s">
        <v>134</v>
      </c>
      <c r="L22" s="73">
        <f t="shared" si="1"/>
        <v>21</v>
      </c>
      <c r="M22" s="73" t="s">
        <v>182</v>
      </c>
      <c r="N22" s="75" t="s">
        <v>90</v>
      </c>
      <c r="O22" s="65"/>
      <c r="P22" s="68"/>
      <c r="Q22" s="68"/>
      <c r="R22" s="68"/>
      <c r="S22" s="68"/>
      <c r="T22" s="68"/>
      <c r="U22" s="68"/>
      <c r="V22" s="68"/>
      <c r="W22" s="68"/>
    </row>
    <row r="23" s="37" customFormat="1" ht="32.25" customHeight="1" spans="1:23">
      <c r="A23" s="68"/>
      <c r="B23" s="65"/>
      <c r="C23" s="65"/>
      <c r="D23" s="66"/>
      <c r="E23" s="66"/>
      <c r="F23" s="67"/>
      <c r="G23" s="67"/>
      <c r="H23" s="74" t="s">
        <v>85</v>
      </c>
      <c r="I23" s="75" t="s">
        <v>183</v>
      </c>
      <c r="J23" s="63" t="s">
        <v>108</v>
      </c>
      <c r="K23" s="75" t="s">
        <v>134</v>
      </c>
      <c r="L23" s="73">
        <f t="shared" si="1"/>
        <v>21</v>
      </c>
      <c r="M23" s="73" t="s">
        <v>182</v>
      </c>
      <c r="N23" s="75" t="s">
        <v>110</v>
      </c>
      <c r="O23" s="65"/>
      <c r="P23" s="68"/>
      <c r="Q23" s="68"/>
      <c r="R23" s="68"/>
      <c r="S23" s="68"/>
      <c r="T23" s="68"/>
      <c r="U23" s="68"/>
      <c r="V23" s="68"/>
      <c r="W23" s="68"/>
    </row>
    <row r="24" s="37" customFormat="1" ht="15.75" spans="1:23">
      <c r="A24" s="59" t="s">
        <v>184</v>
      </c>
      <c r="B24" s="60" t="s">
        <v>185</v>
      </c>
      <c r="C24" s="60" t="s">
        <v>83</v>
      </c>
      <c r="D24" s="61" t="s">
        <v>102</v>
      </c>
      <c r="E24" s="61" t="s">
        <v>103</v>
      </c>
      <c r="F24" s="62" t="s">
        <v>186</v>
      </c>
      <c r="G24" s="62" t="s">
        <v>187</v>
      </c>
      <c r="H24" s="75" t="s">
        <v>157</v>
      </c>
      <c r="I24" s="75" t="s">
        <v>188</v>
      </c>
      <c r="J24" s="63" t="s">
        <v>108</v>
      </c>
      <c r="K24" s="76" t="s">
        <v>88</v>
      </c>
      <c r="L24" s="54">
        <v>5</v>
      </c>
      <c r="M24" s="54" t="s">
        <v>98</v>
      </c>
      <c r="N24" s="75" t="s">
        <v>99</v>
      </c>
      <c r="O24" s="60" t="s">
        <v>21</v>
      </c>
      <c r="P24" s="59" t="s">
        <v>189</v>
      </c>
      <c r="Q24" s="59" t="s">
        <v>112</v>
      </c>
      <c r="R24" s="59" t="s">
        <v>161</v>
      </c>
      <c r="S24" s="59" t="s">
        <v>190</v>
      </c>
      <c r="T24" s="59" t="s">
        <v>23</v>
      </c>
      <c r="U24" s="59" t="s">
        <v>191</v>
      </c>
      <c r="V24" s="59" t="s">
        <v>116</v>
      </c>
      <c r="W24" s="59" t="s">
        <v>117</v>
      </c>
    </row>
    <row r="25" s="37" customFormat="1" ht="15.75" customHeight="1" spans="1:23">
      <c r="A25" s="59"/>
      <c r="B25" s="60"/>
      <c r="C25" s="60"/>
      <c r="D25" s="61" t="s">
        <v>102</v>
      </c>
      <c r="E25" s="61" t="s">
        <v>103</v>
      </c>
      <c r="F25" s="62"/>
      <c r="G25" s="62"/>
      <c r="H25" s="75" t="s">
        <v>85</v>
      </c>
      <c r="I25" s="75" t="s">
        <v>192</v>
      </c>
      <c r="J25" s="63" t="s">
        <v>108</v>
      </c>
      <c r="K25" s="76" t="s">
        <v>134</v>
      </c>
      <c r="L25" s="54">
        <v>10</v>
      </c>
      <c r="M25" s="54" t="s">
        <v>89</v>
      </c>
      <c r="N25" s="75" t="s">
        <v>90</v>
      </c>
      <c r="O25" s="60" t="s">
        <v>21</v>
      </c>
      <c r="P25" s="59" t="s">
        <v>189</v>
      </c>
      <c r="Q25" s="59" t="s">
        <v>112</v>
      </c>
      <c r="R25" s="59" t="s">
        <v>161</v>
      </c>
      <c r="S25" s="59" t="s">
        <v>190</v>
      </c>
      <c r="T25" s="59" t="s">
        <v>23</v>
      </c>
      <c r="U25" s="59" t="s">
        <v>191</v>
      </c>
      <c r="V25" s="59" t="s">
        <v>116</v>
      </c>
      <c r="W25" s="59" t="s">
        <v>117</v>
      </c>
    </row>
    <row r="26" s="37" customFormat="1" ht="15.75" spans="1:23">
      <c r="A26" s="59"/>
      <c r="B26" s="60"/>
      <c r="C26" s="60"/>
      <c r="D26" s="61" t="s">
        <v>102</v>
      </c>
      <c r="E26" s="61" t="s">
        <v>103</v>
      </c>
      <c r="F26" s="62"/>
      <c r="G26" s="62"/>
      <c r="H26" s="75" t="s">
        <v>95</v>
      </c>
      <c r="I26" s="75" t="s">
        <v>193</v>
      </c>
      <c r="J26" s="63" t="s">
        <v>108</v>
      </c>
      <c r="K26" s="76" t="s">
        <v>93</v>
      </c>
      <c r="L26" s="54">
        <v>20</v>
      </c>
      <c r="M26" s="54" t="s">
        <v>194</v>
      </c>
      <c r="N26" s="75" t="s">
        <v>90</v>
      </c>
      <c r="O26" s="60" t="s">
        <v>21</v>
      </c>
      <c r="P26" s="59" t="s">
        <v>189</v>
      </c>
      <c r="Q26" s="59" t="s">
        <v>112</v>
      </c>
      <c r="R26" s="59" t="s">
        <v>161</v>
      </c>
      <c r="S26" s="59" t="s">
        <v>190</v>
      </c>
      <c r="T26" s="59" t="s">
        <v>23</v>
      </c>
      <c r="U26" s="59" t="s">
        <v>191</v>
      </c>
      <c r="V26" s="59" t="s">
        <v>116</v>
      </c>
      <c r="W26" s="59" t="s">
        <v>117</v>
      </c>
    </row>
    <row r="27" s="37" customFormat="1" ht="15.75" spans="1:23">
      <c r="A27" s="59"/>
      <c r="B27" s="60"/>
      <c r="C27" s="60"/>
      <c r="D27" s="61" t="s">
        <v>102</v>
      </c>
      <c r="E27" s="61" t="s">
        <v>103</v>
      </c>
      <c r="F27" s="62"/>
      <c r="G27" s="62"/>
      <c r="H27" s="75" t="s">
        <v>95</v>
      </c>
      <c r="I27" s="75" t="s">
        <v>136</v>
      </c>
      <c r="J27" s="63" t="s">
        <v>108</v>
      </c>
      <c r="K27" s="76" t="s">
        <v>93</v>
      </c>
      <c r="L27" s="54">
        <v>10</v>
      </c>
      <c r="M27" s="54" t="s">
        <v>195</v>
      </c>
      <c r="N27" s="75" t="s">
        <v>90</v>
      </c>
      <c r="O27" s="60" t="s">
        <v>21</v>
      </c>
      <c r="P27" s="59" t="s">
        <v>189</v>
      </c>
      <c r="Q27" s="59" t="s">
        <v>112</v>
      </c>
      <c r="R27" s="59" t="s">
        <v>161</v>
      </c>
      <c r="S27" s="59" t="s">
        <v>190</v>
      </c>
      <c r="T27" s="59" t="s">
        <v>23</v>
      </c>
      <c r="U27" s="59" t="s">
        <v>191</v>
      </c>
      <c r="V27" s="59" t="s">
        <v>116</v>
      </c>
      <c r="W27" s="59" t="s">
        <v>117</v>
      </c>
    </row>
    <row r="28" s="37" customFormat="1" customHeight="1" spans="1:23">
      <c r="A28" s="59"/>
      <c r="B28" s="60"/>
      <c r="C28" s="60"/>
      <c r="D28" s="61" t="s">
        <v>102</v>
      </c>
      <c r="E28" s="61" t="s">
        <v>103</v>
      </c>
      <c r="F28" s="62"/>
      <c r="G28" s="62"/>
      <c r="H28" s="75" t="s">
        <v>106</v>
      </c>
      <c r="I28" s="75" t="s">
        <v>196</v>
      </c>
      <c r="J28" s="63" t="s">
        <v>87</v>
      </c>
      <c r="K28" s="76" t="s">
        <v>93</v>
      </c>
      <c r="L28" s="54">
        <v>20</v>
      </c>
      <c r="M28" s="54" t="s">
        <v>195</v>
      </c>
      <c r="N28" s="75" t="s">
        <v>110</v>
      </c>
      <c r="O28" s="60" t="s">
        <v>21</v>
      </c>
      <c r="P28" s="59" t="s">
        <v>189</v>
      </c>
      <c r="Q28" s="59" t="s">
        <v>112</v>
      </c>
      <c r="R28" s="59" t="s">
        <v>161</v>
      </c>
      <c r="S28" s="59" t="s">
        <v>190</v>
      </c>
      <c r="T28" s="59" t="s">
        <v>23</v>
      </c>
      <c r="U28" s="59" t="s">
        <v>191</v>
      </c>
      <c r="V28" s="59" t="s">
        <v>116</v>
      </c>
      <c r="W28" s="59" t="s">
        <v>117</v>
      </c>
    </row>
    <row r="29" s="37" customFormat="1" ht="15.75" spans="1:23">
      <c r="A29" s="59"/>
      <c r="B29" s="60"/>
      <c r="C29" s="60"/>
      <c r="D29" s="61" t="s">
        <v>102</v>
      </c>
      <c r="E29" s="61" t="s">
        <v>103</v>
      </c>
      <c r="F29" s="62"/>
      <c r="G29" s="62"/>
      <c r="H29" s="75" t="s">
        <v>119</v>
      </c>
      <c r="I29" s="75" t="s">
        <v>120</v>
      </c>
      <c r="J29" s="63" t="s">
        <v>108</v>
      </c>
      <c r="K29" s="76" t="s">
        <v>88</v>
      </c>
      <c r="L29" s="54">
        <v>2</v>
      </c>
      <c r="M29" s="54" t="s">
        <v>98</v>
      </c>
      <c r="N29" s="75" t="s">
        <v>99</v>
      </c>
      <c r="O29" s="60" t="s">
        <v>21</v>
      </c>
      <c r="P29" s="59" t="s">
        <v>189</v>
      </c>
      <c r="Q29" s="59" t="s">
        <v>112</v>
      </c>
      <c r="R29" s="59" t="s">
        <v>161</v>
      </c>
      <c r="S29" s="59" t="s">
        <v>190</v>
      </c>
      <c r="T29" s="59" t="s">
        <v>23</v>
      </c>
      <c r="U29" s="59" t="s">
        <v>191</v>
      </c>
      <c r="V29" s="59" t="s">
        <v>116</v>
      </c>
      <c r="W29" s="59" t="s">
        <v>117</v>
      </c>
    </row>
    <row r="30" s="37" customFormat="1" ht="162.75" customHeight="1" spans="1:23">
      <c r="A30" s="59" t="s">
        <v>197</v>
      </c>
      <c r="B30" s="60" t="s">
        <v>198</v>
      </c>
      <c r="C30" s="60" t="s">
        <v>83</v>
      </c>
      <c r="D30" s="61" t="s">
        <v>102</v>
      </c>
      <c r="E30" s="61" t="s">
        <v>103</v>
      </c>
      <c r="F30" s="62" t="s">
        <v>199</v>
      </c>
      <c r="G30" s="62" t="s">
        <v>200</v>
      </c>
      <c r="H30" s="63" t="s">
        <v>141</v>
      </c>
      <c r="I30" s="63" t="s">
        <v>142</v>
      </c>
      <c r="J30" s="63" t="s">
        <v>97</v>
      </c>
      <c r="K30" s="63" t="s">
        <v>93</v>
      </c>
      <c r="L30" s="54">
        <v>88</v>
      </c>
      <c r="M30" s="54" t="s">
        <v>98</v>
      </c>
      <c r="N30" s="63" t="s">
        <v>90</v>
      </c>
      <c r="O30" s="60" t="s">
        <v>45</v>
      </c>
      <c r="P30" s="59" t="s">
        <v>201</v>
      </c>
      <c r="Q30" s="59" t="s">
        <v>112</v>
      </c>
      <c r="R30" s="59" t="s">
        <v>144</v>
      </c>
      <c r="S30" s="59" t="s">
        <v>145</v>
      </c>
      <c r="T30" s="59" t="s">
        <v>146</v>
      </c>
      <c r="U30" s="59" t="s">
        <v>202</v>
      </c>
      <c r="V30" s="59" t="s">
        <v>148</v>
      </c>
      <c r="W30" s="59" t="s">
        <v>149</v>
      </c>
    </row>
    <row r="31" s="37" customFormat="1" customHeight="1" spans="1:23">
      <c r="A31" s="59"/>
      <c r="B31" s="60"/>
      <c r="C31" s="60"/>
      <c r="D31" s="61"/>
      <c r="E31" s="61"/>
      <c r="F31" s="62"/>
      <c r="G31" s="62"/>
      <c r="H31" s="63" t="s">
        <v>91</v>
      </c>
      <c r="I31" s="63" t="s">
        <v>92</v>
      </c>
      <c r="J31" s="63" t="s">
        <v>87</v>
      </c>
      <c r="K31" s="71" t="s">
        <v>93</v>
      </c>
      <c r="L31" s="54">
        <v>28</v>
      </c>
      <c r="M31" s="54" t="s">
        <v>151</v>
      </c>
      <c r="N31" s="71" t="s">
        <v>110</v>
      </c>
      <c r="O31" s="60"/>
      <c r="P31" s="59"/>
      <c r="Q31" s="59"/>
      <c r="R31" s="59"/>
      <c r="S31" s="59"/>
      <c r="T31" s="59"/>
      <c r="U31" s="59"/>
      <c r="V31" s="59"/>
      <c r="W31" s="59"/>
    </row>
    <row r="32" s="37" customFormat="1" ht="15.75" spans="1:23">
      <c r="A32" s="59"/>
      <c r="B32" s="60"/>
      <c r="C32" s="60"/>
      <c r="D32" s="61"/>
      <c r="E32" s="61"/>
      <c r="F32" s="62"/>
      <c r="G32" s="62"/>
      <c r="H32" s="71" t="s">
        <v>132</v>
      </c>
      <c r="I32" s="63" t="s">
        <v>203</v>
      </c>
      <c r="J32" s="63" t="s">
        <v>108</v>
      </c>
      <c r="K32" s="71" t="s">
        <v>93</v>
      </c>
      <c r="L32" s="54">
        <v>20</v>
      </c>
      <c r="M32" s="54" t="s">
        <v>151</v>
      </c>
      <c r="N32" s="71" t="s">
        <v>99</v>
      </c>
      <c r="O32" s="60"/>
      <c r="P32" s="59"/>
      <c r="Q32" s="59"/>
      <c r="R32" s="59"/>
      <c r="S32" s="59"/>
      <c r="T32" s="59"/>
      <c r="U32" s="59"/>
      <c r="V32" s="59"/>
      <c r="W32" s="59"/>
    </row>
    <row r="33" s="37" customFormat="1" ht="15.75" spans="1:23">
      <c r="A33" s="59"/>
      <c r="B33" s="60"/>
      <c r="C33" s="60"/>
      <c r="D33" s="61"/>
      <c r="E33" s="61"/>
      <c r="F33" s="62"/>
      <c r="G33" s="62"/>
      <c r="H33" s="71" t="s">
        <v>132</v>
      </c>
      <c r="I33" s="71" t="s">
        <v>133</v>
      </c>
      <c r="J33" s="63" t="s">
        <v>108</v>
      </c>
      <c r="K33" s="71" t="s">
        <v>93</v>
      </c>
      <c r="L33" s="54">
        <v>32</v>
      </c>
      <c r="M33" s="54" t="s">
        <v>151</v>
      </c>
      <c r="N33" s="71" t="s">
        <v>110</v>
      </c>
      <c r="O33" s="60"/>
      <c r="P33" s="59"/>
      <c r="Q33" s="59"/>
      <c r="R33" s="59"/>
      <c r="S33" s="59"/>
      <c r="T33" s="59"/>
      <c r="U33" s="59"/>
      <c r="V33" s="59"/>
      <c r="W33" s="59"/>
    </row>
    <row r="34" s="37" customFormat="1" ht="15.75" customHeight="1" spans="1:23">
      <c r="A34" s="68" t="s">
        <v>204</v>
      </c>
      <c r="B34" s="65" t="s">
        <v>205</v>
      </c>
      <c r="C34" s="65" t="s">
        <v>173</v>
      </c>
      <c r="D34" s="66" t="s">
        <v>102</v>
      </c>
      <c r="E34" s="66" t="s">
        <v>154</v>
      </c>
      <c r="F34" s="72" t="s">
        <v>206</v>
      </c>
      <c r="G34" s="72" t="s">
        <v>207</v>
      </c>
      <c r="H34" s="71" t="s">
        <v>85</v>
      </c>
      <c r="I34" s="71" t="s">
        <v>183</v>
      </c>
      <c r="J34" s="63" t="s">
        <v>108</v>
      </c>
      <c r="K34" s="71" t="s">
        <v>93</v>
      </c>
      <c r="L34" s="73">
        <f>3*21</f>
        <v>63</v>
      </c>
      <c r="M34" s="73" t="s">
        <v>182</v>
      </c>
      <c r="N34" s="71" t="s">
        <v>99</v>
      </c>
      <c r="O34" s="65" t="s">
        <v>18</v>
      </c>
      <c r="P34" s="68" t="s">
        <v>160</v>
      </c>
      <c r="Q34" s="68" t="s">
        <v>112</v>
      </c>
      <c r="R34" s="68" t="s">
        <v>161</v>
      </c>
      <c r="S34" s="68" t="s">
        <v>162</v>
      </c>
      <c r="T34" s="68" t="s">
        <v>20</v>
      </c>
      <c r="U34" s="68" t="s">
        <v>208</v>
      </c>
      <c r="V34" s="68" t="s">
        <v>116</v>
      </c>
      <c r="W34" s="68" t="s">
        <v>117</v>
      </c>
    </row>
    <row r="35" s="37" customFormat="1" ht="15.75" spans="1:23">
      <c r="A35" s="68"/>
      <c r="B35" s="65"/>
      <c r="C35" s="65"/>
      <c r="D35" s="66"/>
      <c r="E35" s="66"/>
      <c r="F35" s="72"/>
      <c r="G35" s="72"/>
      <c r="H35" s="71" t="s">
        <v>85</v>
      </c>
      <c r="I35" s="71" t="s">
        <v>209</v>
      </c>
      <c r="J35" s="63" t="s">
        <v>108</v>
      </c>
      <c r="K35" s="77" t="s">
        <v>93</v>
      </c>
      <c r="L35" s="73">
        <f>2*21</f>
        <v>42</v>
      </c>
      <c r="M35" s="73" t="s">
        <v>210</v>
      </c>
      <c r="N35" s="68" t="s">
        <v>110</v>
      </c>
      <c r="O35" s="65"/>
      <c r="P35" s="68"/>
      <c r="Q35" s="68"/>
      <c r="R35" s="68"/>
      <c r="S35" s="68"/>
      <c r="T35" s="68"/>
      <c r="U35" s="68"/>
      <c r="V35" s="68"/>
      <c r="W35" s="68"/>
    </row>
    <row r="36" s="37" customFormat="1" ht="15.75" spans="1:23">
      <c r="A36" s="68"/>
      <c r="B36" s="65"/>
      <c r="C36" s="65"/>
      <c r="D36" s="66"/>
      <c r="E36" s="66"/>
      <c r="F36" s="72"/>
      <c r="G36" s="72"/>
      <c r="H36" s="71" t="s">
        <v>132</v>
      </c>
      <c r="I36" s="71" t="s">
        <v>133</v>
      </c>
      <c r="J36" s="63" t="s">
        <v>108</v>
      </c>
      <c r="K36" s="77" t="s">
        <v>93</v>
      </c>
      <c r="L36" s="73">
        <f>1*21</f>
        <v>21</v>
      </c>
      <c r="M36" s="73" t="s">
        <v>210</v>
      </c>
      <c r="N36" s="77" t="s">
        <v>90</v>
      </c>
      <c r="O36" s="65"/>
      <c r="P36" s="68"/>
      <c r="Q36" s="68"/>
      <c r="R36" s="68"/>
      <c r="S36" s="68"/>
      <c r="T36" s="68"/>
      <c r="U36" s="68"/>
      <c r="V36" s="68"/>
      <c r="W36" s="68"/>
    </row>
    <row r="37" s="37" customFormat="1" ht="15.75" spans="1:23">
      <c r="A37" s="68"/>
      <c r="B37" s="65"/>
      <c r="C37" s="65"/>
      <c r="D37" s="66"/>
      <c r="E37" s="66"/>
      <c r="F37" s="72"/>
      <c r="G37" s="72"/>
      <c r="H37" s="71" t="s">
        <v>119</v>
      </c>
      <c r="I37" s="71" t="s">
        <v>211</v>
      </c>
      <c r="J37" s="63" t="s">
        <v>108</v>
      </c>
      <c r="K37" s="77" t="s">
        <v>93</v>
      </c>
      <c r="L37" s="73">
        <f>1*21</f>
        <v>21</v>
      </c>
      <c r="M37" s="73" t="s">
        <v>182</v>
      </c>
      <c r="N37" s="68" t="s">
        <v>99</v>
      </c>
      <c r="O37" s="65"/>
      <c r="P37" s="68"/>
      <c r="Q37" s="68"/>
      <c r="R37" s="68"/>
      <c r="S37" s="68"/>
      <c r="T37" s="68"/>
      <c r="U37" s="68"/>
      <c r="V37" s="68"/>
      <c r="W37" s="68"/>
    </row>
    <row r="38" s="37" customFormat="1" ht="15.75" spans="1:23">
      <c r="A38" s="68"/>
      <c r="B38" s="65"/>
      <c r="C38" s="65"/>
      <c r="D38" s="66"/>
      <c r="E38" s="66"/>
      <c r="F38" s="72"/>
      <c r="G38" s="72"/>
      <c r="H38" s="71" t="s">
        <v>119</v>
      </c>
      <c r="I38" s="77" t="s">
        <v>212</v>
      </c>
      <c r="J38" s="63" t="s">
        <v>108</v>
      </c>
      <c r="K38" s="68" t="s">
        <v>93</v>
      </c>
      <c r="L38" s="73">
        <f>1*21</f>
        <v>21</v>
      </c>
      <c r="M38" s="73" t="s">
        <v>182</v>
      </c>
      <c r="N38" s="59" t="s">
        <v>110</v>
      </c>
      <c r="O38" s="65"/>
      <c r="P38" s="68"/>
      <c r="Q38" s="68"/>
      <c r="R38" s="68"/>
      <c r="S38" s="68"/>
      <c r="T38" s="68"/>
      <c r="U38" s="68"/>
      <c r="V38" s="68"/>
      <c r="W38" s="68"/>
    </row>
    <row r="39" s="37" customFormat="1" ht="30" spans="1:23">
      <c r="A39" s="59" t="s">
        <v>213</v>
      </c>
      <c r="B39" s="60" t="s">
        <v>214</v>
      </c>
      <c r="C39" s="60" t="s">
        <v>173</v>
      </c>
      <c r="D39" s="61" t="s">
        <v>215</v>
      </c>
      <c r="E39" s="61" t="s">
        <v>103</v>
      </c>
      <c r="F39" s="62" t="s">
        <v>216</v>
      </c>
      <c r="G39" s="62" t="s">
        <v>217</v>
      </c>
      <c r="H39" s="63" t="s">
        <v>218</v>
      </c>
      <c r="I39" s="63" t="s">
        <v>219</v>
      </c>
      <c r="J39" s="63" t="s">
        <v>108</v>
      </c>
      <c r="K39" s="63" t="s">
        <v>134</v>
      </c>
      <c r="L39" s="54">
        <v>33.6</v>
      </c>
      <c r="M39" s="54" t="s">
        <v>109</v>
      </c>
      <c r="N39" s="63" t="s">
        <v>90</v>
      </c>
      <c r="O39" s="60" t="s">
        <v>42</v>
      </c>
      <c r="P39" s="64" t="s">
        <v>220</v>
      </c>
      <c r="Q39" s="59" t="s">
        <v>112</v>
      </c>
      <c r="R39" s="59" t="s">
        <v>113</v>
      </c>
      <c r="S39" s="59" t="s">
        <v>114</v>
      </c>
      <c r="T39" s="59" t="s">
        <v>44</v>
      </c>
      <c r="U39" s="59" t="s">
        <v>221</v>
      </c>
      <c r="V39" s="59" t="s">
        <v>116</v>
      </c>
      <c r="W39" s="59" t="s">
        <v>117</v>
      </c>
    </row>
    <row r="40" s="37" customFormat="1" ht="15.75" spans="1:23">
      <c r="A40" s="59"/>
      <c r="B40" s="60"/>
      <c r="C40" s="60"/>
      <c r="D40" s="61" t="s">
        <v>215</v>
      </c>
      <c r="E40" s="61" t="s">
        <v>103</v>
      </c>
      <c r="F40" s="62"/>
      <c r="G40" s="62"/>
      <c r="H40" s="63" t="s">
        <v>157</v>
      </c>
      <c r="I40" s="63" t="s">
        <v>222</v>
      </c>
      <c r="J40" s="63" t="s">
        <v>108</v>
      </c>
      <c r="K40" s="63" t="s">
        <v>134</v>
      </c>
      <c r="L40" s="54">
        <v>25.2</v>
      </c>
      <c r="M40" s="54" t="s">
        <v>98</v>
      </c>
      <c r="N40" s="63" t="s">
        <v>99</v>
      </c>
      <c r="O40" s="60"/>
      <c r="P40" s="64"/>
      <c r="Q40" s="59"/>
      <c r="R40" s="59"/>
      <c r="S40" s="59"/>
      <c r="T40" s="59"/>
      <c r="U40" s="59"/>
      <c r="V40" s="59"/>
      <c r="W40" s="59"/>
    </row>
    <row r="41" s="37" customFormat="1" ht="15.75" spans="1:23">
      <c r="A41" s="59"/>
      <c r="B41" s="60"/>
      <c r="C41" s="60"/>
      <c r="D41" s="61" t="s">
        <v>215</v>
      </c>
      <c r="E41" s="61" t="s">
        <v>103</v>
      </c>
      <c r="F41" s="62"/>
      <c r="G41" s="62"/>
      <c r="H41" s="63" t="s">
        <v>85</v>
      </c>
      <c r="I41" s="63" t="s">
        <v>209</v>
      </c>
      <c r="J41" s="63" t="s">
        <v>108</v>
      </c>
      <c r="K41" s="63" t="s">
        <v>93</v>
      </c>
      <c r="L41" s="54">
        <v>33.6</v>
      </c>
      <c r="M41" s="54" t="s">
        <v>98</v>
      </c>
      <c r="N41" s="63" t="s">
        <v>99</v>
      </c>
      <c r="O41" s="60"/>
      <c r="P41" s="64"/>
      <c r="Q41" s="59"/>
      <c r="R41" s="59"/>
      <c r="S41" s="59"/>
      <c r="T41" s="59"/>
      <c r="U41" s="59"/>
      <c r="V41" s="59"/>
      <c r="W41" s="59"/>
    </row>
    <row r="42" s="37" customFormat="1" ht="15.75" customHeight="1" spans="1:23">
      <c r="A42" s="59"/>
      <c r="B42" s="60"/>
      <c r="C42" s="60"/>
      <c r="D42" s="61" t="s">
        <v>215</v>
      </c>
      <c r="E42" s="61" t="s">
        <v>103</v>
      </c>
      <c r="F42" s="62"/>
      <c r="G42" s="62"/>
      <c r="H42" s="63" t="s">
        <v>157</v>
      </c>
      <c r="I42" s="63" t="s">
        <v>188</v>
      </c>
      <c r="J42" s="63" t="s">
        <v>108</v>
      </c>
      <c r="K42" s="63" t="s">
        <v>134</v>
      </c>
      <c r="L42" s="54">
        <v>50.4</v>
      </c>
      <c r="M42" s="54" t="s">
        <v>98</v>
      </c>
      <c r="N42" s="63" t="s">
        <v>99</v>
      </c>
      <c r="O42" s="60"/>
      <c r="P42" s="64"/>
      <c r="Q42" s="59"/>
      <c r="R42" s="59"/>
      <c r="S42" s="59"/>
      <c r="T42" s="59"/>
      <c r="U42" s="59"/>
      <c r="V42" s="59"/>
      <c r="W42" s="59"/>
    </row>
    <row r="43" s="37" customFormat="1" ht="15.75" spans="1:23">
      <c r="A43" s="59"/>
      <c r="B43" s="60"/>
      <c r="C43" s="60"/>
      <c r="D43" s="61" t="s">
        <v>215</v>
      </c>
      <c r="E43" s="61" t="s">
        <v>103</v>
      </c>
      <c r="F43" s="62"/>
      <c r="G43" s="62"/>
      <c r="H43" s="63" t="s">
        <v>85</v>
      </c>
      <c r="I43" s="63" t="s">
        <v>183</v>
      </c>
      <c r="J43" s="63" t="s">
        <v>108</v>
      </c>
      <c r="K43" s="63" t="s">
        <v>93</v>
      </c>
      <c r="L43" s="54">
        <v>25.2</v>
      </c>
      <c r="M43" s="54" t="s">
        <v>98</v>
      </c>
      <c r="N43" s="63" t="s">
        <v>99</v>
      </c>
      <c r="O43" s="60"/>
      <c r="P43" s="64"/>
      <c r="Q43" s="59"/>
      <c r="R43" s="59"/>
      <c r="S43" s="59"/>
      <c r="T43" s="59"/>
      <c r="U43" s="59"/>
      <c r="V43" s="59"/>
      <c r="W43" s="59"/>
    </row>
    <row r="44" s="37" customFormat="1" ht="15.75" spans="1:23">
      <c r="A44" s="65" t="s">
        <v>223</v>
      </c>
      <c r="B44" s="65" t="s">
        <v>224</v>
      </c>
      <c r="C44" s="65" t="s">
        <v>83</v>
      </c>
      <c r="D44" s="66" t="s">
        <v>102</v>
      </c>
      <c r="E44" s="66" t="s">
        <v>154</v>
      </c>
      <c r="F44" s="72" t="s">
        <v>225</v>
      </c>
      <c r="G44" s="72" t="s">
        <v>226</v>
      </c>
      <c r="H44" s="71" t="s">
        <v>157</v>
      </c>
      <c r="I44" s="71" t="s">
        <v>222</v>
      </c>
      <c r="J44" s="63" t="s">
        <v>108</v>
      </c>
      <c r="K44" s="71" t="s">
        <v>134</v>
      </c>
      <c r="L44" s="73">
        <f>6*21</f>
        <v>126</v>
      </c>
      <c r="M44" s="73" t="s">
        <v>227</v>
      </c>
      <c r="N44" s="71" t="s">
        <v>110</v>
      </c>
      <c r="O44" s="65" t="s">
        <v>18</v>
      </c>
      <c r="P44" s="68" t="s">
        <v>228</v>
      </c>
      <c r="Q44" s="68" t="s">
        <v>112</v>
      </c>
      <c r="R44" s="68" t="s">
        <v>161</v>
      </c>
      <c r="S44" s="68" t="s">
        <v>162</v>
      </c>
      <c r="T44" s="68" t="s">
        <v>20</v>
      </c>
      <c r="U44" s="68" t="s">
        <v>229</v>
      </c>
      <c r="V44" s="68" t="s">
        <v>116</v>
      </c>
      <c r="W44" s="68" t="s">
        <v>117</v>
      </c>
    </row>
    <row r="45" s="37" customFormat="1" ht="15.75" spans="1:23">
      <c r="A45" s="65"/>
      <c r="B45" s="65"/>
      <c r="C45" s="65"/>
      <c r="D45" s="66"/>
      <c r="E45" s="66"/>
      <c r="F45" s="72"/>
      <c r="G45" s="72"/>
      <c r="H45" s="71" t="s">
        <v>157</v>
      </c>
      <c r="I45" s="71" t="s">
        <v>188</v>
      </c>
      <c r="J45" s="63" t="s">
        <v>108</v>
      </c>
      <c r="K45" s="71" t="s">
        <v>134</v>
      </c>
      <c r="L45" s="73">
        <f>2*21</f>
        <v>42</v>
      </c>
      <c r="M45" s="73" t="s">
        <v>227</v>
      </c>
      <c r="N45" s="71" t="s">
        <v>110</v>
      </c>
      <c r="O45" s="65"/>
      <c r="P45" s="68"/>
      <c r="Q45" s="68"/>
      <c r="R45" s="68"/>
      <c r="S45" s="68"/>
      <c r="T45" s="68"/>
      <c r="U45" s="68"/>
      <c r="V45" s="68"/>
      <c r="W45" s="68"/>
    </row>
    <row r="46" s="37" customFormat="1" ht="192.75" customHeight="1" spans="1:23">
      <c r="A46" s="59" t="s">
        <v>230</v>
      </c>
      <c r="B46" s="65" t="s">
        <v>231</v>
      </c>
      <c r="C46" s="65" t="s">
        <v>173</v>
      </c>
      <c r="D46" s="66" t="s">
        <v>102</v>
      </c>
      <c r="E46" s="78" t="s">
        <v>103</v>
      </c>
      <c r="F46" s="67" t="s">
        <v>232</v>
      </c>
      <c r="G46" s="67" t="s">
        <v>233</v>
      </c>
      <c r="H46" s="71" t="s">
        <v>132</v>
      </c>
      <c r="I46" s="71" t="s">
        <v>133</v>
      </c>
      <c r="J46" s="63" t="s">
        <v>108</v>
      </c>
      <c r="K46" s="63" t="s">
        <v>93</v>
      </c>
      <c r="L46" s="54">
        <v>68</v>
      </c>
      <c r="M46" s="54" t="s">
        <v>234</v>
      </c>
      <c r="N46" s="63" t="s">
        <v>110</v>
      </c>
      <c r="O46" s="65" t="s">
        <v>45</v>
      </c>
      <c r="P46" s="68" t="s">
        <v>235</v>
      </c>
      <c r="Q46" s="68" t="s">
        <v>112</v>
      </c>
      <c r="R46" s="68" t="s">
        <v>144</v>
      </c>
      <c r="S46" s="68" t="s">
        <v>236</v>
      </c>
      <c r="T46" s="68" t="s">
        <v>47</v>
      </c>
      <c r="U46" s="68" t="s">
        <v>237</v>
      </c>
      <c r="V46" s="68" t="s">
        <v>148</v>
      </c>
      <c r="W46" s="68" t="s">
        <v>149</v>
      </c>
    </row>
    <row r="47" s="37" customFormat="1" ht="15.75" spans="1:23">
      <c r="A47" s="59"/>
      <c r="B47" s="65"/>
      <c r="C47" s="65"/>
      <c r="D47" s="66"/>
      <c r="E47" s="66"/>
      <c r="F47" s="67"/>
      <c r="G47" s="67"/>
      <c r="H47" s="71" t="s">
        <v>132</v>
      </c>
      <c r="I47" s="63" t="s">
        <v>203</v>
      </c>
      <c r="J47" s="63" t="s">
        <v>108</v>
      </c>
      <c r="K47" s="71" t="s">
        <v>93</v>
      </c>
      <c r="L47" s="54">
        <v>28</v>
      </c>
      <c r="M47" s="54" t="s">
        <v>234</v>
      </c>
      <c r="N47" s="71" t="s">
        <v>99</v>
      </c>
      <c r="O47" s="65"/>
      <c r="P47" s="68"/>
      <c r="Q47" s="68"/>
      <c r="R47" s="68"/>
      <c r="S47" s="68"/>
      <c r="T47" s="68"/>
      <c r="U47" s="68"/>
      <c r="V47" s="68"/>
      <c r="W47" s="68"/>
    </row>
    <row r="48" s="37" customFormat="1" ht="15.75" spans="1:23">
      <c r="A48" s="59"/>
      <c r="B48" s="65"/>
      <c r="C48" s="65"/>
      <c r="D48" s="66"/>
      <c r="E48" s="66"/>
      <c r="F48" s="67"/>
      <c r="G48" s="67"/>
      <c r="H48" s="63" t="s">
        <v>141</v>
      </c>
      <c r="I48" s="63" t="s">
        <v>142</v>
      </c>
      <c r="J48" s="63" t="s">
        <v>97</v>
      </c>
      <c r="K48" s="71" t="s">
        <v>134</v>
      </c>
      <c r="L48" s="54">
        <v>50</v>
      </c>
      <c r="M48" s="54" t="s">
        <v>98</v>
      </c>
      <c r="N48" s="71" t="s">
        <v>99</v>
      </c>
      <c r="O48" s="65"/>
      <c r="P48" s="68"/>
      <c r="Q48" s="68"/>
      <c r="R48" s="68"/>
      <c r="S48" s="68"/>
      <c r="T48" s="68"/>
      <c r="U48" s="68"/>
      <c r="V48" s="68"/>
      <c r="W48" s="68"/>
    </row>
    <row r="49" s="37" customFormat="1" ht="15.75" spans="1:23">
      <c r="A49" s="59"/>
      <c r="B49" s="65"/>
      <c r="C49" s="65"/>
      <c r="D49" s="66"/>
      <c r="E49" s="66"/>
      <c r="F49" s="67"/>
      <c r="G49" s="67"/>
      <c r="H49" s="71" t="s">
        <v>85</v>
      </c>
      <c r="I49" s="71" t="s">
        <v>183</v>
      </c>
      <c r="J49" s="63" t="s">
        <v>108</v>
      </c>
      <c r="K49" s="71" t="s">
        <v>134</v>
      </c>
      <c r="L49" s="54">
        <v>22</v>
      </c>
      <c r="M49" s="54" t="s">
        <v>89</v>
      </c>
      <c r="N49" s="71" t="s">
        <v>99</v>
      </c>
      <c r="O49" s="65"/>
      <c r="P49" s="68"/>
      <c r="Q49" s="68"/>
      <c r="R49" s="68"/>
      <c r="S49" s="68"/>
      <c r="T49" s="68"/>
      <c r="U49" s="68"/>
      <c r="V49" s="68"/>
      <c r="W49" s="68"/>
    </row>
    <row r="50" s="37" customFormat="1" ht="15.75" spans="1:23">
      <c r="A50" s="59" t="s">
        <v>238</v>
      </c>
      <c r="B50" s="60" t="s">
        <v>239</v>
      </c>
      <c r="C50" s="60" t="s">
        <v>173</v>
      </c>
      <c r="D50" s="61" t="s">
        <v>215</v>
      </c>
      <c r="E50" s="79" t="s">
        <v>103</v>
      </c>
      <c r="F50" s="64" t="s">
        <v>240</v>
      </c>
      <c r="G50" s="64" t="s">
        <v>241</v>
      </c>
      <c r="H50" s="63" t="s">
        <v>85</v>
      </c>
      <c r="I50" s="63" t="s">
        <v>183</v>
      </c>
      <c r="J50" s="63" t="s">
        <v>108</v>
      </c>
      <c r="K50" s="63" t="s">
        <v>93</v>
      </c>
      <c r="L50" s="54">
        <v>63</v>
      </c>
      <c r="M50" s="54" t="s">
        <v>89</v>
      </c>
      <c r="N50" s="63" t="s">
        <v>99</v>
      </c>
      <c r="O50" s="60" t="s">
        <v>42</v>
      </c>
      <c r="P50" s="64" t="s">
        <v>127</v>
      </c>
      <c r="Q50" s="59" t="s">
        <v>112</v>
      </c>
      <c r="R50" s="59" t="s">
        <v>113</v>
      </c>
      <c r="S50" s="59" t="s">
        <v>114</v>
      </c>
      <c r="T50" s="59" t="s">
        <v>44</v>
      </c>
      <c r="U50" s="59" t="s">
        <v>242</v>
      </c>
      <c r="V50" s="59" t="s">
        <v>116</v>
      </c>
      <c r="W50" s="59" t="s">
        <v>117</v>
      </c>
    </row>
    <row r="51" s="37" customFormat="1" ht="15.75" spans="1:23">
      <c r="A51" s="59"/>
      <c r="B51" s="60"/>
      <c r="C51" s="60"/>
      <c r="D51" s="61" t="s">
        <v>215</v>
      </c>
      <c r="E51" s="79" t="s">
        <v>103</v>
      </c>
      <c r="F51" s="64"/>
      <c r="G51" s="64"/>
      <c r="H51" s="63" t="s">
        <v>119</v>
      </c>
      <c r="I51" s="63" t="s">
        <v>120</v>
      </c>
      <c r="J51" s="63" t="s">
        <v>108</v>
      </c>
      <c r="K51" s="71" t="s">
        <v>134</v>
      </c>
      <c r="L51" s="54">
        <v>63</v>
      </c>
      <c r="M51" s="54" t="s">
        <v>98</v>
      </c>
      <c r="N51" s="63" t="s">
        <v>99</v>
      </c>
      <c r="O51" s="60"/>
      <c r="P51" s="64"/>
      <c r="Q51" s="59"/>
      <c r="R51" s="59"/>
      <c r="S51" s="59"/>
      <c r="T51" s="59"/>
      <c r="U51" s="59"/>
      <c r="V51" s="59"/>
      <c r="W51" s="59"/>
    </row>
    <row r="52" s="37" customFormat="1" ht="30" spans="1:23">
      <c r="A52" s="59"/>
      <c r="B52" s="60"/>
      <c r="C52" s="60"/>
      <c r="D52" s="61" t="s">
        <v>215</v>
      </c>
      <c r="E52" s="79" t="s">
        <v>103</v>
      </c>
      <c r="F52" s="64"/>
      <c r="G52" s="64"/>
      <c r="H52" s="63" t="s">
        <v>218</v>
      </c>
      <c r="I52" s="63" t="s">
        <v>219</v>
      </c>
      <c r="J52" s="63" t="s">
        <v>108</v>
      </c>
      <c r="K52" s="63" t="s">
        <v>134</v>
      </c>
      <c r="L52" s="54">
        <v>42</v>
      </c>
      <c r="M52" s="54" t="s">
        <v>135</v>
      </c>
      <c r="N52" s="63" t="s">
        <v>90</v>
      </c>
      <c r="O52" s="60"/>
      <c r="P52" s="64"/>
      <c r="Q52" s="59"/>
      <c r="R52" s="59"/>
      <c r="S52" s="59"/>
      <c r="T52" s="59"/>
      <c r="U52" s="59"/>
      <c r="V52" s="59"/>
      <c r="W52" s="59"/>
    </row>
    <row r="53" s="37" customFormat="1" ht="15.75" spans="1:23">
      <c r="A53" s="59" t="s">
        <v>243</v>
      </c>
      <c r="B53" s="60" t="s">
        <v>244</v>
      </c>
      <c r="C53" s="60" t="s">
        <v>173</v>
      </c>
      <c r="D53" s="61" t="s">
        <v>215</v>
      </c>
      <c r="E53" s="61" t="s">
        <v>154</v>
      </c>
      <c r="F53" s="64" t="s">
        <v>245</v>
      </c>
      <c r="G53" s="64" t="s">
        <v>246</v>
      </c>
      <c r="H53" s="63" t="s">
        <v>106</v>
      </c>
      <c r="I53" s="63" t="s">
        <v>107</v>
      </c>
      <c r="J53" s="63" t="s">
        <v>108</v>
      </c>
      <c r="K53" s="63" t="s">
        <v>93</v>
      </c>
      <c r="L53" s="54">
        <v>128</v>
      </c>
      <c r="M53" s="54" t="s">
        <v>247</v>
      </c>
      <c r="N53" s="63" t="s">
        <v>99</v>
      </c>
      <c r="O53" s="60" t="s">
        <v>42</v>
      </c>
      <c r="P53" s="64" t="s">
        <v>111</v>
      </c>
      <c r="Q53" s="59" t="s">
        <v>112</v>
      </c>
      <c r="R53" s="59" t="s">
        <v>113</v>
      </c>
      <c r="S53" s="59" t="s">
        <v>114</v>
      </c>
      <c r="T53" s="59" t="s">
        <v>44</v>
      </c>
      <c r="U53" s="59" t="s">
        <v>248</v>
      </c>
      <c r="V53" s="59" t="s">
        <v>116</v>
      </c>
      <c r="W53" s="59" t="s">
        <v>117</v>
      </c>
    </row>
    <row r="54" s="37" customFormat="1" ht="15.75" customHeight="1" spans="1:23">
      <c r="A54" s="59"/>
      <c r="B54" s="60"/>
      <c r="C54" s="60"/>
      <c r="D54" s="61" t="s">
        <v>215</v>
      </c>
      <c r="E54" s="61" t="s">
        <v>154</v>
      </c>
      <c r="F54" s="64"/>
      <c r="G54" s="64"/>
      <c r="H54" s="63" t="s">
        <v>106</v>
      </c>
      <c r="I54" s="63" t="s">
        <v>249</v>
      </c>
      <c r="J54" s="63" t="s">
        <v>108</v>
      </c>
      <c r="K54" s="63" t="s">
        <v>134</v>
      </c>
      <c r="L54" s="54">
        <v>40</v>
      </c>
      <c r="M54" s="54" t="s">
        <v>98</v>
      </c>
      <c r="N54" s="63" t="s">
        <v>110</v>
      </c>
      <c r="O54" s="60"/>
      <c r="P54" s="64"/>
      <c r="Q54" s="59"/>
      <c r="R54" s="59"/>
      <c r="S54" s="59"/>
      <c r="T54" s="59"/>
      <c r="U54" s="59"/>
      <c r="V54" s="59"/>
      <c r="W54" s="59"/>
    </row>
    <row r="55" s="37" customFormat="1" ht="15.75" spans="1:23">
      <c r="A55" s="68" t="s">
        <v>250</v>
      </c>
      <c r="B55" s="65" t="s">
        <v>251</v>
      </c>
      <c r="C55" s="65" t="s">
        <v>83</v>
      </c>
      <c r="D55" s="66" t="s">
        <v>102</v>
      </c>
      <c r="E55" s="66" t="s">
        <v>103</v>
      </c>
      <c r="F55" s="72" t="s">
        <v>252</v>
      </c>
      <c r="G55" s="72" t="s">
        <v>253</v>
      </c>
      <c r="H55" s="71" t="s">
        <v>254</v>
      </c>
      <c r="I55" s="71" t="s">
        <v>255</v>
      </c>
      <c r="J55" s="63" t="s">
        <v>108</v>
      </c>
      <c r="K55" s="71" t="s">
        <v>93</v>
      </c>
      <c r="L55" s="54">
        <v>84</v>
      </c>
      <c r="M55" s="54" t="s">
        <v>256</v>
      </c>
      <c r="N55" s="71" t="s">
        <v>90</v>
      </c>
      <c r="O55" s="65" t="s">
        <v>27</v>
      </c>
      <c r="P55" s="72" t="s">
        <v>257</v>
      </c>
      <c r="Q55" s="68" t="s">
        <v>112</v>
      </c>
      <c r="R55" s="68" t="s">
        <v>128</v>
      </c>
      <c r="S55" s="68" t="s">
        <v>258</v>
      </c>
      <c r="T55" s="68" t="s">
        <v>259</v>
      </c>
      <c r="U55" s="68" t="s">
        <v>260</v>
      </c>
      <c r="V55" s="68" t="s">
        <v>261</v>
      </c>
      <c r="W55" s="68" t="s">
        <v>262</v>
      </c>
    </row>
    <row r="56" s="37" customFormat="1" customHeight="1" spans="1:23">
      <c r="A56" s="68"/>
      <c r="B56" s="65"/>
      <c r="C56" s="65"/>
      <c r="D56" s="66"/>
      <c r="E56" s="66"/>
      <c r="F56" s="72"/>
      <c r="G56" s="72"/>
      <c r="H56" s="63" t="s">
        <v>91</v>
      </c>
      <c r="I56" s="63" t="s">
        <v>92</v>
      </c>
      <c r="J56" s="63" t="s">
        <v>87</v>
      </c>
      <c r="K56" s="63" t="s">
        <v>93</v>
      </c>
      <c r="L56" s="54">
        <v>84</v>
      </c>
      <c r="M56" s="54" t="s">
        <v>256</v>
      </c>
      <c r="N56" s="63" t="s">
        <v>90</v>
      </c>
      <c r="O56" s="65"/>
      <c r="P56" s="72"/>
      <c r="Q56" s="68"/>
      <c r="R56" s="68"/>
      <c r="S56" s="68"/>
      <c r="T56" s="68"/>
      <c r="U56" s="68"/>
      <c r="V56" s="68"/>
      <c r="W56" s="68"/>
    </row>
    <row r="57" s="37" customFormat="1" customHeight="1" spans="1:23">
      <c r="A57" s="65" t="s">
        <v>263</v>
      </c>
      <c r="B57" s="65" t="s">
        <v>264</v>
      </c>
      <c r="C57" s="65" t="s">
        <v>173</v>
      </c>
      <c r="D57" s="66" t="s">
        <v>102</v>
      </c>
      <c r="E57" s="66" t="s">
        <v>103</v>
      </c>
      <c r="F57" s="67" t="s">
        <v>265</v>
      </c>
      <c r="G57" s="80" t="s">
        <v>266</v>
      </c>
      <c r="H57" s="63" t="s">
        <v>85</v>
      </c>
      <c r="I57" s="63" t="s">
        <v>267</v>
      </c>
      <c r="J57" s="63" t="s">
        <v>87</v>
      </c>
      <c r="K57" s="63" t="s">
        <v>93</v>
      </c>
      <c r="L57" s="54">
        <v>20</v>
      </c>
      <c r="M57" s="54" t="s">
        <v>89</v>
      </c>
      <c r="N57" s="63" t="s">
        <v>110</v>
      </c>
      <c r="O57" s="65" t="s">
        <v>42</v>
      </c>
      <c r="P57" s="81" t="s">
        <v>268</v>
      </c>
      <c r="Q57" s="65" t="s">
        <v>112</v>
      </c>
      <c r="R57" s="65" t="s">
        <v>113</v>
      </c>
      <c r="S57" s="65" t="s">
        <v>114</v>
      </c>
      <c r="T57" s="65" t="s">
        <v>44</v>
      </c>
      <c r="U57" s="65" t="s">
        <v>269</v>
      </c>
      <c r="V57" s="65" t="s">
        <v>116</v>
      </c>
      <c r="W57" s="65" t="s">
        <v>117</v>
      </c>
    </row>
    <row r="58" s="37" customFormat="1" ht="15.75" spans="1:23">
      <c r="A58" s="65"/>
      <c r="B58" s="65"/>
      <c r="C58" s="65"/>
      <c r="D58" s="66" t="s">
        <v>102</v>
      </c>
      <c r="E58" s="66" t="s">
        <v>103</v>
      </c>
      <c r="F58" s="67"/>
      <c r="G58" s="80"/>
      <c r="H58" s="63" t="s">
        <v>119</v>
      </c>
      <c r="I58" s="63" t="s">
        <v>120</v>
      </c>
      <c r="J58" s="63" t="s">
        <v>108</v>
      </c>
      <c r="K58" s="63" t="s">
        <v>134</v>
      </c>
      <c r="L58" s="54">
        <v>10</v>
      </c>
      <c r="M58" s="54" t="s">
        <v>98</v>
      </c>
      <c r="N58" s="63" t="s">
        <v>99</v>
      </c>
      <c r="O58" s="65"/>
      <c r="P58" s="81"/>
      <c r="Q58" s="65"/>
      <c r="R58" s="65"/>
      <c r="S58" s="65"/>
      <c r="T58" s="65"/>
      <c r="U58" s="65"/>
      <c r="V58" s="65"/>
      <c r="W58" s="65"/>
    </row>
    <row r="59" s="37" customFormat="1" ht="82.5" customHeight="1" spans="1:23">
      <c r="A59" s="65"/>
      <c r="B59" s="65"/>
      <c r="C59" s="65"/>
      <c r="D59" s="66" t="s">
        <v>102</v>
      </c>
      <c r="E59" s="66" t="s">
        <v>103</v>
      </c>
      <c r="F59" s="67"/>
      <c r="G59" s="80"/>
      <c r="H59" s="63" t="s">
        <v>218</v>
      </c>
      <c r="I59" s="63" t="s">
        <v>219</v>
      </c>
      <c r="J59" s="63" t="s">
        <v>108</v>
      </c>
      <c r="K59" s="63" t="s">
        <v>93</v>
      </c>
      <c r="L59" s="54">
        <v>100</v>
      </c>
      <c r="M59" s="54" t="s">
        <v>247</v>
      </c>
      <c r="N59" s="63" t="s">
        <v>99</v>
      </c>
      <c r="O59" s="65"/>
      <c r="P59" s="81"/>
      <c r="Q59" s="65"/>
      <c r="R59" s="65"/>
      <c r="S59" s="65"/>
      <c r="T59" s="65"/>
      <c r="U59" s="65"/>
      <c r="V59" s="65"/>
      <c r="W59" s="65"/>
    </row>
    <row r="60" s="37" customFormat="1" ht="82.5" customHeight="1" spans="1:23">
      <c r="A60" s="65"/>
      <c r="B60" s="65"/>
      <c r="C60" s="65"/>
      <c r="D60" s="66" t="s">
        <v>102</v>
      </c>
      <c r="E60" s="66" t="s">
        <v>103</v>
      </c>
      <c r="F60" s="67"/>
      <c r="G60" s="80"/>
      <c r="H60" s="82" t="s">
        <v>157</v>
      </c>
      <c r="I60" s="82" t="s">
        <v>222</v>
      </c>
      <c r="J60" s="63" t="s">
        <v>108</v>
      </c>
      <c r="K60" s="63" t="s">
        <v>88</v>
      </c>
      <c r="L60" s="54">
        <v>38</v>
      </c>
      <c r="M60" s="54" t="s">
        <v>98</v>
      </c>
      <c r="N60" s="63" t="s">
        <v>99</v>
      </c>
      <c r="O60" s="65"/>
      <c r="P60" s="81"/>
      <c r="Q60" s="65"/>
      <c r="R60" s="65"/>
      <c r="S60" s="65"/>
      <c r="T60" s="65"/>
      <c r="U60" s="65"/>
      <c r="V60" s="65"/>
      <c r="W60" s="65"/>
    </row>
    <row r="61" s="37" customFormat="1" customHeight="1" spans="1:23">
      <c r="A61" s="59" t="s">
        <v>270</v>
      </c>
      <c r="B61" s="60" t="s">
        <v>271</v>
      </c>
      <c r="C61" s="60" t="s">
        <v>173</v>
      </c>
      <c r="D61" s="61"/>
      <c r="E61" s="61"/>
      <c r="F61" s="64" t="s">
        <v>272</v>
      </c>
      <c r="G61" s="64" t="s">
        <v>273</v>
      </c>
      <c r="H61" s="63" t="s">
        <v>85</v>
      </c>
      <c r="I61" s="63" t="s">
        <v>86</v>
      </c>
      <c r="J61" s="63" t="s">
        <v>87</v>
      </c>
      <c r="K61" s="63" t="s">
        <v>93</v>
      </c>
      <c r="L61" s="54">
        <v>3</v>
      </c>
      <c r="M61" s="54" t="s">
        <v>274</v>
      </c>
      <c r="N61" s="63" t="s">
        <v>110</v>
      </c>
      <c r="O61" s="60" t="s">
        <v>24</v>
      </c>
      <c r="P61" s="59" t="s">
        <v>275</v>
      </c>
      <c r="Q61" s="59" t="s">
        <v>112</v>
      </c>
      <c r="R61" s="59" t="s">
        <v>276</v>
      </c>
      <c r="S61" s="59" t="s">
        <v>277</v>
      </c>
      <c r="T61" s="59" t="s">
        <v>26</v>
      </c>
      <c r="U61" s="59" t="s">
        <v>278</v>
      </c>
      <c r="V61" s="59" t="s">
        <v>116</v>
      </c>
      <c r="W61" s="59" t="s">
        <v>117</v>
      </c>
    </row>
    <row r="62" s="37" customFormat="1" customHeight="1" spans="1:23">
      <c r="A62" s="59"/>
      <c r="B62" s="60"/>
      <c r="C62" s="60"/>
      <c r="D62" s="61"/>
      <c r="E62" s="61"/>
      <c r="F62" s="64"/>
      <c r="G62" s="64"/>
      <c r="H62" s="63" t="s">
        <v>85</v>
      </c>
      <c r="I62" s="63" t="s">
        <v>267</v>
      </c>
      <c r="J62" s="63" t="s">
        <v>87</v>
      </c>
      <c r="K62" s="63" t="s">
        <v>93</v>
      </c>
      <c r="L62" s="54">
        <v>1</v>
      </c>
      <c r="M62" s="54" t="s">
        <v>274</v>
      </c>
      <c r="N62" s="63" t="s">
        <v>110</v>
      </c>
      <c r="O62" s="60"/>
      <c r="P62" s="59"/>
      <c r="Q62" s="59"/>
      <c r="R62" s="59"/>
      <c r="S62" s="59"/>
      <c r="T62" s="59"/>
      <c r="U62" s="59"/>
      <c r="V62" s="59"/>
      <c r="W62" s="59"/>
    </row>
    <row r="63" s="37" customFormat="1" ht="15.75" spans="1:23">
      <c r="A63" s="59"/>
      <c r="B63" s="60"/>
      <c r="C63" s="60"/>
      <c r="D63" s="61"/>
      <c r="E63" s="61"/>
      <c r="F63" s="64"/>
      <c r="G63" s="64"/>
      <c r="H63" s="63" t="s">
        <v>85</v>
      </c>
      <c r="I63" s="63" t="s">
        <v>209</v>
      </c>
      <c r="J63" s="63" t="s">
        <v>108</v>
      </c>
      <c r="K63" s="63" t="s">
        <v>134</v>
      </c>
      <c r="L63" s="54">
        <v>7</v>
      </c>
      <c r="M63" s="54" t="s">
        <v>279</v>
      </c>
      <c r="N63" s="63" t="s">
        <v>110</v>
      </c>
      <c r="O63" s="60"/>
      <c r="P63" s="59"/>
      <c r="Q63" s="59"/>
      <c r="R63" s="59"/>
      <c r="S63" s="59"/>
      <c r="T63" s="59"/>
      <c r="U63" s="59"/>
      <c r="V63" s="59"/>
      <c r="W63" s="59"/>
    </row>
    <row r="64" s="37" customFormat="1" ht="15.75" customHeight="1" spans="1:23">
      <c r="A64" s="59"/>
      <c r="B64" s="60"/>
      <c r="C64" s="60"/>
      <c r="D64" s="61"/>
      <c r="E64" s="61"/>
      <c r="F64" s="64"/>
      <c r="G64" s="64"/>
      <c r="H64" s="71" t="s">
        <v>91</v>
      </c>
      <c r="I64" s="71" t="s">
        <v>209</v>
      </c>
      <c r="J64" s="63" t="s">
        <v>108</v>
      </c>
      <c r="K64" s="71" t="s">
        <v>88</v>
      </c>
      <c r="L64" s="54">
        <v>10</v>
      </c>
      <c r="M64" s="54" t="s">
        <v>279</v>
      </c>
      <c r="N64" s="63" t="s">
        <v>110</v>
      </c>
      <c r="O64" s="60"/>
      <c r="P64" s="59"/>
      <c r="Q64" s="59"/>
      <c r="R64" s="59"/>
      <c r="S64" s="59"/>
      <c r="T64" s="59"/>
      <c r="U64" s="59"/>
      <c r="V64" s="59"/>
      <c r="W64" s="59"/>
    </row>
    <row r="65" s="37" customFormat="1" ht="15.75" spans="1:23">
      <c r="A65" s="59"/>
      <c r="B65" s="60"/>
      <c r="C65" s="60"/>
      <c r="D65" s="61"/>
      <c r="E65" s="61"/>
      <c r="F65" s="64"/>
      <c r="G65" s="64"/>
      <c r="H65" s="71" t="s">
        <v>91</v>
      </c>
      <c r="I65" s="71" t="s">
        <v>183</v>
      </c>
      <c r="J65" s="63" t="s">
        <v>108</v>
      </c>
      <c r="K65" s="71" t="s">
        <v>134</v>
      </c>
      <c r="L65" s="54">
        <v>10</v>
      </c>
      <c r="M65" s="54" t="s">
        <v>280</v>
      </c>
      <c r="N65" s="63" t="s">
        <v>110</v>
      </c>
      <c r="O65" s="60"/>
      <c r="P65" s="59"/>
      <c r="Q65" s="59"/>
      <c r="R65" s="59"/>
      <c r="S65" s="59"/>
      <c r="T65" s="59"/>
      <c r="U65" s="59"/>
      <c r="V65" s="59"/>
      <c r="W65" s="59"/>
    </row>
    <row r="66" s="37" customFormat="1" ht="15.75" customHeight="1" spans="1:23">
      <c r="A66" s="59"/>
      <c r="B66" s="60"/>
      <c r="C66" s="60"/>
      <c r="D66" s="61"/>
      <c r="E66" s="61"/>
      <c r="F66" s="64"/>
      <c r="G66" s="64"/>
      <c r="H66" s="71" t="s">
        <v>132</v>
      </c>
      <c r="I66" s="71" t="s">
        <v>133</v>
      </c>
      <c r="J66" s="63" t="s">
        <v>108</v>
      </c>
      <c r="K66" s="71" t="s">
        <v>134</v>
      </c>
      <c r="L66" s="54">
        <v>3</v>
      </c>
      <c r="M66" s="54" t="s">
        <v>280</v>
      </c>
      <c r="N66" s="63" t="s">
        <v>110</v>
      </c>
      <c r="O66" s="60"/>
      <c r="P66" s="59"/>
      <c r="Q66" s="59"/>
      <c r="R66" s="59"/>
      <c r="S66" s="59"/>
      <c r="T66" s="59"/>
      <c r="U66" s="59"/>
      <c r="V66" s="59"/>
      <c r="W66" s="59"/>
    </row>
    <row r="67" s="37" customFormat="1" customHeight="1" spans="1:23">
      <c r="A67" s="59"/>
      <c r="B67" s="60"/>
      <c r="C67" s="60"/>
      <c r="D67" s="61"/>
      <c r="E67" s="61"/>
      <c r="F67" s="64"/>
      <c r="G67" s="64"/>
      <c r="H67" s="71" t="s">
        <v>106</v>
      </c>
      <c r="I67" s="71" t="s">
        <v>281</v>
      </c>
      <c r="J67" s="63" t="s">
        <v>87</v>
      </c>
      <c r="K67" s="71" t="s">
        <v>93</v>
      </c>
      <c r="L67" s="54">
        <v>2</v>
      </c>
      <c r="M67" s="54" t="s">
        <v>282</v>
      </c>
      <c r="N67" s="71" t="s">
        <v>110</v>
      </c>
      <c r="O67" s="60"/>
      <c r="P67" s="59"/>
      <c r="Q67" s="59"/>
      <c r="R67" s="59"/>
      <c r="S67" s="59"/>
      <c r="T67" s="59"/>
      <c r="U67" s="59"/>
      <c r="V67" s="59"/>
      <c r="W67" s="59"/>
    </row>
    <row r="68" s="37" customFormat="1" ht="15.75" spans="1:23">
      <c r="A68" s="59"/>
      <c r="B68" s="60"/>
      <c r="C68" s="60"/>
      <c r="D68" s="61"/>
      <c r="E68" s="61"/>
      <c r="F68" s="64"/>
      <c r="G68" s="64"/>
      <c r="H68" s="71" t="s">
        <v>106</v>
      </c>
      <c r="I68" s="75" t="s">
        <v>107</v>
      </c>
      <c r="J68" s="63" t="s">
        <v>108</v>
      </c>
      <c r="K68" s="75" t="s">
        <v>93</v>
      </c>
      <c r="L68" s="54">
        <v>7</v>
      </c>
      <c r="M68" s="54" t="s">
        <v>282</v>
      </c>
      <c r="N68" s="75" t="s">
        <v>110</v>
      </c>
      <c r="O68" s="60"/>
      <c r="P68" s="59"/>
      <c r="Q68" s="59"/>
      <c r="R68" s="59"/>
      <c r="S68" s="59"/>
      <c r="T68" s="59"/>
      <c r="U68" s="59"/>
      <c r="V68" s="59"/>
      <c r="W68" s="59"/>
    </row>
    <row r="69" s="37" customFormat="1" ht="15.75" spans="1:23">
      <c r="A69" s="59"/>
      <c r="B69" s="60"/>
      <c r="C69" s="60"/>
      <c r="D69" s="61"/>
      <c r="E69" s="61"/>
      <c r="F69" s="64"/>
      <c r="G69" s="64"/>
      <c r="H69" s="71" t="s">
        <v>106</v>
      </c>
      <c r="I69" s="75" t="s">
        <v>170</v>
      </c>
      <c r="J69" s="63" t="s">
        <v>108</v>
      </c>
      <c r="K69" s="75" t="s">
        <v>134</v>
      </c>
      <c r="L69" s="54">
        <v>7</v>
      </c>
      <c r="M69" s="54" t="s">
        <v>282</v>
      </c>
      <c r="N69" s="75" t="s">
        <v>110</v>
      </c>
      <c r="O69" s="60"/>
      <c r="P69" s="59"/>
      <c r="Q69" s="59"/>
      <c r="R69" s="59"/>
      <c r="S69" s="59"/>
      <c r="T69" s="59"/>
      <c r="U69" s="59"/>
      <c r="V69" s="59"/>
      <c r="W69" s="59"/>
    </row>
    <row r="70" s="37" customFormat="1" ht="15.75" customHeight="1" spans="1:23">
      <c r="A70" s="59"/>
      <c r="B70" s="60"/>
      <c r="C70" s="60"/>
      <c r="D70" s="61"/>
      <c r="E70" s="61"/>
      <c r="F70" s="64"/>
      <c r="G70" s="64"/>
      <c r="H70" s="71" t="s">
        <v>106</v>
      </c>
      <c r="I70" s="75" t="s">
        <v>166</v>
      </c>
      <c r="J70" s="63" t="s">
        <v>108</v>
      </c>
      <c r="K70" s="75" t="s">
        <v>88</v>
      </c>
      <c r="L70" s="54">
        <v>10</v>
      </c>
      <c r="M70" s="54" t="s">
        <v>282</v>
      </c>
      <c r="N70" s="75" t="s">
        <v>110</v>
      </c>
      <c r="O70" s="60"/>
      <c r="P70" s="59"/>
      <c r="Q70" s="59"/>
      <c r="R70" s="59"/>
      <c r="S70" s="59"/>
      <c r="T70" s="59"/>
      <c r="U70" s="59"/>
      <c r="V70" s="59"/>
      <c r="W70" s="59"/>
    </row>
    <row r="71" s="37" customFormat="1" ht="15.75" spans="1:23">
      <c r="A71" s="59"/>
      <c r="B71" s="60"/>
      <c r="C71" s="60"/>
      <c r="D71" s="61"/>
      <c r="E71" s="61"/>
      <c r="F71" s="64"/>
      <c r="G71" s="64"/>
      <c r="H71" s="71" t="s">
        <v>106</v>
      </c>
      <c r="I71" s="75" t="s">
        <v>283</v>
      </c>
      <c r="J71" s="63" t="s">
        <v>108</v>
      </c>
      <c r="K71" s="75" t="s">
        <v>134</v>
      </c>
      <c r="L71" s="54">
        <v>10</v>
      </c>
      <c r="M71" s="54" t="s">
        <v>282</v>
      </c>
      <c r="N71" s="75" t="s">
        <v>110</v>
      </c>
      <c r="O71" s="60"/>
      <c r="P71" s="59"/>
      <c r="Q71" s="59"/>
      <c r="R71" s="59"/>
      <c r="S71" s="59"/>
      <c r="T71" s="59"/>
      <c r="U71" s="59"/>
      <c r="V71" s="59"/>
      <c r="W71" s="59"/>
    </row>
    <row r="72" s="37" customFormat="1" customHeight="1" spans="1:23">
      <c r="A72" s="59"/>
      <c r="B72" s="60"/>
      <c r="C72" s="60"/>
      <c r="D72" s="61"/>
      <c r="E72" s="61"/>
      <c r="F72" s="64"/>
      <c r="G72" s="64"/>
      <c r="H72" s="71" t="s">
        <v>106</v>
      </c>
      <c r="I72" s="75" t="s">
        <v>249</v>
      </c>
      <c r="J72" s="63" t="s">
        <v>87</v>
      </c>
      <c r="K72" s="75" t="s">
        <v>93</v>
      </c>
      <c r="L72" s="54">
        <v>7</v>
      </c>
      <c r="M72" s="54" t="s">
        <v>282</v>
      </c>
      <c r="N72" s="75" t="s">
        <v>110</v>
      </c>
      <c r="O72" s="60"/>
      <c r="P72" s="59"/>
      <c r="Q72" s="59"/>
      <c r="R72" s="59"/>
      <c r="S72" s="59"/>
      <c r="T72" s="59"/>
      <c r="U72" s="59"/>
      <c r="V72" s="59"/>
      <c r="W72" s="59"/>
    </row>
    <row r="73" s="37" customFormat="1" ht="15.75" spans="1:23">
      <c r="A73" s="59"/>
      <c r="B73" s="60"/>
      <c r="C73" s="60"/>
      <c r="D73" s="61"/>
      <c r="E73" s="61"/>
      <c r="F73" s="64"/>
      <c r="G73" s="64"/>
      <c r="H73" s="71" t="s">
        <v>106</v>
      </c>
      <c r="I73" s="75" t="s">
        <v>284</v>
      </c>
      <c r="J73" s="63" t="s">
        <v>108</v>
      </c>
      <c r="K73" s="75" t="s">
        <v>88</v>
      </c>
      <c r="L73" s="54">
        <v>10</v>
      </c>
      <c r="M73" s="54" t="s">
        <v>282</v>
      </c>
      <c r="N73" s="75" t="s">
        <v>110</v>
      </c>
      <c r="O73" s="60"/>
      <c r="P73" s="59"/>
      <c r="Q73" s="59"/>
      <c r="R73" s="59"/>
      <c r="S73" s="59"/>
      <c r="T73" s="59"/>
      <c r="U73" s="59"/>
      <c r="V73" s="59"/>
      <c r="W73" s="59"/>
    </row>
    <row r="74" s="37" customFormat="1" ht="15.75" spans="1:23">
      <c r="A74" s="59"/>
      <c r="B74" s="60"/>
      <c r="C74" s="60"/>
      <c r="D74" s="61"/>
      <c r="E74" s="61"/>
      <c r="F74" s="64"/>
      <c r="G74" s="64"/>
      <c r="H74" s="71" t="s">
        <v>119</v>
      </c>
      <c r="I74" s="75" t="s">
        <v>120</v>
      </c>
      <c r="J74" s="63" t="s">
        <v>108</v>
      </c>
      <c r="K74" s="75" t="s">
        <v>93</v>
      </c>
      <c r="L74" s="54">
        <v>21</v>
      </c>
      <c r="M74" s="54" t="s">
        <v>282</v>
      </c>
      <c r="N74" s="75" t="s">
        <v>99</v>
      </c>
      <c r="O74" s="60"/>
      <c r="P74" s="59"/>
      <c r="Q74" s="59"/>
      <c r="R74" s="59"/>
      <c r="S74" s="59"/>
      <c r="T74" s="59"/>
      <c r="U74" s="59"/>
      <c r="V74" s="59"/>
      <c r="W74" s="59"/>
    </row>
    <row r="75" s="37" customFormat="1" ht="15.75" spans="1:23">
      <c r="A75" s="59"/>
      <c r="B75" s="60"/>
      <c r="C75" s="60"/>
      <c r="D75" s="61"/>
      <c r="E75" s="61"/>
      <c r="F75" s="64"/>
      <c r="G75" s="64"/>
      <c r="H75" s="71" t="s">
        <v>119</v>
      </c>
      <c r="I75" s="75" t="s">
        <v>183</v>
      </c>
      <c r="J75" s="63" t="s">
        <v>108</v>
      </c>
      <c r="K75" s="75" t="s">
        <v>93</v>
      </c>
      <c r="L75" s="54">
        <v>21</v>
      </c>
      <c r="M75" s="54" t="s">
        <v>98</v>
      </c>
      <c r="N75" s="75" t="s">
        <v>99</v>
      </c>
      <c r="O75" s="60"/>
      <c r="P75" s="59"/>
      <c r="Q75" s="59"/>
      <c r="R75" s="59"/>
      <c r="S75" s="59"/>
      <c r="T75" s="59"/>
      <c r="U75" s="59"/>
      <c r="V75" s="59"/>
      <c r="W75" s="59"/>
    </row>
    <row r="76" s="37" customFormat="1" ht="15.75" customHeight="1" spans="1:23">
      <c r="A76" s="59"/>
      <c r="B76" s="60"/>
      <c r="C76" s="60"/>
      <c r="D76" s="61"/>
      <c r="E76" s="61"/>
      <c r="F76" s="64"/>
      <c r="G76" s="64"/>
      <c r="H76" s="71" t="s">
        <v>95</v>
      </c>
      <c r="I76" s="71" t="s">
        <v>285</v>
      </c>
      <c r="J76" s="63" t="s">
        <v>108</v>
      </c>
      <c r="K76" s="71" t="s">
        <v>134</v>
      </c>
      <c r="L76" s="54">
        <v>21</v>
      </c>
      <c r="M76" s="54" t="s">
        <v>98</v>
      </c>
      <c r="N76" s="63" t="s">
        <v>110</v>
      </c>
      <c r="O76" s="60"/>
      <c r="P76" s="59"/>
      <c r="Q76" s="59"/>
      <c r="R76" s="59"/>
      <c r="S76" s="59"/>
      <c r="T76" s="59"/>
      <c r="U76" s="59"/>
      <c r="V76" s="59"/>
      <c r="W76" s="59"/>
    </row>
    <row r="77" s="37" customFormat="1" ht="15.75" spans="1:23">
      <c r="A77" s="59"/>
      <c r="B77" s="60"/>
      <c r="C77" s="60"/>
      <c r="D77" s="61"/>
      <c r="E77" s="61"/>
      <c r="F77" s="64"/>
      <c r="G77" s="64"/>
      <c r="H77" s="71" t="s">
        <v>254</v>
      </c>
      <c r="I77" s="71" t="s">
        <v>255</v>
      </c>
      <c r="J77" s="63" t="s">
        <v>108</v>
      </c>
      <c r="K77" s="71" t="s">
        <v>134</v>
      </c>
      <c r="L77" s="54">
        <v>10</v>
      </c>
      <c r="M77" s="54" t="s">
        <v>282</v>
      </c>
      <c r="N77" s="63" t="s">
        <v>99</v>
      </c>
      <c r="O77" s="60"/>
      <c r="P77" s="59"/>
      <c r="Q77" s="59"/>
      <c r="R77" s="59"/>
      <c r="S77" s="59"/>
      <c r="T77" s="59"/>
      <c r="U77" s="59"/>
      <c r="V77" s="59"/>
      <c r="W77" s="59"/>
    </row>
    <row r="78" s="37" customFormat="1" customHeight="1" spans="1:23">
      <c r="A78" s="59"/>
      <c r="B78" s="60"/>
      <c r="C78" s="60"/>
      <c r="D78" s="61"/>
      <c r="E78" s="61"/>
      <c r="F78" s="64"/>
      <c r="G78" s="64"/>
      <c r="H78" s="71" t="s">
        <v>254</v>
      </c>
      <c r="I78" s="71" t="s">
        <v>286</v>
      </c>
      <c r="J78" s="63" t="s">
        <v>87</v>
      </c>
      <c r="K78" s="71" t="s">
        <v>134</v>
      </c>
      <c r="L78" s="54">
        <v>8</v>
      </c>
      <c r="M78" s="54" t="s">
        <v>282</v>
      </c>
      <c r="N78" s="63" t="s">
        <v>99</v>
      </c>
      <c r="O78" s="60"/>
      <c r="P78" s="59"/>
      <c r="Q78" s="59"/>
      <c r="R78" s="59"/>
      <c r="S78" s="59"/>
      <c r="T78" s="59"/>
      <c r="U78" s="59"/>
      <c r="V78" s="59"/>
      <c r="W78" s="59"/>
    </row>
    <row r="79" s="37" customFormat="1" ht="15.75" spans="1:23">
      <c r="A79" s="59" t="s">
        <v>287</v>
      </c>
      <c r="B79" s="60" t="s">
        <v>288</v>
      </c>
      <c r="C79" s="60" t="s">
        <v>83</v>
      </c>
      <c r="D79" s="61" t="s">
        <v>102</v>
      </c>
      <c r="E79" s="61" t="s">
        <v>103</v>
      </c>
      <c r="F79" s="62" t="s">
        <v>289</v>
      </c>
      <c r="G79" s="62" t="s">
        <v>290</v>
      </c>
      <c r="H79" s="75" t="s">
        <v>218</v>
      </c>
      <c r="I79" s="75" t="s">
        <v>291</v>
      </c>
      <c r="J79" s="63" t="s">
        <v>108</v>
      </c>
      <c r="K79" s="76" t="s">
        <v>93</v>
      </c>
      <c r="L79" s="54">
        <v>30</v>
      </c>
      <c r="M79" s="54" t="s">
        <v>292</v>
      </c>
      <c r="N79" s="75" t="s">
        <v>90</v>
      </c>
      <c r="O79" s="60" t="s">
        <v>21</v>
      </c>
      <c r="P79" s="59" t="s">
        <v>189</v>
      </c>
      <c r="Q79" s="59" t="s">
        <v>112</v>
      </c>
      <c r="R79" s="59" t="s">
        <v>161</v>
      </c>
      <c r="S79" s="59" t="s">
        <v>190</v>
      </c>
      <c r="T79" s="59" t="s">
        <v>23</v>
      </c>
      <c r="U79" s="59" t="s">
        <v>293</v>
      </c>
      <c r="V79" s="59" t="s">
        <v>116</v>
      </c>
      <c r="W79" s="59" t="s">
        <v>117</v>
      </c>
    </row>
    <row r="80" s="37" customFormat="1" ht="15.75" spans="1:23">
      <c r="A80" s="59"/>
      <c r="B80" s="60"/>
      <c r="C80" s="60"/>
      <c r="D80" s="61" t="s">
        <v>102</v>
      </c>
      <c r="E80" s="61" t="s">
        <v>103</v>
      </c>
      <c r="F80" s="62"/>
      <c r="G80" s="62"/>
      <c r="H80" s="75" t="s">
        <v>85</v>
      </c>
      <c r="I80" s="75" t="s">
        <v>183</v>
      </c>
      <c r="J80" s="63" t="s">
        <v>108</v>
      </c>
      <c r="K80" s="76" t="s">
        <v>93</v>
      </c>
      <c r="L80" s="54">
        <v>4</v>
      </c>
      <c r="M80" s="54" t="s">
        <v>98</v>
      </c>
      <c r="N80" s="75" t="s">
        <v>110</v>
      </c>
      <c r="O80" s="60"/>
      <c r="P80" s="59"/>
      <c r="Q80" s="59"/>
      <c r="R80" s="59"/>
      <c r="S80" s="59"/>
      <c r="T80" s="59"/>
      <c r="U80" s="59"/>
      <c r="V80" s="59"/>
      <c r="W80" s="59"/>
    </row>
    <row r="81" s="37" customFormat="1" ht="15.75" customHeight="1" spans="1:23">
      <c r="A81" s="59"/>
      <c r="B81" s="60"/>
      <c r="C81" s="60"/>
      <c r="D81" s="61" t="s">
        <v>102</v>
      </c>
      <c r="E81" s="61" t="s">
        <v>103</v>
      </c>
      <c r="F81" s="62"/>
      <c r="G81" s="62"/>
      <c r="H81" s="75" t="s">
        <v>218</v>
      </c>
      <c r="I81" s="75" t="s">
        <v>294</v>
      </c>
      <c r="J81" s="63" t="s">
        <v>108</v>
      </c>
      <c r="K81" s="76" t="s">
        <v>93</v>
      </c>
      <c r="L81" s="54">
        <v>2</v>
      </c>
      <c r="M81" s="54" t="s">
        <v>295</v>
      </c>
      <c r="N81" s="75" t="s">
        <v>90</v>
      </c>
      <c r="O81" s="60"/>
      <c r="P81" s="59"/>
      <c r="Q81" s="59"/>
      <c r="R81" s="59"/>
      <c r="S81" s="59"/>
      <c r="T81" s="59"/>
      <c r="U81" s="59"/>
      <c r="V81" s="59"/>
      <c r="W81" s="59"/>
    </row>
    <row r="82" s="37" customFormat="1" ht="15.75" spans="1:23">
      <c r="A82" s="59"/>
      <c r="B82" s="60"/>
      <c r="C82" s="60"/>
      <c r="D82" s="61" t="s">
        <v>102</v>
      </c>
      <c r="E82" s="61" t="s">
        <v>103</v>
      </c>
      <c r="F82" s="62"/>
      <c r="G82" s="62"/>
      <c r="H82" s="75" t="s">
        <v>119</v>
      </c>
      <c r="I82" s="75" t="s">
        <v>296</v>
      </c>
      <c r="J82" s="63" t="s">
        <v>108</v>
      </c>
      <c r="K82" s="76" t="s">
        <v>134</v>
      </c>
      <c r="L82" s="54">
        <v>1</v>
      </c>
      <c r="M82" s="54" t="s">
        <v>98</v>
      </c>
      <c r="N82" s="75" t="s">
        <v>99</v>
      </c>
      <c r="O82" s="60"/>
      <c r="P82" s="59"/>
      <c r="Q82" s="59"/>
      <c r="R82" s="59"/>
      <c r="S82" s="59"/>
      <c r="T82" s="59"/>
      <c r="U82" s="59"/>
      <c r="V82" s="59"/>
      <c r="W82" s="59"/>
    </row>
    <row r="83" s="37" customFormat="1" ht="30" customHeight="1" spans="1:23">
      <c r="A83" s="59"/>
      <c r="B83" s="60"/>
      <c r="C83" s="60"/>
      <c r="D83" s="61" t="s">
        <v>102</v>
      </c>
      <c r="E83" s="61" t="s">
        <v>103</v>
      </c>
      <c r="F83" s="62"/>
      <c r="G83" s="62"/>
      <c r="H83" s="75" t="s">
        <v>218</v>
      </c>
      <c r="I83" s="75" t="s">
        <v>219</v>
      </c>
      <c r="J83" s="63" t="s">
        <v>108</v>
      </c>
      <c r="K83" s="76" t="s">
        <v>134</v>
      </c>
      <c r="L83" s="54">
        <v>1</v>
      </c>
      <c r="M83" s="54" t="s">
        <v>98</v>
      </c>
      <c r="N83" s="75" t="s">
        <v>99</v>
      </c>
      <c r="O83" s="60"/>
      <c r="P83" s="59"/>
      <c r="Q83" s="59"/>
      <c r="R83" s="59"/>
      <c r="S83" s="59"/>
      <c r="T83" s="59"/>
      <c r="U83" s="59"/>
      <c r="V83" s="59"/>
      <c r="W83" s="59"/>
    </row>
    <row r="84" s="37" customFormat="1" ht="15.75" spans="1:23">
      <c r="A84" s="59"/>
      <c r="B84" s="60"/>
      <c r="C84" s="60"/>
      <c r="D84" s="61" t="s">
        <v>102</v>
      </c>
      <c r="E84" s="61" t="s">
        <v>103</v>
      </c>
      <c r="F84" s="62"/>
      <c r="G84" s="62"/>
      <c r="H84" s="75" t="s">
        <v>167</v>
      </c>
      <c r="I84" s="75" t="s">
        <v>297</v>
      </c>
      <c r="J84" s="63" t="s">
        <v>108</v>
      </c>
      <c r="K84" s="76" t="s">
        <v>134</v>
      </c>
      <c r="L84" s="54">
        <v>1</v>
      </c>
      <c r="M84" s="54" t="s">
        <v>98</v>
      </c>
      <c r="N84" s="75" t="s">
        <v>99</v>
      </c>
      <c r="O84" s="60"/>
      <c r="P84" s="59"/>
      <c r="Q84" s="59"/>
      <c r="R84" s="59"/>
      <c r="S84" s="59"/>
      <c r="T84" s="59"/>
      <c r="U84" s="59"/>
      <c r="V84" s="59"/>
      <c r="W84" s="59"/>
    </row>
    <row r="85" s="37" customFormat="1" ht="15.75" spans="1:23">
      <c r="A85" s="59"/>
      <c r="B85" s="60"/>
      <c r="C85" s="60"/>
      <c r="D85" s="61" t="s">
        <v>102</v>
      </c>
      <c r="E85" s="61" t="s">
        <v>103</v>
      </c>
      <c r="F85" s="62"/>
      <c r="G85" s="62"/>
      <c r="H85" s="75" t="s">
        <v>157</v>
      </c>
      <c r="I85" s="75" t="s">
        <v>284</v>
      </c>
      <c r="J85" s="63" t="s">
        <v>108</v>
      </c>
      <c r="K85" s="76" t="s">
        <v>134</v>
      </c>
      <c r="L85" s="54">
        <v>1</v>
      </c>
      <c r="M85" s="54" t="s">
        <v>98</v>
      </c>
      <c r="N85" s="75" t="s">
        <v>99</v>
      </c>
      <c r="O85" s="60"/>
      <c r="P85" s="59"/>
      <c r="Q85" s="59"/>
      <c r="R85" s="59"/>
      <c r="S85" s="59"/>
      <c r="T85" s="59"/>
      <c r="U85" s="59"/>
      <c r="V85" s="59"/>
      <c r="W85" s="59"/>
    </row>
    <row r="86" s="37" customFormat="1" ht="30" spans="1:23">
      <c r="A86" s="64" t="s">
        <v>298</v>
      </c>
      <c r="B86" s="69" t="s">
        <v>299</v>
      </c>
      <c r="C86" s="69" t="s">
        <v>83</v>
      </c>
      <c r="D86" s="83" t="s">
        <v>102</v>
      </c>
      <c r="E86" s="83" t="s">
        <v>103</v>
      </c>
      <c r="F86" s="62" t="s">
        <v>300</v>
      </c>
      <c r="G86" s="64" t="s">
        <v>301</v>
      </c>
      <c r="H86" s="63" t="s">
        <v>218</v>
      </c>
      <c r="I86" s="63" t="s">
        <v>219</v>
      </c>
      <c r="J86" s="63" t="s">
        <v>108</v>
      </c>
      <c r="K86" s="63" t="s">
        <v>134</v>
      </c>
      <c r="L86" s="54">
        <v>128</v>
      </c>
      <c r="M86" s="54" t="s">
        <v>302</v>
      </c>
      <c r="N86" s="63" t="s">
        <v>90</v>
      </c>
      <c r="O86" s="69" t="s">
        <v>42</v>
      </c>
      <c r="P86" s="64" t="s">
        <v>268</v>
      </c>
      <c r="Q86" s="59" t="s">
        <v>112</v>
      </c>
      <c r="R86" s="59" t="s">
        <v>113</v>
      </c>
      <c r="S86" s="59" t="s">
        <v>114</v>
      </c>
      <c r="T86" s="59" t="s">
        <v>44</v>
      </c>
      <c r="U86" s="59" t="s">
        <v>303</v>
      </c>
      <c r="V86" s="59" t="s">
        <v>304</v>
      </c>
      <c r="W86" s="59" t="s">
        <v>305</v>
      </c>
    </row>
    <row r="87" s="37" customFormat="1" customHeight="1" spans="1:23">
      <c r="A87" s="64"/>
      <c r="B87" s="69"/>
      <c r="C87" s="69"/>
      <c r="D87" s="83"/>
      <c r="E87" s="83"/>
      <c r="F87" s="62"/>
      <c r="G87" s="64"/>
      <c r="H87" s="63" t="s">
        <v>106</v>
      </c>
      <c r="I87" s="63" t="s">
        <v>249</v>
      </c>
      <c r="J87" s="63" t="s">
        <v>87</v>
      </c>
      <c r="K87" s="63" t="s">
        <v>134</v>
      </c>
      <c r="L87" s="54">
        <v>40</v>
      </c>
      <c r="M87" s="54" t="s">
        <v>279</v>
      </c>
      <c r="N87" s="63" t="s">
        <v>99</v>
      </c>
      <c r="O87" s="69"/>
      <c r="P87" s="64"/>
      <c r="Q87" s="59"/>
      <c r="R87" s="59"/>
      <c r="S87" s="59"/>
      <c r="T87" s="59"/>
      <c r="U87" s="59"/>
      <c r="V87" s="59"/>
      <c r="W87" s="59"/>
    </row>
    <row r="88" s="37" customFormat="1" ht="15.75" spans="1:23">
      <c r="A88" s="59" t="s">
        <v>306</v>
      </c>
      <c r="B88" s="60" t="s">
        <v>307</v>
      </c>
      <c r="C88" s="60" t="s">
        <v>83</v>
      </c>
      <c r="D88" s="61" t="s">
        <v>102</v>
      </c>
      <c r="E88" s="61" t="s">
        <v>103</v>
      </c>
      <c r="F88" s="62" t="s">
        <v>308</v>
      </c>
      <c r="G88" s="62" t="s">
        <v>309</v>
      </c>
      <c r="H88" s="75" t="s">
        <v>95</v>
      </c>
      <c r="I88" s="75" t="s">
        <v>96</v>
      </c>
      <c r="J88" s="63" t="s">
        <v>97</v>
      </c>
      <c r="K88" s="76" t="s">
        <v>93</v>
      </c>
      <c r="L88" s="54">
        <v>30</v>
      </c>
      <c r="M88" s="54" t="s">
        <v>295</v>
      </c>
      <c r="N88" s="75" t="s">
        <v>99</v>
      </c>
      <c r="O88" s="60" t="s">
        <v>21</v>
      </c>
      <c r="P88" s="59" t="s">
        <v>189</v>
      </c>
      <c r="Q88" s="59" t="s">
        <v>112</v>
      </c>
      <c r="R88" s="59" t="s">
        <v>161</v>
      </c>
      <c r="S88" s="59" t="s">
        <v>190</v>
      </c>
      <c r="T88" s="59" t="s">
        <v>23</v>
      </c>
      <c r="U88" s="59" t="s">
        <v>310</v>
      </c>
      <c r="V88" s="59" t="s">
        <v>116</v>
      </c>
      <c r="W88" s="59" t="s">
        <v>117</v>
      </c>
    </row>
    <row r="89" s="37" customFormat="1" ht="15.75" customHeight="1" spans="1:23">
      <c r="A89" s="59"/>
      <c r="B89" s="60"/>
      <c r="C89" s="60"/>
      <c r="D89" s="61" t="s">
        <v>102</v>
      </c>
      <c r="E89" s="61" t="s">
        <v>103</v>
      </c>
      <c r="F89" s="62"/>
      <c r="G89" s="62"/>
      <c r="H89" s="75" t="s">
        <v>106</v>
      </c>
      <c r="I89" s="75" t="s">
        <v>170</v>
      </c>
      <c r="J89" s="63" t="s">
        <v>108</v>
      </c>
      <c r="K89" s="76" t="s">
        <v>134</v>
      </c>
      <c r="L89" s="54">
        <v>5</v>
      </c>
      <c r="M89" s="54" t="s">
        <v>98</v>
      </c>
      <c r="N89" s="75" t="s">
        <v>99</v>
      </c>
      <c r="O89" s="60" t="s">
        <v>21</v>
      </c>
      <c r="P89" s="59" t="s">
        <v>189</v>
      </c>
      <c r="Q89" s="59" t="s">
        <v>112</v>
      </c>
      <c r="R89" s="59" t="s">
        <v>161</v>
      </c>
      <c r="S89" s="59" t="s">
        <v>190</v>
      </c>
      <c r="T89" s="59" t="s">
        <v>23</v>
      </c>
      <c r="U89" s="59" t="s">
        <v>310</v>
      </c>
      <c r="V89" s="59" t="s">
        <v>116</v>
      </c>
      <c r="W89" s="59" t="s">
        <v>117</v>
      </c>
    </row>
    <row r="90" s="37" customFormat="1" ht="15.75" spans="1:23">
      <c r="A90" s="59"/>
      <c r="B90" s="60"/>
      <c r="C90" s="60"/>
      <c r="D90" s="61" t="s">
        <v>102</v>
      </c>
      <c r="E90" s="61" t="s">
        <v>103</v>
      </c>
      <c r="F90" s="62"/>
      <c r="G90" s="62"/>
      <c r="H90" s="75" t="s">
        <v>218</v>
      </c>
      <c r="I90" s="75" t="s">
        <v>291</v>
      </c>
      <c r="J90" s="63" t="s">
        <v>108</v>
      </c>
      <c r="K90" s="76" t="s">
        <v>134</v>
      </c>
      <c r="L90" s="54">
        <v>3</v>
      </c>
      <c r="M90" s="54" t="s">
        <v>98</v>
      </c>
      <c r="N90" s="75" t="s">
        <v>99</v>
      </c>
      <c r="O90" s="60" t="s">
        <v>21</v>
      </c>
      <c r="P90" s="59" t="s">
        <v>189</v>
      </c>
      <c r="Q90" s="59" t="s">
        <v>112</v>
      </c>
      <c r="R90" s="59" t="s">
        <v>161</v>
      </c>
      <c r="S90" s="59" t="s">
        <v>190</v>
      </c>
      <c r="T90" s="59" t="s">
        <v>23</v>
      </c>
      <c r="U90" s="59" t="s">
        <v>310</v>
      </c>
      <c r="V90" s="59" t="s">
        <v>116</v>
      </c>
      <c r="W90" s="59" t="s">
        <v>117</v>
      </c>
    </row>
    <row r="91" s="37" customFormat="1" customHeight="1" spans="1:23">
      <c r="A91" s="59"/>
      <c r="B91" s="60"/>
      <c r="C91" s="60"/>
      <c r="D91" s="61" t="s">
        <v>102</v>
      </c>
      <c r="E91" s="61" t="s">
        <v>103</v>
      </c>
      <c r="F91" s="62"/>
      <c r="G91" s="62"/>
      <c r="H91" s="75" t="s">
        <v>91</v>
      </c>
      <c r="I91" s="75" t="s">
        <v>92</v>
      </c>
      <c r="J91" s="63" t="s">
        <v>87</v>
      </c>
      <c r="K91" s="76" t="s">
        <v>134</v>
      </c>
      <c r="L91" s="54">
        <v>4</v>
      </c>
      <c r="M91" s="54" t="s">
        <v>98</v>
      </c>
      <c r="N91" s="75" t="s">
        <v>99</v>
      </c>
      <c r="O91" s="60" t="s">
        <v>21</v>
      </c>
      <c r="P91" s="59" t="s">
        <v>189</v>
      </c>
      <c r="Q91" s="59" t="s">
        <v>112</v>
      </c>
      <c r="R91" s="59" t="s">
        <v>161</v>
      </c>
      <c r="S91" s="59" t="s">
        <v>190</v>
      </c>
      <c r="T91" s="59" t="s">
        <v>23</v>
      </c>
      <c r="U91" s="59" t="s">
        <v>310</v>
      </c>
      <c r="V91" s="59" t="s">
        <v>116</v>
      </c>
      <c r="W91" s="59" t="s">
        <v>117</v>
      </c>
    </row>
    <row r="92" s="37" customFormat="1" ht="15.75" spans="1:23">
      <c r="A92" s="59" t="s">
        <v>311</v>
      </c>
      <c r="B92" s="60" t="s">
        <v>312</v>
      </c>
      <c r="C92" s="60" t="s">
        <v>173</v>
      </c>
      <c r="D92" s="61" t="s">
        <v>102</v>
      </c>
      <c r="E92" s="61" t="s">
        <v>103</v>
      </c>
      <c r="F92" s="62" t="s">
        <v>313</v>
      </c>
      <c r="G92" s="62" t="s">
        <v>314</v>
      </c>
      <c r="H92" s="71" t="s">
        <v>106</v>
      </c>
      <c r="I92" s="71" t="s">
        <v>170</v>
      </c>
      <c r="J92" s="63" t="s">
        <v>108</v>
      </c>
      <c r="K92" s="76" t="s">
        <v>93</v>
      </c>
      <c r="L92" s="54">
        <v>25</v>
      </c>
      <c r="M92" s="54" t="s">
        <v>247</v>
      </c>
      <c r="N92" s="71" t="s">
        <v>110</v>
      </c>
      <c r="O92" s="60" t="s">
        <v>21</v>
      </c>
      <c r="P92" s="59" t="s">
        <v>111</v>
      </c>
      <c r="Q92" s="59" t="s">
        <v>112</v>
      </c>
      <c r="R92" s="59" t="s">
        <v>161</v>
      </c>
      <c r="S92" s="59" t="s">
        <v>190</v>
      </c>
      <c r="T92" s="59" t="s">
        <v>23</v>
      </c>
      <c r="U92" s="59" t="s">
        <v>315</v>
      </c>
      <c r="V92" s="59" t="s">
        <v>116</v>
      </c>
      <c r="W92" s="59" t="s">
        <v>117</v>
      </c>
    </row>
    <row r="93" s="37" customFormat="1" customHeight="1" spans="1:23">
      <c r="A93" s="59"/>
      <c r="B93" s="60"/>
      <c r="C93" s="60"/>
      <c r="D93" s="61" t="s">
        <v>102</v>
      </c>
      <c r="E93" s="61" t="s">
        <v>103</v>
      </c>
      <c r="F93" s="62"/>
      <c r="G93" s="62"/>
      <c r="H93" s="71" t="s">
        <v>91</v>
      </c>
      <c r="I93" s="71" t="s">
        <v>92</v>
      </c>
      <c r="J93" s="63" t="s">
        <v>87</v>
      </c>
      <c r="K93" s="76" t="s">
        <v>134</v>
      </c>
      <c r="L93" s="54">
        <v>5</v>
      </c>
      <c r="M93" s="54" t="s">
        <v>135</v>
      </c>
      <c r="N93" s="71" t="s">
        <v>110</v>
      </c>
      <c r="O93" s="60" t="s">
        <v>21</v>
      </c>
      <c r="P93" s="59" t="s">
        <v>111</v>
      </c>
      <c r="Q93" s="59" t="s">
        <v>112</v>
      </c>
      <c r="R93" s="59" t="s">
        <v>161</v>
      </c>
      <c r="S93" s="59" t="s">
        <v>190</v>
      </c>
      <c r="T93" s="59" t="s">
        <v>23</v>
      </c>
      <c r="U93" s="59" t="s">
        <v>315</v>
      </c>
      <c r="V93" s="59" t="s">
        <v>116</v>
      </c>
      <c r="W93" s="59" t="s">
        <v>117</v>
      </c>
    </row>
    <row r="94" s="37" customFormat="1" ht="15.75" customHeight="1" spans="1:23">
      <c r="A94" s="59"/>
      <c r="B94" s="60"/>
      <c r="C94" s="60"/>
      <c r="D94" s="61" t="s">
        <v>102</v>
      </c>
      <c r="E94" s="61" t="s">
        <v>103</v>
      </c>
      <c r="F94" s="62"/>
      <c r="G94" s="62"/>
      <c r="H94" s="71" t="s">
        <v>132</v>
      </c>
      <c r="I94" s="71" t="s">
        <v>133</v>
      </c>
      <c r="J94" s="63" t="s">
        <v>108</v>
      </c>
      <c r="K94" s="76" t="s">
        <v>134</v>
      </c>
      <c r="L94" s="54">
        <v>4</v>
      </c>
      <c r="M94" s="54" t="s">
        <v>279</v>
      </c>
      <c r="N94" s="71" t="s">
        <v>99</v>
      </c>
      <c r="O94" s="60" t="s">
        <v>21</v>
      </c>
      <c r="P94" s="59" t="s">
        <v>111</v>
      </c>
      <c r="Q94" s="59" t="s">
        <v>112</v>
      </c>
      <c r="R94" s="59" t="s">
        <v>161</v>
      </c>
      <c r="S94" s="59" t="s">
        <v>190</v>
      </c>
      <c r="T94" s="59" t="s">
        <v>23</v>
      </c>
      <c r="U94" s="59" t="s">
        <v>315</v>
      </c>
      <c r="V94" s="59" t="s">
        <v>116</v>
      </c>
      <c r="W94" s="59" t="s">
        <v>117</v>
      </c>
    </row>
    <row r="95" s="37" customFormat="1" ht="15.75" spans="1:23">
      <c r="A95" s="59"/>
      <c r="B95" s="60"/>
      <c r="C95" s="60"/>
      <c r="D95" s="61" t="s">
        <v>102</v>
      </c>
      <c r="E95" s="61" t="s">
        <v>103</v>
      </c>
      <c r="F95" s="62"/>
      <c r="G95" s="62"/>
      <c r="H95" s="71" t="s">
        <v>218</v>
      </c>
      <c r="I95" s="71" t="s">
        <v>316</v>
      </c>
      <c r="J95" s="63" t="s">
        <v>108</v>
      </c>
      <c r="K95" s="76" t="s">
        <v>134</v>
      </c>
      <c r="L95" s="54">
        <v>2</v>
      </c>
      <c r="M95" s="54" t="s">
        <v>135</v>
      </c>
      <c r="N95" s="71" t="s">
        <v>99</v>
      </c>
      <c r="O95" s="60" t="s">
        <v>21</v>
      </c>
      <c r="P95" s="59" t="s">
        <v>111</v>
      </c>
      <c r="Q95" s="59" t="s">
        <v>112</v>
      </c>
      <c r="R95" s="59" t="s">
        <v>161</v>
      </c>
      <c r="S95" s="59" t="s">
        <v>190</v>
      </c>
      <c r="T95" s="59" t="s">
        <v>23</v>
      </c>
      <c r="U95" s="59" t="s">
        <v>315</v>
      </c>
      <c r="V95" s="59" t="s">
        <v>116</v>
      </c>
      <c r="W95" s="59" t="s">
        <v>117</v>
      </c>
    </row>
    <row r="96" s="37" customFormat="1" ht="15.75" customHeight="1" spans="1:23">
      <c r="A96" s="59"/>
      <c r="B96" s="60"/>
      <c r="C96" s="60"/>
      <c r="D96" s="61" t="s">
        <v>102</v>
      </c>
      <c r="E96" s="61" t="s">
        <v>103</v>
      </c>
      <c r="F96" s="62"/>
      <c r="G96" s="62"/>
      <c r="H96" s="63" t="s">
        <v>167</v>
      </c>
      <c r="I96" s="63" t="s">
        <v>168</v>
      </c>
      <c r="J96" s="63" t="s">
        <v>108</v>
      </c>
      <c r="K96" s="76" t="s">
        <v>93</v>
      </c>
      <c r="L96" s="54">
        <v>25</v>
      </c>
      <c r="M96" s="54" t="s">
        <v>247</v>
      </c>
      <c r="N96" s="63" t="s">
        <v>110</v>
      </c>
      <c r="O96" s="60" t="s">
        <v>21</v>
      </c>
      <c r="P96" s="59" t="s">
        <v>111</v>
      </c>
      <c r="Q96" s="59" t="s">
        <v>112</v>
      </c>
      <c r="R96" s="59" t="s">
        <v>161</v>
      </c>
      <c r="S96" s="59" t="s">
        <v>190</v>
      </c>
      <c r="T96" s="59" t="s">
        <v>23</v>
      </c>
      <c r="U96" s="59" t="s">
        <v>315</v>
      </c>
      <c r="V96" s="59" t="s">
        <v>116</v>
      </c>
      <c r="W96" s="59" t="s">
        <v>117</v>
      </c>
    </row>
    <row r="97" s="37" customFormat="1" ht="15.75" spans="1:23">
      <c r="A97" s="59" t="s">
        <v>317</v>
      </c>
      <c r="B97" s="60" t="s">
        <v>318</v>
      </c>
      <c r="C97" s="60" t="s">
        <v>83</v>
      </c>
      <c r="D97" s="61" t="s">
        <v>102</v>
      </c>
      <c r="E97" s="61" t="s">
        <v>103</v>
      </c>
      <c r="F97" s="62" t="s">
        <v>319</v>
      </c>
      <c r="G97" s="62" t="s">
        <v>187</v>
      </c>
      <c r="H97" s="63" t="s">
        <v>218</v>
      </c>
      <c r="I97" s="63" t="s">
        <v>291</v>
      </c>
      <c r="J97" s="63" t="s">
        <v>108</v>
      </c>
      <c r="K97" s="76" t="s">
        <v>134</v>
      </c>
      <c r="L97" s="54">
        <v>4</v>
      </c>
      <c r="M97" s="54" t="s">
        <v>135</v>
      </c>
      <c r="N97" s="63" t="s">
        <v>110</v>
      </c>
      <c r="O97" s="60" t="s">
        <v>21</v>
      </c>
      <c r="P97" s="59" t="s">
        <v>189</v>
      </c>
      <c r="Q97" s="59" t="s">
        <v>112</v>
      </c>
      <c r="R97" s="59" t="s">
        <v>161</v>
      </c>
      <c r="S97" s="59" t="s">
        <v>190</v>
      </c>
      <c r="T97" s="59" t="s">
        <v>23</v>
      </c>
      <c r="U97" s="59" t="s">
        <v>320</v>
      </c>
      <c r="V97" s="59" t="s">
        <v>116</v>
      </c>
      <c r="W97" s="59" t="s">
        <v>117</v>
      </c>
    </row>
    <row r="98" s="37" customFormat="1" ht="15.75" customHeight="1" spans="1:23">
      <c r="A98" s="59"/>
      <c r="B98" s="60"/>
      <c r="C98" s="60"/>
      <c r="D98" s="61" t="s">
        <v>102</v>
      </c>
      <c r="E98" s="61" t="s">
        <v>103</v>
      </c>
      <c r="F98" s="62"/>
      <c r="G98" s="62"/>
      <c r="H98" s="63" t="s">
        <v>95</v>
      </c>
      <c r="I98" s="63" t="s">
        <v>285</v>
      </c>
      <c r="J98" s="63" t="s">
        <v>108</v>
      </c>
      <c r="K98" s="76" t="s">
        <v>134</v>
      </c>
      <c r="L98" s="54">
        <v>1</v>
      </c>
      <c r="M98" s="54" t="s">
        <v>135</v>
      </c>
      <c r="N98" s="63" t="s">
        <v>110</v>
      </c>
      <c r="O98" s="60" t="s">
        <v>21</v>
      </c>
      <c r="P98" s="59" t="s">
        <v>189</v>
      </c>
      <c r="Q98" s="59" t="s">
        <v>112</v>
      </c>
      <c r="R98" s="59" t="s">
        <v>161</v>
      </c>
      <c r="S98" s="59" t="s">
        <v>190</v>
      </c>
      <c r="T98" s="59" t="s">
        <v>23</v>
      </c>
      <c r="U98" s="59" t="s">
        <v>320</v>
      </c>
      <c r="V98" s="59" t="s">
        <v>116</v>
      </c>
      <c r="W98" s="59" t="s">
        <v>117</v>
      </c>
    </row>
    <row r="99" s="37" customFormat="1" ht="15.75" spans="1:23">
      <c r="A99" s="68" t="s">
        <v>321</v>
      </c>
      <c r="B99" s="65" t="s">
        <v>322</v>
      </c>
      <c r="C99" s="65" t="s">
        <v>173</v>
      </c>
      <c r="D99" s="66" t="s">
        <v>102</v>
      </c>
      <c r="E99" s="66" t="s">
        <v>103</v>
      </c>
      <c r="F99" s="72" t="s">
        <v>323</v>
      </c>
      <c r="G99" s="72" t="s">
        <v>324</v>
      </c>
      <c r="H99" s="71" t="s">
        <v>85</v>
      </c>
      <c r="I99" s="71" t="s">
        <v>209</v>
      </c>
      <c r="J99" s="63" t="s">
        <v>108</v>
      </c>
      <c r="K99" s="71" t="s">
        <v>88</v>
      </c>
      <c r="L99" s="54">
        <v>10.5</v>
      </c>
      <c r="M99" s="54" t="s">
        <v>325</v>
      </c>
      <c r="N99" s="71" t="s">
        <v>110</v>
      </c>
      <c r="O99" s="65" t="s">
        <v>27</v>
      </c>
      <c r="P99" s="68" t="s">
        <v>178</v>
      </c>
      <c r="Q99" s="68" t="s">
        <v>112</v>
      </c>
      <c r="R99" s="68" t="s">
        <v>128</v>
      </c>
      <c r="S99" s="68" t="s">
        <v>326</v>
      </c>
      <c r="T99" s="68" t="s">
        <v>29</v>
      </c>
      <c r="U99" s="68" t="s">
        <v>327</v>
      </c>
      <c r="V99" s="68" t="s">
        <v>116</v>
      </c>
      <c r="W99" s="68" t="s">
        <v>117</v>
      </c>
    </row>
    <row r="100" s="37" customFormat="1" customHeight="1" spans="1:23">
      <c r="A100" s="68"/>
      <c r="B100" s="65"/>
      <c r="C100" s="65"/>
      <c r="D100" s="66"/>
      <c r="E100" s="66"/>
      <c r="F100" s="72"/>
      <c r="G100" s="72"/>
      <c r="H100" s="71" t="s">
        <v>132</v>
      </c>
      <c r="I100" s="71" t="s">
        <v>328</v>
      </c>
      <c r="J100" s="63" t="s">
        <v>87</v>
      </c>
      <c r="K100" s="71" t="s">
        <v>93</v>
      </c>
      <c r="L100" s="54">
        <v>10.5</v>
      </c>
      <c r="M100" s="54" t="s">
        <v>325</v>
      </c>
      <c r="N100" s="71" t="s">
        <v>90</v>
      </c>
      <c r="O100" s="65"/>
      <c r="P100" s="68"/>
      <c r="Q100" s="68"/>
      <c r="R100" s="68"/>
      <c r="S100" s="68"/>
      <c r="T100" s="68"/>
      <c r="U100" s="68"/>
      <c r="V100" s="68"/>
      <c r="W100" s="68"/>
    </row>
    <row r="101" s="37" customFormat="1" customHeight="1" spans="1:23">
      <c r="A101" s="68"/>
      <c r="B101" s="65"/>
      <c r="C101" s="65"/>
      <c r="D101" s="66"/>
      <c r="E101" s="66"/>
      <c r="F101" s="72"/>
      <c r="G101" s="72"/>
      <c r="H101" s="71" t="s">
        <v>106</v>
      </c>
      <c r="I101" s="71" t="s">
        <v>196</v>
      </c>
      <c r="J101" s="63" t="s">
        <v>87</v>
      </c>
      <c r="K101" s="71" t="s">
        <v>88</v>
      </c>
      <c r="L101" s="54">
        <v>5</v>
      </c>
      <c r="M101" s="54" t="s">
        <v>325</v>
      </c>
      <c r="N101" s="71" t="s">
        <v>99</v>
      </c>
      <c r="O101" s="65"/>
      <c r="P101" s="68"/>
      <c r="Q101" s="68"/>
      <c r="R101" s="68"/>
      <c r="S101" s="68"/>
      <c r="T101" s="68"/>
      <c r="U101" s="68"/>
      <c r="V101" s="68"/>
      <c r="W101" s="68"/>
    </row>
    <row r="102" s="37" customFormat="1" ht="15.75" spans="1:23">
      <c r="A102" s="68"/>
      <c r="B102" s="65"/>
      <c r="C102" s="65"/>
      <c r="D102" s="66"/>
      <c r="E102" s="66"/>
      <c r="F102" s="72"/>
      <c r="G102" s="72"/>
      <c r="H102" s="71" t="s">
        <v>119</v>
      </c>
      <c r="I102" s="71" t="s">
        <v>120</v>
      </c>
      <c r="J102" s="63" t="s">
        <v>108</v>
      </c>
      <c r="K102" s="71" t="s">
        <v>93</v>
      </c>
      <c r="L102" s="54">
        <v>60</v>
      </c>
      <c r="M102" s="54" t="s">
        <v>325</v>
      </c>
      <c r="N102" s="71" t="s">
        <v>110</v>
      </c>
      <c r="O102" s="65"/>
      <c r="P102" s="68"/>
      <c r="Q102" s="68"/>
      <c r="R102" s="68"/>
      <c r="S102" s="68"/>
      <c r="T102" s="68"/>
      <c r="U102" s="68"/>
      <c r="V102" s="68"/>
      <c r="W102" s="68"/>
    </row>
    <row r="103" s="37" customFormat="1" ht="15.75" customHeight="1" spans="1:23">
      <c r="A103" s="68"/>
      <c r="B103" s="65"/>
      <c r="C103" s="65"/>
      <c r="D103" s="66"/>
      <c r="E103" s="66"/>
      <c r="F103" s="72"/>
      <c r="G103" s="72"/>
      <c r="H103" s="71" t="s">
        <v>119</v>
      </c>
      <c r="I103" s="71" t="s">
        <v>296</v>
      </c>
      <c r="J103" s="63" t="s">
        <v>108</v>
      </c>
      <c r="K103" s="71" t="s">
        <v>134</v>
      </c>
      <c r="L103" s="54">
        <v>40</v>
      </c>
      <c r="M103" s="54" t="s">
        <v>98</v>
      </c>
      <c r="N103" s="71" t="s">
        <v>99</v>
      </c>
      <c r="O103" s="65"/>
      <c r="P103" s="68"/>
      <c r="Q103" s="68"/>
      <c r="R103" s="68"/>
      <c r="S103" s="68"/>
      <c r="T103" s="68"/>
      <c r="U103" s="68"/>
      <c r="V103" s="68"/>
      <c r="W103" s="68"/>
    </row>
    <row r="104" s="37" customFormat="1" ht="15.75" spans="1:23">
      <c r="A104" s="68"/>
      <c r="B104" s="65"/>
      <c r="C104" s="65"/>
      <c r="D104" s="66"/>
      <c r="E104" s="66"/>
      <c r="F104" s="72"/>
      <c r="G104" s="72"/>
      <c r="H104" s="63" t="s">
        <v>85</v>
      </c>
      <c r="I104" s="63" t="s">
        <v>183</v>
      </c>
      <c r="J104" s="63" t="s">
        <v>108</v>
      </c>
      <c r="K104" s="63" t="s">
        <v>134</v>
      </c>
      <c r="L104" s="54">
        <v>42</v>
      </c>
      <c r="M104" s="54" t="s">
        <v>98</v>
      </c>
      <c r="N104" s="63" t="s">
        <v>99</v>
      </c>
      <c r="O104" s="65"/>
      <c r="P104" s="68"/>
      <c r="Q104" s="68"/>
      <c r="R104" s="68"/>
      <c r="S104" s="68"/>
      <c r="T104" s="68"/>
      <c r="U104" s="68"/>
      <c r="V104" s="68"/>
      <c r="W104" s="68"/>
    </row>
    <row r="105" s="37" customFormat="1" ht="72.75" customHeight="1" spans="1:23">
      <c r="A105" s="59" t="s">
        <v>329</v>
      </c>
      <c r="B105" s="60" t="s">
        <v>330</v>
      </c>
      <c r="C105" s="60" t="s">
        <v>83</v>
      </c>
      <c r="D105" s="66" t="s">
        <v>102</v>
      </c>
      <c r="E105" s="66" t="s">
        <v>154</v>
      </c>
      <c r="F105" s="62" t="s">
        <v>331</v>
      </c>
      <c r="G105" s="62" t="s">
        <v>332</v>
      </c>
      <c r="H105" s="63" t="s">
        <v>157</v>
      </c>
      <c r="I105" s="63" t="s">
        <v>158</v>
      </c>
      <c r="J105" s="63" t="s">
        <v>108</v>
      </c>
      <c r="K105" s="63" t="s">
        <v>88</v>
      </c>
      <c r="L105" s="54">
        <v>80</v>
      </c>
      <c r="M105" s="54" t="s">
        <v>333</v>
      </c>
      <c r="N105" s="63" t="s">
        <v>110</v>
      </c>
      <c r="O105" s="60" t="s">
        <v>36</v>
      </c>
      <c r="P105" s="59" t="s">
        <v>178</v>
      </c>
      <c r="Q105" s="59" t="s">
        <v>112</v>
      </c>
      <c r="R105" s="59" t="s">
        <v>334</v>
      </c>
      <c r="S105" s="59" t="s">
        <v>335</v>
      </c>
      <c r="T105" s="59"/>
      <c r="U105" s="59"/>
      <c r="V105" s="59"/>
      <c r="W105" s="59"/>
    </row>
    <row r="106" s="37" customFormat="1" ht="15.75" spans="1:23">
      <c r="A106" s="59"/>
      <c r="B106" s="60"/>
      <c r="C106" s="60"/>
      <c r="D106" s="66"/>
      <c r="E106" s="66"/>
      <c r="F106" s="62"/>
      <c r="G106" s="62"/>
      <c r="H106" s="63" t="s">
        <v>95</v>
      </c>
      <c r="I106" s="63" t="s">
        <v>136</v>
      </c>
      <c r="J106" s="63" t="s">
        <v>108</v>
      </c>
      <c r="K106" s="63" t="s">
        <v>134</v>
      </c>
      <c r="L106" s="54">
        <v>12</v>
      </c>
      <c r="M106" s="54" t="s">
        <v>135</v>
      </c>
      <c r="N106" s="63" t="s">
        <v>110</v>
      </c>
      <c r="O106" s="60" t="s">
        <v>36</v>
      </c>
      <c r="P106" s="59" t="s">
        <v>178</v>
      </c>
      <c r="Q106" s="59" t="s">
        <v>112</v>
      </c>
      <c r="R106" s="59" t="s">
        <v>334</v>
      </c>
      <c r="S106" s="59" t="s">
        <v>335</v>
      </c>
      <c r="T106" s="59"/>
      <c r="U106" s="59"/>
      <c r="V106" s="59"/>
      <c r="W106" s="59"/>
    </row>
    <row r="107" s="37" customFormat="1" ht="15.75" customHeight="1" spans="1:23">
      <c r="A107" s="59"/>
      <c r="B107" s="60"/>
      <c r="C107" s="60"/>
      <c r="D107" s="66"/>
      <c r="E107" s="66"/>
      <c r="F107" s="62"/>
      <c r="G107" s="62"/>
      <c r="H107" s="63" t="s">
        <v>119</v>
      </c>
      <c r="I107" s="63" t="s">
        <v>120</v>
      </c>
      <c r="J107" s="63" t="s">
        <v>108</v>
      </c>
      <c r="K107" s="63" t="s">
        <v>134</v>
      </c>
      <c r="L107" s="54">
        <v>20</v>
      </c>
      <c r="M107" s="54" t="s">
        <v>336</v>
      </c>
      <c r="N107" s="63" t="s">
        <v>110</v>
      </c>
      <c r="O107" s="60" t="s">
        <v>36</v>
      </c>
      <c r="P107" s="59" t="s">
        <v>178</v>
      </c>
      <c r="Q107" s="59" t="s">
        <v>112</v>
      </c>
      <c r="R107" s="59" t="s">
        <v>334</v>
      </c>
      <c r="S107" s="59" t="s">
        <v>335</v>
      </c>
      <c r="T107" s="59"/>
      <c r="U107" s="59"/>
      <c r="V107" s="59"/>
      <c r="W107" s="59"/>
    </row>
    <row r="108" s="37" customFormat="1" ht="15.75" spans="1:23">
      <c r="A108" s="59"/>
      <c r="B108" s="60"/>
      <c r="C108" s="60"/>
      <c r="D108" s="66"/>
      <c r="E108" s="66"/>
      <c r="F108" s="62"/>
      <c r="G108" s="62"/>
      <c r="H108" s="63" t="s">
        <v>218</v>
      </c>
      <c r="I108" s="63" t="s">
        <v>291</v>
      </c>
      <c r="J108" s="63" t="s">
        <v>108</v>
      </c>
      <c r="K108" s="63" t="s">
        <v>134</v>
      </c>
      <c r="L108" s="54">
        <v>56</v>
      </c>
      <c r="M108" s="54" t="s">
        <v>333</v>
      </c>
      <c r="N108" s="63" t="s">
        <v>110</v>
      </c>
      <c r="O108" s="60" t="s">
        <v>36</v>
      </c>
      <c r="P108" s="59" t="s">
        <v>178</v>
      </c>
      <c r="Q108" s="59" t="s">
        <v>112</v>
      </c>
      <c r="R108" s="59" t="s">
        <v>334</v>
      </c>
      <c r="S108" s="59" t="s">
        <v>335</v>
      </c>
      <c r="T108" s="59" t="s">
        <v>38</v>
      </c>
      <c r="U108" s="59" t="s">
        <v>337</v>
      </c>
      <c r="V108" s="59" t="s">
        <v>116</v>
      </c>
      <c r="W108" s="59" t="s">
        <v>117</v>
      </c>
    </row>
    <row r="109" s="37" customFormat="1" ht="15.75" customHeight="1" spans="1:23">
      <c r="A109" s="59" t="s">
        <v>338</v>
      </c>
      <c r="B109" s="84" t="s">
        <v>339</v>
      </c>
      <c r="C109" s="84" t="s">
        <v>173</v>
      </c>
      <c r="D109" s="61"/>
      <c r="E109" s="61"/>
      <c r="F109" s="64"/>
      <c r="G109" s="64"/>
      <c r="H109" s="71"/>
      <c r="I109" s="71"/>
      <c r="J109" s="71"/>
      <c r="K109" s="71"/>
      <c r="L109" s="54"/>
      <c r="M109" s="54"/>
      <c r="N109" s="71"/>
      <c r="O109" s="84" t="s">
        <v>45</v>
      </c>
      <c r="P109" s="59" t="s">
        <v>340</v>
      </c>
      <c r="Q109" s="59" t="s">
        <v>112</v>
      </c>
      <c r="R109" s="59" t="s">
        <v>144</v>
      </c>
      <c r="S109" s="59" t="s">
        <v>341</v>
      </c>
      <c r="T109" s="59" t="s">
        <v>342</v>
      </c>
      <c r="U109" s="59" t="s">
        <v>343</v>
      </c>
      <c r="V109" s="59" t="s">
        <v>148</v>
      </c>
      <c r="W109" s="59" t="s">
        <v>149</v>
      </c>
    </row>
    <row r="110" s="37" customFormat="1" ht="15.75" spans="1:23">
      <c r="A110" s="65" t="s">
        <v>344</v>
      </c>
      <c r="B110" s="65" t="s">
        <v>345</v>
      </c>
      <c r="C110" s="65" t="s">
        <v>83</v>
      </c>
      <c r="D110" s="66" t="s">
        <v>102</v>
      </c>
      <c r="E110" s="66" t="s">
        <v>154</v>
      </c>
      <c r="F110" s="72" t="s">
        <v>346</v>
      </c>
      <c r="G110" s="72" t="s">
        <v>347</v>
      </c>
      <c r="H110" s="71" t="s">
        <v>157</v>
      </c>
      <c r="I110" s="71" t="s">
        <v>158</v>
      </c>
      <c r="J110" s="63" t="s">
        <v>108</v>
      </c>
      <c r="K110" s="71" t="s">
        <v>134</v>
      </c>
      <c r="L110" s="73">
        <f>3*21</f>
        <v>63</v>
      </c>
      <c r="M110" s="73" t="s">
        <v>227</v>
      </c>
      <c r="N110" s="71" t="s">
        <v>110</v>
      </c>
      <c r="O110" s="65" t="s">
        <v>18</v>
      </c>
      <c r="P110" s="68" t="s">
        <v>160</v>
      </c>
      <c r="Q110" s="68" t="s">
        <v>112</v>
      </c>
      <c r="R110" s="68" t="s">
        <v>161</v>
      </c>
      <c r="S110" s="68" t="s">
        <v>162</v>
      </c>
      <c r="T110" s="68" t="s">
        <v>20</v>
      </c>
      <c r="U110" s="68" t="s">
        <v>348</v>
      </c>
      <c r="V110" s="68" t="s">
        <v>164</v>
      </c>
      <c r="W110" s="68" t="s">
        <v>165</v>
      </c>
    </row>
    <row r="111" s="37" customFormat="1" ht="15.75" spans="1:23">
      <c r="A111" s="65"/>
      <c r="B111" s="65"/>
      <c r="C111" s="65"/>
      <c r="D111" s="66"/>
      <c r="E111" s="66"/>
      <c r="F111" s="72"/>
      <c r="G111" s="72"/>
      <c r="H111" s="74" t="s">
        <v>167</v>
      </c>
      <c r="I111" s="76" t="s">
        <v>168</v>
      </c>
      <c r="J111" s="63" t="s">
        <v>108</v>
      </c>
      <c r="K111" s="75" t="s">
        <v>93</v>
      </c>
      <c r="L111" s="73">
        <f>3*21</f>
        <v>63</v>
      </c>
      <c r="M111" s="73" t="s">
        <v>169</v>
      </c>
      <c r="N111" s="75" t="s">
        <v>90</v>
      </c>
      <c r="O111" s="65"/>
      <c r="P111" s="68"/>
      <c r="Q111" s="68"/>
      <c r="R111" s="68"/>
      <c r="S111" s="68"/>
      <c r="T111" s="68"/>
      <c r="U111" s="68"/>
      <c r="V111" s="68"/>
      <c r="W111" s="68"/>
    </row>
    <row r="112" s="37" customFormat="1" ht="15.75" spans="1:23">
      <c r="A112" s="65"/>
      <c r="B112" s="65"/>
      <c r="C112" s="65"/>
      <c r="D112" s="66"/>
      <c r="E112" s="66"/>
      <c r="F112" s="72"/>
      <c r="G112" s="72"/>
      <c r="H112" s="74" t="s">
        <v>106</v>
      </c>
      <c r="I112" s="76" t="s">
        <v>170</v>
      </c>
      <c r="J112" s="63" t="s">
        <v>108</v>
      </c>
      <c r="K112" s="75" t="s">
        <v>93</v>
      </c>
      <c r="L112" s="73">
        <f>2*21</f>
        <v>42</v>
      </c>
      <c r="M112" s="73" t="s">
        <v>159</v>
      </c>
      <c r="N112" s="75" t="s">
        <v>90</v>
      </c>
      <c r="O112" s="65"/>
      <c r="P112" s="68"/>
      <c r="Q112" s="68"/>
      <c r="R112" s="68"/>
      <c r="S112" s="68"/>
      <c r="T112" s="68"/>
      <c r="U112" s="68"/>
      <c r="V112" s="68"/>
      <c r="W112" s="68"/>
    </row>
    <row r="113" s="37" customFormat="1" ht="15.75" spans="1:23">
      <c r="A113" s="59" t="s">
        <v>349</v>
      </c>
      <c r="B113" s="60" t="s">
        <v>350</v>
      </c>
      <c r="C113" s="60" t="s">
        <v>173</v>
      </c>
      <c r="D113" s="61" t="s">
        <v>102</v>
      </c>
      <c r="E113" s="61" t="s">
        <v>103</v>
      </c>
      <c r="F113" s="62" t="s">
        <v>351</v>
      </c>
      <c r="G113" s="62" t="s">
        <v>352</v>
      </c>
      <c r="H113" s="75" t="s">
        <v>95</v>
      </c>
      <c r="I113" s="76" t="s">
        <v>136</v>
      </c>
      <c r="J113" s="63" t="s">
        <v>108</v>
      </c>
      <c r="K113" s="76" t="s">
        <v>134</v>
      </c>
      <c r="L113" s="54">
        <v>10</v>
      </c>
      <c r="M113" s="54" t="s">
        <v>98</v>
      </c>
      <c r="N113" s="75" t="s">
        <v>99</v>
      </c>
      <c r="O113" s="60" t="s">
        <v>21</v>
      </c>
      <c r="P113" s="59" t="s">
        <v>189</v>
      </c>
      <c r="Q113" s="59" t="s">
        <v>112</v>
      </c>
      <c r="R113" s="59" t="s">
        <v>161</v>
      </c>
      <c r="S113" s="59" t="s">
        <v>190</v>
      </c>
      <c r="T113" s="59" t="s">
        <v>23</v>
      </c>
      <c r="U113" s="59" t="s">
        <v>353</v>
      </c>
      <c r="V113" s="59" t="s">
        <v>116</v>
      </c>
      <c r="W113" s="59" t="s">
        <v>117</v>
      </c>
    </row>
    <row r="114" s="37" customFormat="1" ht="15.75" spans="1:23">
      <c r="A114" s="59"/>
      <c r="B114" s="60"/>
      <c r="C114" s="60"/>
      <c r="D114" s="61" t="s">
        <v>102</v>
      </c>
      <c r="E114" s="61" t="s">
        <v>103</v>
      </c>
      <c r="F114" s="62"/>
      <c r="G114" s="62"/>
      <c r="H114" s="75" t="s">
        <v>119</v>
      </c>
      <c r="I114" s="75" t="s">
        <v>211</v>
      </c>
      <c r="J114" s="63" t="s">
        <v>108</v>
      </c>
      <c r="K114" s="76" t="s">
        <v>134</v>
      </c>
      <c r="L114" s="54">
        <v>10</v>
      </c>
      <c r="M114" s="54" t="s">
        <v>98</v>
      </c>
      <c r="N114" s="75" t="s">
        <v>99</v>
      </c>
      <c r="O114" s="60"/>
      <c r="P114" s="59" t="s">
        <v>189</v>
      </c>
      <c r="Q114" s="59" t="s">
        <v>112</v>
      </c>
      <c r="R114" s="59" t="s">
        <v>161</v>
      </c>
      <c r="S114" s="59" t="s">
        <v>190</v>
      </c>
      <c r="T114" s="59" t="s">
        <v>23</v>
      </c>
      <c r="U114" s="59" t="s">
        <v>353</v>
      </c>
      <c r="V114" s="59" t="s">
        <v>116</v>
      </c>
      <c r="W114" s="59" t="s">
        <v>117</v>
      </c>
    </row>
    <row r="115" s="37" customFormat="1" ht="15.75" spans="1:23">
      <c r="A115" s="59"/>
      <c r="B115" s="60"/>
      <c r="C115" s="60"/>
      <c r="D115" s="61" t="s">
        <v>102</v>
      </c>
      <c r="E115" s="61" t="s">
        <v>103</v>
      </c>
      <c r="F115" s="62"/>
      <c r="G115" s="62"/>
      <c r="H115" s="76" t="s">
        <v>218</v>
      </c>
      <c r="I115" s="76" t="s">
        <v>294</v>
      </c>
      <c r="J115" s="63" t="s">
        <v>108</v>
      </c>
      <c r="K115" s="76" t="s">
        <v>93</v>
      </c>
      <c r="L115" s="54">
        <v>20</v>
      </c>
      <c r="M115" s="54" t="s">
        <v>354</v>
      </c>
      <c r="N115" s="75" t="s">
        <v>90</v>
      </c>
      <c r="O115" s="60"/>
      <c r="P115" s="59" t="s">
        <v>189</v>
      </c>
      <c r="Q115" s="59" t="s">
        <v>112</v>
      </c>
      <c r="R115" s="59" t="s">
        <v>161</v>
      </c>
      <c r="S115" s="59" t="s">
        <v>190</v>
      </c>
      <c r="T115" s="59" t="s">
        <v>23</v>
      </c>
      <c r="U115" s="59" t="s">
        <v>353</v>
      </c>
      <c r="V115" s="59" t="s">
        <v>116</v>
      </c>
      <c r="W115" s="59" t="s">
        <v>117</v>
      </c>
    </row>
    <row r="116" s="37" customFormat="1" customHeight="1" spans="1:23">
      <c r="A116" s="59"/>
      <c r="B116" s="60"/>
      <c r="C116" s="60"/>
      <c r="D116" s="61" t="s">
        <v>102</v>
      </c>
      <c r="E116" s="61" t="s">
        <v>103</v>
      </c>
      <c r="F116" s="62"/>
      <c r="G116" s="62"/>
      <c r="H116" s="75" t="s">
        <v>106</v>
      </c>
      <c r="I116" s="76" t="s">
        <v>249</v>
      </c>
      <c r="J116" s="63" t="s">
        <v>87</v>
      </c>
      <c r="K116" s="76" t="s">
        <v>88</v>
      </c>
      <c r="L116" s="54">
        <v>5</v>
      </c>
      <c r="M116" s="54" t="s">
        <v>355</v>
      </c>
      <c r="N116" s="75" t="s">
        <v>110</v>
      </c>
      <c r="O116" s="60"/>
      <c r="P116" s="59" t="s">
        <v>189</v>
      </c>
      <c r="Q116" s="59" t="s">
        <v>112</v>
      </c>
      <c r="R116" s="59" t="s">
        <v>161</v>
      </c>
      <c r="S116" s="59" t="s">
        <v>190</v>
      </c>
      <c r="T116" s="59" t="s">
        <v>23</v>
      </c>
      <c r="U116" s="59" t="s">
        <v>353</v>
      </c>
      <c r="V116" s="59" t="s">
        <v>116</v>
      </c>
      <c r="W116" s="59" t="s">
        <v>117</v>
      </c>
    </row>
    <row r="117" s="37" customFormat="1" ht="15.75" spans="1:23">
      <c r="A117" s="68" t="s">
        <v>356</v>
      </c>
      <c r="B117" s="65" t="s">
        <v>357</v>
      </c>
      <c r="C117" s="65" t="s">
        <v>173</v>
      </c>
      <c r="D117" s="85" t="s">
        <v>102</v>
      </c>
      <c r="E117" s="78" t="s">
        <v>103</v>
      </c>
      <c r="F117" s="67" t="s">
        <v>358</v>
      </c>
      <c r="G117" s="67" t="s">
        <v>359</v>
      </c>
      <c r="H117" s="63" t="s">
        <v>254</v>
      </c>
      <c r="I117" s="63" t="s">
        <v>360</v>
      </c>
      <c r="J117" s="63" t="s">
        <v>108</v>
      </c>
      <c r="K117" s="71" t="s">
        <v>93</v>
      </c>
      <c r="L117" s="54">
        <v>30</v>
      </c>
      <c r="M117" s="54" t="s">
        <v>279</v>
      </c>
      <c r="N117" s="71" t="s">
        <v>110</v>
      </c>
      <c r="O117" s="65" t="s">
        <v>45</v>
      </c>
      <c r="P117" s="68" t="s">
        <v>340</v>
      </c>
      <c r="Q117" s="68" t="s">
        <v>112</v>
      </c>
      <c r="R117" s="68" t="s">
        <v>144</v>
      </c>
      <c r="S117" s="68" t="s">
        <v>341</v>
      </c>
      <c r="T117" s="68" t="s">
        <v>342</v>
      </c>
      <c r="U117" s="68" t="s">
        <v>361</v>
      </c>
      <c r="V117" s="68" t="s">
        <v>148</v>
      </c>
      <c r="W117" s="68" t="s">
        <v>149</v>
      </c>
    </row>
    <row r="118" s="37" customFormat="1" ht="15.75" spans="1:23">
      <c r="A118" s="68"/>
      <c r="B118" s="65"/>
      <c r="C118" s="65"/>
      <c r="D118" s="66"/>
      <c r="E118" s="66"/>
      <c r="F118" s="67"/>
      <c r="G118" s="67"/>
      <c r="H118" s="71" t="s">
        <v>85</v>
      </c>
      <c r="I118" s="71" t="s">
        <v>183</v>
      </c>
      <c r="J118" s="63" t="s">
        <v>108</v>
      </c>
      <c r="K118" s="71" t="s">
        <v>93</v>
      </c>
      <c r="L118" s="54">
        <v>88</v>
      </c>
      <c r="M118" s="54" t="s">
        <v>89</v>
      </c>
      <c r="N118" s="71" t="s">
        <v>99</v>
      </c>
      <c r="O118" s="65"/>
      <c r="P118" s="68"/>
      <c r="Q118" s="68"/>
      <c r="R118" s="68"/>
      <c r="S118" s="68"/>
      <c r="T118" s="68"/>
      <c r="U118" s="68"/>
      <c r="V118" s="68"/>
      <c r="W118" s="68"/>
    </row>
    <row r="119" s="37" customFormat="1" ht="15.75" spans="1:23">
      <c r="A119" s="68"/>
      <c r="B119" s="65"/>
      <c r="C119" s="65"/>
      <c r="D119" s="66"/>
      <c r="E119" s="66"/>
      <c r="F119" s="67"/>
      <c r="G119" s="67"/>
      <c r="H119" s="71" t="s">
        <v>132</v>
      </c>
      <c r="I119" s="71" t="s">
        <v>133</v>
      </c>
      <c r="J119" s="63" t="s">
        <v>108</v>
      </c>
      <c r="K119" s="71" t="s">
        <v>88</v>
      </c>
      <c r="L119" s="54">
        <v>50</v>
      </c>
      <c r="M119" s="54" t="s">
        <v>234</v>
      </c>
      <c r="N119" s="71" t="s">
        <v>110</v>
      </c>
      <c r="O119" s="65"/>
      <c r="P119" s="68"/>
      <c r="Q119" s="68"/>
      <c r="R119" s="68"/>
      <c r="S119" s="68"/>
      <c r="T119" s="68"/>
      <c r="U119" s="68"/>
      <c r="V119" s="68"/>
      <c r="W119" s="68"/>
    </row>
    <row r="120" s="37" customFormat="1" customHeight="1" spans="1:23">
      <c r="A120" s="65" t="s">
        <v>362</v>
      </c>
      <c r="B120" s="65" t="s">
        <v>363</v>
      </c>
      <c r="C120" s="65" t="s">
        <v>173</v>
      </c>
      <c r="D120" s="66" t="s">
        <v>102</v>
      </c>
      <c r="E120" s="66" t="s">
        <v>103</v>
      </c>
      <c r="F120" s="81" t="s">
        <v>364</v>
      </c>
      <c r="G120" s="80" t="s">
        <v>365</v>
      </c>
      <c r="H120" s="63" t="s">
        <v>218</v>
      </c>
      <c r="I120" s="71" t="s">
        <v>294</v>
      </c>
      <c r="J120" s="63" t="s">
        <v>108</v>
      </c>
      <c r="K120" s="76" t="s">
        <v>134</v>
      </c>
      <c r="L120" s="54">
        <v>42</v>
      </c>
      <c r="M120" s="54" t="s">
        <v>94</v>
      </c>
      <c r="N120" s="71" t="s">
        <v>90</v>
      </c>
      <c r="O120" s="65" t="s">
        <v>42</v>
      </c>
      <c r="P120" s="64" t="s">
        <v>268</v>
      </c>
      <c r="Q120" s="59" t="s">
        <v>112</v>
      </c>
      <c r="R120" s="59" t="s">
        <v>113</v>
      </c>
      <c r="S120" s="59" t="s">
        <v>114</v>
      </c>
      <c r="T120" s="59" t="s">
        <v>44</v>
      </c>
      <c r="U120" s="59" t="s">
        <v>366</v>
      </c>
      <c r="V120" s="59" t="s">
        <v>304</v>
      </c>
      <c r="W120" s="59" t="s">
        <v>305</v>
      </c>
    </row>
    <row r="121" s="37" customFormat="1" ht="15.75" spans="1:23">
      <c r="A121" s="65"/>
      <c r="B121" s="65"/>
      <c r="C121" s="65"/>
      <c r="D121" s="66" t="s">
        <v>102</v>
      </c>
      <c r="E121" s="66" t="s">
        <v>103</v>
      </c>
      <c r="F121" s="81"/>
      <c r="G121" s="80"/>
      <c r="H121" s="63" t="s">
        <v>157</v>
      </c>
      <c r="I121" s="11" t="s">
        <v>158</v>
      </c>
      <c r="J121" s="63" t="s">
        <v>108</v>
      </c>
      <c r="K121" s="76" t="s">
        <v>134</v>
      </c>
      <c r="L121" s="54">
        <v>42</v>
      </c>
      <c r="M121" s="54" t="s">
        <v>94</v>
      </c>
      <c r="N121" s="71" t="s">
        <v>90</v>
      </c>
      <c r="O121" s="65"/>
      <c r="P121" s="64" t="s">
        <v>268</v>
      </c>
      <c r="Q121" s="59" t="s">
        <v>112</v>
      </c>
      <c r="R121" s="59" t="s">
        <v>113</v>
      </c>
      <c r="S121" s="59" t="s">
        <v>114</v>
      </c>
      <c r="T121" s="59" t="s">
        <v>44</v>
      </c>
      <c r="U121" s="59" t="s">
        <v>366</v>
      </c>
      <c r="V121" s="59" t="s">
        <v>304</v>
      </c>
      <c r="W121" s="59" t="s">
        <v>305</v>
      </c>
    </row>
    <row r="122" s="37" customFormat="1" ht="15.75" spans="1:23">
      <c r="A122" s="65"/>
      <c r="B122" s="65"/>
      <c r="C122" s="65"/>
      <c r="D122" s="66" t="s">
        <v>102</v>
      </c>
      <c r="E122" s="66" t="s">
        <v>103</v>
      </c>
      <c r="F122" s="81"/>
      <c r="G122" s="80"/>
      <c r="H122" s="71" t="s">
        <v>132</v>
      </c>
      <c r="I122" s="71" t="s">
        <v>133</v>
      </c>
      <c r="J122" s="63" t="s">
        <v>108</v>
      </c>
      <c r="K122" s="71" t="s">
        <v>88</v>
      </c>
      <c r="L122" s="54">
        <v>21</v>
      </c>
      <c r="M122" s="54" t="s">
        <v>94</v>
      </c>
      <c r="N122" s="71" t="s">
        <v>90</v>
      </c>
      <c r="O122" s="65"/>
      <c r="P122" s="64" t="s">
        <v>268</v>
      </c>
      <c r="Q122" s="59" t="s">
        <v>112</v>
      </c>
      <c r="R122" s="59" t="s">
        <v>113</v>
      </c>
      <c r="S122" s="59" t="s">
        <v>114</v>
      </c>
      <c r="T122" s="59" t="s">
        <v>44</v>
      </c>
      <c r="U122" s="59" t="s">
        <v>366</v>
      </c>
      <c r="V122" s="59" t="s">
        <v>304</v>
      </c>
      <c r="W122" s="59" t="s">
        <v>305</v>
      </c>
    </row>
    <row r="123" s="37" customFormat="1" ht="24.75" customHeight="1" spans="1:23">
      <c r="A123" s="68"/>
      <c r="B123" s="65"/>
      <c r="C123" s="65"/>
      <c r="D123" s="66" t="s">
        <v>102</v>
      </c>
      <c r="E123" s="66" t="s">
        <v>103</v>
      </c>
      <c r="F123" s="72"/>
      <c r="G123" s="67"/>
      <c r="H123" s="63" t="s">
        <v>218</v>
      </c>
      <c r="I123" s="63" t="s">
        <v>219</v>
      </c>
      <c r="J123" s="63" t="s">
        <v>108</v>
      </c>
      <c r="K123" s="63" t="s">
        <v>93</v>
      </c>
      <c r="L123" s="54">
        <v>63</v>
      </c>
      <c r="M123" s="54" t="s">
        <v>94</v>
      </c>
      <c r="N123" s="63" t="s">
        <v>90</v>
      </c>
      <c r="O123" s="65"/>
      <c r="P123" s="64" t="s">
        <v>268</v>
      </c>
      <c r="Q123" s="59" t="s">
        <v>112</v>
      </c>
      <c r="R123" s="59" t="s">
        <v>113</v>
      </c>
      <c r="S123" s="59" t="s">
        <v>114</v>
      </c>
      <c r="T123" s="59" t="s">
        <v>44</v>
      </c>
      <c r="U123" s="59" t="s">
        <v>366</v>
      </c>
      <c r="V123" s="59" t="s">
        <v>304</v>
      </c>
      <c r="W123" s="59" t="s">
        <v>305</v>
      </c>
    </row>
    <row r="124" s="37" customFormat="1" ht="15.75" spans="1:23">
      <c r="A124" s="59" t="s">
        <v>367</v>
      </c>
      <c r="B124" s="60" t="s">
        <v>368</v>
      </c>
      <c r="C124" s="60" t="s">
        <v>173</v>
      </c>
      <c r="D124" s="61" t="s">
        <v>102</v>
      </c>
      <c r="E124" s="61" t="s">
        <v>103</v>
      </c>
      <c r="F124" s="62" t="s">
        <v>369</v>
      </c>
      <c r="G124" s="62" t="s">
        <v>370</v>
      </c>
      <c r="H124" s="63" t="s">
        <v>95</v>
      </c>
      <c r="I124" s="63" t="s">
        <v>96</v>
      </c>
      <c r="J124" s="63" t="s">
        <v>97</v>
      </c>
      <c r="K124" s="76" t="s">
        <v>88</v>
      </c>
      <c r="L124" s="54">
        <v>42</v>
      </c>
      <c r="M124" s="54" t="s">
        <v>94</v>
      </c>
      <c r="N124" s="63" t="s">
        <v>99</v>
      </c>
      <c r="O124" s="60" t="s">
        <v>21</v>
      </c>
      <c r="P124" s="59" t="s">
        <v>189</v>
      </c>
      <c r="Q124" s="59" t="s">
        <v>112</v>
      </c>
      <c r="R124" s="59" t="s">
        <v>161</v>
      </c>
      <c r="S124" s="59" t="s">
        <v>190</v>
      </c>
      <c r="T124" s="59" t="s">
        <v>23</v>
      </c>
      <c r="U124" s="59" t="s">
        <v>371</v>
      </c>
      <c r="V124" s="59" t="s">
        <v>116</v>
      </c>
      <c r="W124" s="59" t="s">
        <v>117</v>
      </c>
    </row>
    <row r="125" s="37" customFormat="1" ht="15.75" spans="1:23">
      <c r="A125" s="59"/>
      <c r="B125" s="60"/>
      <c r="C125" s="60"/>
      <c r="D125" s="61" t="s">
        <v>102</v>
      </c>
      <c r="E125" s="61" t="s">
        <v>103</v>
      </c>
      <c r="F125" s="62"/>
      <c r="G125" s="62"/>
      <c r="H125" s="63" t="s">
        <v>157</v>
      </c>
      <c r="I125" s="63" t="s">
        <v>284</v>
      </c>
      <c r="J125" s="63" t="s">
        <v>108</v>
      </c>
      <c r="K125" s="76" t="s">
        <v>88</v>
      </c>
      <c r="L125" s="54">
        <v>1</v>
      </c>
      <c r="M125" s="54" t="s">
        <v>135</v>
      </c>
      <c r="N125" s="63" t="s">
        <v>99</v>
      </c>
      <c r="O125" s="60"/>
      <c r="P125" s="59" t="s">
        <v>189</v>
      </c>
      <c r="Q125" s="59" t="s">
        <v>112</v>
      </c>
      <c r="R125" s="59" t="s">
        <v>161</v>
      </c>
      <c r="S125" s="59" t="s">
        <v>190</v>
      </c>
      <c r="T125" s="59" t="s">
        <v>23</v>
      </c>
      <c r="U125" s="59" t="s">
        <v>371</v>
      </c>
      <c r="V125" s="59" t="s">
        <v>116</v>
      </c>
      <c r="W125" s="59" t="s">
        <v>117</v>
      </c>
    </row>
    <row r="126" s="37" customFormat="1" ht="15.75" spans="1:23">
      <c r="A126" s="59"/>
      <c r="B126" s="60"/>
      <c r="C126" s="60"/>
      <c r="D126" s="61" t="s">
        <v>102</v>
      </c>
      <c r="E126" s="61" t="s">
        <v>103</v>
      </c>
      <c r="F126" s="62"/>
      <c r="G126" s="62"/>
      <c r="H126" s="63" t="s">
        <v>218</v>
      </c>
      <c r="I126" s="63" t="s">
        <v>291</v>
      </c>
      <c r="J126" s="63" t="s">
        <v>108</v>
      </c>
      <c r="K126" s="76" t="s">
        <v>93</v>
      </c>
      <c r="L126" s="54">
        <v>10</v>
      </c>
      <c r="M126" s="54" t="s">
        <v>135</v>
      </c>
      <c r="N126" s="63" t="s">
        <v>99</v>
      </c>
      <c r="O126" s="60"/>
      <c r="P126" s="59" t="s">
        <v>189</v>
      </c>
      <c r="Q126" s="59" t="s">
        <v>112</v>
      </c>
      <c r="R126" s="59" t="s">
        <v>161</v>
      </c>
      <c r="S126" s="59" t="s">
        <v>190</v>
      </c>
      <c r="T126" s="59" t="s">
        <v>23</v>
      </c>
      <c r="U126" s="59" t="s">
        <v>371</v>
      </c>
      <c r="V126" s="59" t="s">
        <v>116</v>
      </c>
      <c r="W126" s="59" t="s">
        <v>117</v>
      </c>
    </row>
    <row r="127" s="37" customFormat="1" ht="15.75" spans="1:23">
      <c r="A127" s="59"/>
      <c r="B127" s="60"/>
      <c r="C127" s="60"/>
      <c r="D127" s="61" t="s">
        <v>102</v>
      </c>
      <c r="E127" s="61" t="s">
        <v>103</v>
      </c>
      <c r="F127" s="62"/>
      <c r="G127" s="62"/>
      <c r="H127" s="63" t="s">
        <v>95</v>
      </c>
      <c r="I127" s="63" t="s">
        <v>285</v>
      </c>
      <c r="J127" s="63" t="s">
        <v>108</v>
      </c>
      <c r="K127" s="76" t="s">
        <v>134</v>
      </c>
      <c r="L127" s="54">
        <v>2</v>
      </c>
      <c r="M127" s="54" t="s">
        <v>135</v>
      </c>
      <c r="N127" s="63" t="s">
        <v>99</v>
      </c>
      <c r="O127" s="60"/>
      <c r="P127" s="59" t="s">
        <v>189</v>
      </c>
      <c r="Q127" s="59" t="s">
        <v>112</v>
      </c>
      <c r="R127" s="59" t="s">
        <v>161</v>
      </c>
      <c r="S127" s="59" t="s">
        <v>190</v>
      </c>
      <c r="T127" s="59" t="s">
        <v>23</v>
      </c>
      <c r="U127" s="59" t="s">
        <v>371</v>
      </c>
      <c r="V127" s="59" t="s">
        <v>116</v>
      </c>
      <c r="W127" s="59" t="s">
        <v>117</v>
      </c>
    </row>
    <row r="128" s="37" customFormat="1" ht="15.75" spans="1:23">
      <c r="A128" s="59"/>
      <c r="B128" s="60"/>
      <c r="C128" s="60"/>
      <c r="D128" s="61" t="s">
        <v>102</v>
      </c>
      <c r="E128" s="61" t="s">
        <v>103</v>
      </c>
      <c r="F128" s="62"/>
      <c r="G128" s="62"/>
      <c r="H128" s="63" t="s">
        <v>85</v>
      </c>
      <c r="I128" s="63" t="s">
        <v>192</v>
      </c>
      <c r="J128" s="63" t="s">
        <v>108</v>
      </c>
      <c r="K128" s="76" t="s">
        <v>88</v>
      </c>
      <c r="L128" s="54">
        <v>1</v>
      </c>
      <c r="M128" s="54" t="s">
        <v>135</v>
      </c>
      <c r="N128" s="63" t="s">
        <v>99</v>
      </c>
      <c r="O128" s="60"/>
      <c r="P128" s="59" t="s">
        <v>189</v>
      </c>
      <c r="Q128" s="59" t="s">
        <v>112</v>
      </c>
      <c r="R128" s="59" t="s">
        <v>161</v>
      </c>
      <c r="S128" s="59" t="s">
        <v>190</v>
      </c>
      <c r="T128" s="59" t="s">
        <v>23</v>
      </c>
      <c r="U128" s="59" t="s">
        <v>371</v>
      </c>
      <c r="V128" s="59" t="s">
        <v>116</v>
      </c>
      <c r="W128" s="59" t="s">
        <v>117</v>
      </c>
    </row>
    <row r="129" s="37" customFormat="1" ht="15.75" spans="1:23">
      <c r="A129" s="59"/>
      <c r="B129" s="60"/>
      <c r="C129" s="60"/>
      <c r="D129" s="61" t="s">
        <v>102</v>
      </c>
      <c r="E129" s="61" t="s">
        <v>103</v>
      </c>
      <c r="F129" s="62"/>
      <c r="G129" s="62"/>
      <c r="H129" s="63" t="s">
        <v>95</v>
      </c>
      <c r="I129" s="63" t="s">
        <v>136</v>
      </c>
      <c r="J129" s="63" t="s">
        <v>108</v>
      </c>
      <c r="K129" s="76" t="s">
        <v>88</v>
      </c>
      <c r="L129" s="54">
        <v>1</v>
      </c>
      <c r="M129" s="54" t="s">
        <v>135</v>
      </c>
      <c r="N129" s="63" t="s">
        <v>99</v>
      </c>
      <c r="O129" s="60"/>
      <c r="P129" s="59" t="s">
        <v>189</v>
      </c>
      <c r="Q129" s="59" t="s">
        <v>112</v>
      </c>
      <c r="R129" s="59" t="s">
        <v>161</v>
      </c>
      <c r="S129" s="59" t="s">
        <v>190</v>
      </c>
      <c r="T129" s="59" t="s">
        <v>23</v>
      </c>
      <c r="U129" s="59" t="s">
        <v>371</v>
      </c>
      <c r="V129" s="59" t="s">
        <v>116</v>
      </c>
      <c r="W129" s="59" t="s">
        <v>117</v>
      </c>
    </row>
    <row r="130" s="37" customFormat="1" customHeight="1" spans="1:23">
      <c r="A130" s="65" t="s">
        <v>372</v>
      </c>
      <c r="B130" s="65" t="s">
        <v>373</v>
      </c>
      <c r="C130" s="65" t="s">
        <v>173</v>
      </c>
      <c r="D130" s="66"/>
      <c r="E130" s="66"/>
      <c r="F130" s="72" t="s">
        <v>374</v>
      </c>
      <c r="G130" s="72" t="s">
        <v>375</v>
      </c>
      <c r="H130" s="63" t="s">
        <v>85</v>
      </c>
      <c r="I130" s="63" t="s">
        <v>86</v>
      </c>
      <c r="J130" s="63" t="s">
        <v>87</v>
      </c>
      <c r="K130" s="63" t="s">
        <v>93</v>
      </c>
      <c r="L130" s="54">
        <v>3</v>
      </c>
      <c r="M130" s="54" t="s">
        <v>274</v>
      </c>
      <c r="N130" s="63" t="s">
        <v>110</v>
      </c>
      <c r="O130" s="65" t="s">
        <v>24</v>
      </c>
      <c r="P130" s="68" t="s">
        <v>275</v>
      </c>
      <c r="Q130" s="68" t="s">
        <v>112</v>
      </c>
      <c r="R130" s="68" t="s">
        <v>276</v>
      </c>
      <c r="S130" s="68" t="s">
        <v>277</v>
      </c>
      <c r="T130" s="68" t="s">
        <v>26</v>
      </c>
      <c r="U130" s="68" t="s">
        <v>376</v>
      </c>
      <c r="V130" s="68" t="s">
        <v>116</v>
      </c>
      <c r="W130" s="68" t="s">
        <v>117</v>
      </c>
    </row>
    <row r="131" s="37" customFormat="1" customHeight="1" spans="1:23">
      <c r="A131" s="65"/>
      <c r="B131" s="65"/>
      <c r="C131" s="65"/>
      <c r="D131" s="66"/>
      <c r="E131" s="66"/>
      <c r="F131" s="72"/>
      <c r="G131" s="72"/>
      <c r="H131" s="63" t="s">
        <v>85</v>
      </c>
      <c r="I131" s="63" t="s">
        <v>267</v>
      </c>
      <c r="J131" s="63" t="s">
        <v>87</v>
      </c>
      <c r="K131" s="63" t="s">
        <v>93</v>
      </c>
      <c r="L131" s="54">
        <v>1</v>
      </c>
      <c r="M131" s="54" t="s">
        <v>274</v>
      </c>
      <c r="N131" s="63" t="s">
        <v>110</v>
      </c>
      <c r="O131" s="65"/>
      <c r="P131" s="68"/>
      <c r="Q131" s="68"/>
      <c r="R131" s="68"/>
      <c r="S131" s="68"/>
      <c r="T131" s="68"/>
      <c r="U131" s="68"/>
      <c r="V131" s="68"/>
      <c r="W131" s="68"/>
    </row>
    <row r="132" s="37" customFormat="1" ht="15.75" spans="1:23">
      <c r="A132" s="65"/>
      <c r="B132" s="65"/>
      <c r="C132" s="65"/>
      <c r="D132" s="66"/>
      <c r="E132" s="66"/>
      <c r="F132" s="72"/>
      <c r="G132" s="72"/>
      <c r="H132" s="63" t="s">
        <v>85</v>
      </c>
      <c r="I132" s="63" t="s">
        <v>209</v>
      </c>
      <c r="J132" s="63" t="s">
        <v>108</v>
      </c>
      <c r="K132" s="63" t="s">
        <v>134</v>
      </c>
      <c r="L132" s="54">
        <v>1</v>
      </c>
      <c r="M132" s="54" t="s">
        <v>279</v>
      </c>
      <c r="N132" s="63" t="s">
        <v>110</v>
      </c>
      <c r="O132" s="65"/>
      <c r="P132" s="68"/>
      <c r="Q132" s="68"/>
      <c r="R132" s="68"/>
      <c r="S132" s="68"/>
      <c r="T132" s="68"/>
      <c r="U132" s="68"/>
      <c r="V132" s="68"/>
      <c r="W132" s="68"/>
    </row>
    <row r="133" s="37" customFormat="1" ht="15.75" spans="1:23">
      <c r="A133" s="65"/>
      <c r="B133" s="65"/>
      <c r="C133" s="65"/>
      <c r="D133" s="66"/>
      <c r="E133" s="66"/>
      <c r="F133" s="72"/>
      <c r="G133" s="72"/>
      <c r="H133" s="71" t="s">
        <v>91</v>
      </c>
      <c r="I133" s="71" t="s">
        <v>209</v>
      </c>
      <c r="J133" s="63" t="s">
        <v>108</v>
      </c>
      <c r="K133" s="71" t="s">
        <v>88</v>
      </c>
      <c r="L133" s="54">
        <v>4</v>
      </c>
      <c r="M133" s="54" t="s">
        <v>279</v>
      </c>
      <c r="N133" s="63" t="s">
        <v>110</v>
      </c>
      <c r="O133" s="65"/>
      <c r="P133" s="68"/>
      <c r="Q133" s="68"/>
      <c r="R133" s="68"/>
      <c r="S133" s="68"/>
      <c r="T133" s="68"/>
      <c r="U133" s="68"/>
      <c r="V133" s="68"/>
      <c r="W133" s="68"/>
    </row>
    <row r="134" s="37" customFormat="1" ht="15.75" spans="1:23">
      <c r="A134" s="65"/>
      <c r="B134" s="65"/>
      <c r="C134" s="65"/>
      <c r="D134" s="66"/>
      <c r="E134" s="66"/>
      <c r="F134" s="72"/>
      <c r="G134" s="72"/>
      <c r="H134" s="71" t="s">
        <v>91</v>
      </c>
      <c r="I134" s="71" t="s">
        <v>183</v>
      </c>
      <c r="J134" s="63" t="s">
        <v>108</v>
      </c>
      <c r="K134" s="71" t="s">
        <v>134</v>
      </c>
      <c r="L134" s="54">
        <v>7</v>
      </c>
      <c r="M134" s="54" t="s">
        <v>280</v>
      </c>
      <c r="N134" s="63" t="s">
        <v>110</v>
      </c>
      <c r="O134" s="65"/>
      <c r="P134" s="68"/>
      <c r="Q134" s="68"/>
      <c r="R134" s="68"/>
      <c r="S134" s="68"/>
      <c r="T134" s="68"/>
      <c r="U134" s="68"/>
      <c r="V134" s="68"/>
      <c r="W134" s="68"/>
    </row>
    <row r="135" s="37" customFormat="1" ht="15.75" spans="1:23">
      <c r="A135" s="65"/>
      <c r="B135" s="65"/>
      <c r="C135" s="65"/>
      <c r="D135" s="66"/>
      <c r="E135" s="66"/>
      <c r="F135" s="72"/>
      <c r="G135" s="72"/>
      <c r="H135" s="71" t="s">
        <v>132</v>
      </c>
      <c r="I135" s="71" t="s">
        <v>133</v>
      </c>
      <c r="J135" s="63" t="s">
        <v>108</v>
      </c>
      <c r="K135" s="71" t="s">
        <v>134</v>
      </c>
      <c r="L135" s="54">
        <v>3</v>
      </c>
      <c r="M135" s="54" t="s">
        <v>280</v>
      </c>
      <c r="N135" s="63" t="s">
        <v>110</v>
      </c>
      <c r="O135" s="65"/>
      <c r="P135" s="68"/>
      <c r="Q135" s="68"/>
      <c r="R135" s="68"/>
      <c r="S135" s="68"/>
      <c r="T135" s="68"/>
      <c r="U135" s="68"/>
      <c r="V135" s="68"/>
      <c r="W135" s="68"/>
    </row>
    <row r="136" s="37" customFormat="1" customHeight="1" spans="1:23">
      <c r="A136" s="65"/>
      <c r="B136" s="65"/>
      <c r="C136" s="65"/>
      <c r="D136" s="66"/>
      <c r="E136" s="66"/>
      <c r="F136" s="72"/>
      <c r="G136" s="72"/>
      <c r="H136" s="71" t="s">
        <v>106</v>
      </c>
      <c r="I136" s="71" t="s">
        <v>281</v>
      </c>
      <c r="J136" s="63" t="s">
        <v>87</v>
      </c>
      <c r="K136" s="71" t="s">
        <v>93</v>
      </c>
      <c r="L136" s="54">
        <v>2</v>
      </c>
      <c r="M136" s="54" t="s">
        <v>282</v>
      </c>
      <c r="N136" s="71" t="s">
        <v>110</v>
      </c>
      <c r="O136" s="65"/>
      <c r="P136" s="68"/>
      <c r="Q136" s="68"/>
      <c r="R136" s="68"/>
      <c r="S136" s="68"/>
      <c r="T136" s="68"/>
      <c r="U136" s="68"/>
      <c r="V136" s="68"/>
      <c r="W136" s="68"/>
    </row>
    <row r="137" s="37" customFormat="1" ht="15.75" spans="1:23">
      <c r="A137" s="65"/>
      <c r="B137" s="65"/>
      <c r="C137" s="65"/>
      <c r="D137" s="66"/>
      <c r="E137" s="66"/>
      <c r="F137" s="72"/>
      <c r="G137" s="72"/>
      <c r="H137" s="71" t="s">
        <v>106</v>
      </c>
      <c r="I137" s="75" t="s">
        <v>107</v>
      </c>
      <c r="J137" s="63" t="s">
        <v>108</v>
      </c>
      <c r="K137" s="75" t="s">
        <v>93</v>
      </c>
      <c r="L137" s="54">
        <v>7</v>
      </c>
      <c r="M137" s="54" t="s">
        <v>282</v>
      </c>
      <c r="N137" s="75" t="s">
        <v>110</v>
      </c>
      <c r="O137" s="65"/>
      <c r="P137" s="68"/>
      <c r="Q137" s="68"/>
      <c r="R137" s="68"/>
      <c r="S137" s="68"/>
      <c r="T137" s="68"/>
      <c r="U137" s="68"/>
      <c r="V137" s="68"/>
      <c r="W137" s="68"/>
    </row>
    <row r="138" s="37" customFormat="1" ht="15.75" spans="1:23">
      <c r="A138" s="65"/>
      <c r="B138" s="65"/>
      <c r="C138" s="65"/>
      <c r="D138" s="66"/>
      <c r="E138" s="66"/>
      <c r="F138" s="72"/>
      <c r="G138" s="72"/>
      <c r="H138" s="71" t="s">
        <v>106</v>
      </c>
      <c r="I138" s="75" t="s">
        <v>170</v>
      </c>
      <c r="J138" s="63" t="s">
        <v>108</v>
      </c>
      <c r="K138" s="75" t="s">
        <v>134</v>
      </c>
      <c r="L138" s="54">
        <v>7</v>
      </c>
      <c r="M138" s="54" t="s">
        <v>282</v>
      </c>
      <c r="N138" s="75" t="s">
        <v>110</v>
      </c>
      <c r="O138" s="65"/>
      <c r="P138" s="68"/>
      <c r="Q138" s="68"/>
      <c r="R138" s="68"/>
      <c r="S138" s="68"/>
      <c r="T138" s="68"/>
      <c r="U138" s="68"/>
      <c r="V138" s="68"/>
      <c r="W138" s="68"/>
    </row>
    <row r="139" s="37" customFormat="1" ht="15.75" spans="1:23">
      <c r="A139" s="65"/>
      <c r="B139" s="65"/>
      <c r="C139" s="65"/>
      <c r="D139" s="66"/>
      <c r="E139" s="66"/>
      <c r="F139" s="72"/>
      <c r="G139" s="72"/>
      <c r="H139" s="71" t="s">
        <v>106</v>
      </c>
      <c r="I139" s="75" t="s">
        <v>166</v>
      </c>
      <c r="J139" s="63" t="s">
        <v>108</v>
      </c>
      <c r="K139" s="75" t="s">
        <v>88</v>
      </c>
      <c r="L139" s="54">
        <v>10</v>
      </c>
      <c r="M139" s="54" t="s">
        <v>282</v>
      </c>
      <c r="N139" s="75" t="s">
        <v>110</v>
      </c>
      <c r="O139" s="65"/>
      <c r="P139" s="68"/>
      <c r="Q139" s="68"/>
      <c r="R139" s="68"/>
      <c r="S139" s="68"/>
      <c r="T139" s="68"/>
      <c r="U139" s="68"/>
      <c r="V139" s="68"/>
      <c r="W139" s="68"/>
    </row>
    <row r="140" s="37" customFormat="1" ht="15.75" spans="1:23">
      <c r="A140" s="65"/>
      <c r="B140" s="65"/>
      <c r="C140" s="65"/>
      <c r="D140" s="66"/>
      <c r="E140" s="66"/>
      <c r="F140" s="72"/>
      <c r="G140" s="72"/>
      <c r="H140" s="71" t="s">
        <v>106</v>
      </c>
      <c r="I140" s="75" t="s">
        <v>283</v>
      </c>
      <c r="J140" s="63" t="s">
        <v>108</v>
      </c>
      <c r="K140" s="75" t="s">
        <v>134</v>
      </c>
      <c r="L140" s="54">
        <v>10</v>
      </c>
      <c r="M140" s="54" t="s">
        <v>282</v>
      </c>
      <c r="N140" s="75" t="s">
        <v>110</v>
      </c>
      <c r="O140" s="65"/>
      <c r="P140" s="68"/>
      <c r="Q140" s="68"/>
      <c r="R140" s="68"/>
      <c r="S140" s="68"/>
      <c r="T140" s="68"/>
      <c r="U140" s="68"/>
      <c r="V140" s="68"/>
      <c r="W140" s="68"/>
    </row>
    <row r="141" s="37" customFormat="1" customHeight="1" spans="1:23">
      <c r="A141" s="65"/>
      <c r="B141" s="65"/>
      <c r="C141" s="65"/>
      <c r="D141" s="66"/>
      <c r="E141" s="66"/>
      <c r="F141" s="72"/>
      <c r="G141" s="72"/>
      <c r="H141" s="71" t="s">
        <v>106</v>
      </c>
      <c r="I141" s="75" t="s">
        <v>249</v>
      </c>
      <c r="J141" s="63" t="s">
        <v>87</v>
      </c>
      <c r="K141" s="75" t="s">
        <v>93</v>
      </c>
      <c r="L141" s="54">
        <v>7</v>
      </c>
      <c r="M141" s="54" t="s">
        <v>282</v>
      </c>
      <c r="N141" s="75" t="s">
        <v>110</v>
      </c>
      <c r="O141" s="65"/>
      <c r="P141" s="68"/>
      <c r="Q141" s="68"/>
      <c r="R141" s="68"/>
      <c r="S141" s="68"/>
      <c r="T141" s="68"/>
      <c r="U141" s="68"/>
      <c r="V141" s="68"/>
      <c r="W141" s="68"/>
    </row>
    <row r="142" s="37" customFormat="1" ht="15.75" spans="1:23">
      <c r="A142" s="65"/>
      <c r="B142" s="65"/>
      <c r="C142" s="65"/>
      <c r="D142" s="66"/>
      <c r="E142" s="66"/>
      <c r="F142" s="72"/>
      <c r="G142" s="72"/>
      <c r="H142" s="71" t="s">
        <v>106</v>
      </c>
      <c r="I142" s="75" t="s">
        <v>284</v>
      </c>
      <c r="J142" s="63" t="s">
        <v>108</v>
      </c>
      <c r="K142" s="75" t="s">
        <v>88</v>
      </c>
      <c r="L142" s="54">
        <v>10</v>
      </c>
      <c r="M142" s="54" t="s">
        <v>282</v>
      </c>
      <c r="N142" s="75" t="s">
        <v>110</v>
      </c>
      <c r="O142" s="65"/>
      <c r="P142" s="68"/>
      <c r="Q142" s="68"/>
      <c r="R142" s="68"/>
      <c r="S142" s="68"/>
      <c r="T142" s="68"/>
      <c r="U142" s="68"/>
      <c r="V142" s="68"/>
      <c r="W142" s="68"/>
    </row>
    <row r="143" s="37" customFormat="1" ht="15.75" spans="1:23">
      <c r="A143" s="65"/>
      <c r="B143" s="65"/>
      <c r="C143" s="65"/>
      <c r="D143" s="66"/>
      <c r="E143" s="66"/>
      <c r="F143" s="72"/>
      <c r="G143" s="72"/>
      <c r="H143" s="71" t="s">
        <v>119</v>
      </c>
      <c r="I143" s="75" t="s">
        <v>120</v>
      </c>
      <c r="J143" s="63" t="s">
        <v>108</v>
      </c>
      <c r="K143" s="75" t="s">
        <v>93</v>
      </c>
      <c r="L143" s="54">
        <v>21</v>
      </c>
      <c r="M143" s="54" t="s">
        <v>282</v>
      </c>
      <c r="N143" s="75" t="s">
        <v>99</v>
      </c>
      <c r="O143" s="65"/>
      <c r="P143" s="68"/>
      <c r="Q143" s="68"/>
      <c r="R143" s="68"/>
      <c r="S143" s="68"/>
      <c r="T143" s="68"/>
      <c r="U143" s="68"/>
      <c r="V143" s="68"/>
      <c r="W143" s="68"/>
    </row>
    <row r="144" s="37" customFormat="1" ht="15.75" spans="1:23">
      <c r="A144" s="65"/>
      <c r="B144" s="65"/>
      <c r="C144" s="65"/>
      <c r="D144" s="66"/>
      <c r="E144" s="66"/>
      <c r="F144" s="72"/>
      <c r="G144" s="72"/>
      <c r="H144" s="71" t="s">
        <v>119</v>
      </c>
      <c r="I144" s="75" t="s">
        <v>183</v>
      </c>
      <c r="J144" s="63" t="s">
        <v>108</v>
      </c>
      <c r="K144" s="75" t="s">
        <v>93</v>
      </c>
      <c r="L144" s="54">
        <v>21</v>
      </c>
      <c r="M144" s="54" t="s">
        <v>98</v>
      </c>
      <c r="N144" s="75" t="s">
        <v>99</v>
      </c>
      <c r="O144" s="65"/>
      <c r="P144" s="68"/>
      <c r="Q144" s="68"/>
      <c r="R144" s="68"/>
      <c r="S144" s="68"/>
      <c r="T144" s="68"/>
      <c r="U144" s="68"/>
      <c r="V144" s="68"/>
      <c r="W144" s="68"/>
    </row>
    <row r="145" s="37" customFormat="1" ht="15.75" spans="1:23">
      <c r="A145" s="65"/>
      <c r="B145" s="65"/>
      <c r="C145" s="65"/>
      <c r="D145" s="66"/>
      <c r="E145" s="66"/>
      <c r="F145" s="72"/>
      <c r="G145" s="72"/>
      <c r="H145" s="71" t="s">
        <v>95</v>
      </c>
      <c r="I145" s="71" t="s">
        <v>285</v>
      </c>
      <c r="J145" s="63" t="s">
        <v>108</v>
      </c>
      <c r="K145" s="71" t="s">
        <v>134</v>
      </c>
      <c r="L145" s="54">
        <v>21</v>
      </c>
      <c r="M145" s="54" t="s">
        <v>98</v>
      </c>
      <c r="N145" s="63" t="s">
        <v>110</v>
      </c>
      <c r="O145" s="65"/>
      <c r="P145" s="68"/>
      <c r="Q145" s="68"/>
      <c r="R145" s="68"/>
      <c r="S145" s="68"/>
      <c r="T145" s="68"/>
      <c r="U145" s="68"/>
      <c r="V145" s="68"/>
      <c r="W145" s="68"/>
    </row>
    <row r="146" s="37" customFormat="1" ht="15.75" spans="1:23">
      <c r="A146" s="65"/>
      <c r="B146" s="65"/>
      <c r="C146" s="65"/>
      <c r="D146" s="66"/>
      <c r="E146" s="66"/>
      <c r="F146" s="72"/>
      <c r="G146" s="72"/>
      <c r="H146" s="71" t="s">
        <v>254</v>
      </c>
      <c r="I146" s="71" t="s">
        <v>255</v>
      </c>
      <c r="J146" s="63" t="s">
        <v>108</v>
      </c>
      <c r="K146" s="71" t="s">
        <v>134</v>
      </c>
      <c r="L146" s="54">
        <v>10</v>
      </c>
      <c r="M146" s="54" t="s">
        <v>282</v>
      </c>
      <c r="N146" s="63" t="s">
        <v>99</v>
      </c>
      <c r="O146" s="65"/>
      <c r="P146" s="68"/>
      <c r="Q146" s="68"/>
      <c r="R146" s="68"/>
      <c r="S146" s="68"/>
      <c r="T146" s="68"/>
      <c r="U146" s="68"/>
      <c r="V146" s="68"/>
      <c r="W146" s="68"/>
    </row>
    <row r="147" s="37" customFormat="1" customHeight="1" spans="1:23">
      <c r="A147" s="65"/>
      <c r="B147" s="65"/>
      <c r="C147" s="65"/>
      <c r="D147" s="66"/>
      <c r="E147" s="66"/>
      <c r="F147" s="72"/>
      <c r="G147" s="72"/>
      <c r="H147" s="71" t="s">
        <v>254</v>
      </c>
      <c r="I147" s="71" t="s">
        <v>286</v>
      </c>
      <c r="J147" s="63" t="s">
        <v>87</v>
      </c>
      <c r="K147" s="71" t="s">
        <v>134</v>
      </c>
      <c r="L147" s="54">
        <v>8</v>
      </c>
      <c r="M147" s="54" t="s">
        <v>282</v>
      </c>
      <c r="N147" s="63" t="s">
        <v>99</v>
      </c>
      <c r="O147" s="65"/>
      <c r="P147" s="68"/>
      <c r="Q147" s="68"/>
      <c r="R147" s="68"/>
      <c r="S147" s="68"/>
      <c r="T147" s="68"/>
      <c r="U147" s="68"/>
      <c r="V147" s="68"/>
      <c r="W147" s="68"/>
    </row>
    <row r="148" s="37" customFormat="1" ht="15.75" spans="1:23">
      <c r="A148" s="65"/>
      <c r="B148" s="65"/>
      <c r="C148" s="65"/>
      <c r="D148" s="66"/>
      <c r="E148" s="66"/>
      <c r="F148" s="72"/>
      <c r="G148" s="72"/>
      <c r="H148" s="71" t="s">
        <v>95</v>
      </c>
      <c r="I148" s="71" t="s">
        <v>377</v>
      </c>
      <c r="J148" s="63" t="s">
        <v>108</v>
      </c>
      <c r="K148" s="71" t="s">
        <v>93</v>
      </c>
      <c r="L148" s="54">
        <v>5</v>
      </c>
      <c r="M148" s="54" t="s">
        <v>98</v>
      </c>
      <c r="N148" s="71" t="s">
        <v>99</v>
      </c>
      <c r="O148" s="65"/>
      <c r="P148" s="68"/>
      <c r="Q148" s="68"/>
      <c r="R148" s="68"/>
      <c r="S148" s="68"/>
      <c r="T148" s="68"/>
      <c r="U148" s="68"/>
      <c r="V148" s="68"/>
      <c r="W148" s="68"/>
    </row>
    <row r="149" s="37" customFormat="1" ht="15.75" spans="1:23">
      <c r="A149" s="65"/>
      <c r="B149" s="65"/>
      <c r="C149" s="65"/>
      <c r="D149" s="66"/>
      <c r="E149" s="66"/>
      <c r="F149" s="72"/>
      <c r="G149" s="72"/>
      <c r="H149" s="71" t="s">
        <v>95</v>
      </c>
      <c r="I149" s="71" t="s">
        <v>96</v>
      </c>
      <c r="J149" s="63" t="s">
        <v>97</v>
      </c>
      <c r="K149" s="71" t="s">
        <v>134</v>
      </c>
      <c r="L149" s="54">
        <v>1</v>
      </c>
      <c r="M149" s="54" t="s">
        <v>98</v>
      </c>
      <c r="N149" s="71" t="s">
        <v>99</v>
      </c>
      <c r="O149" s="65"/>
      <c r="P149" s="68"/>
      <c r="Q149" s="68"/>
      <c r="R149" s="68"/>
      <c r="S149" s="68"/>
      <c r="T149" s="68"/>
      <c r="U149" s="68"/>
      <c r="V149" s="68"/>
      <c r="W149" s="68"/>
    </row>
    <row r="150" s="37" customFormat="1" ht="15.75" spans="1:23">
      <c r="A150" s="65"/>
      <c r="B150" s="65"/>
      <c r="C150" s="65"/>
      <c r="D150" s="66"/>
      <c r="E150" s="66"/>
      <c r="F150" s="72"/>
      <c r="G150" s="72"/>
      <c r="H150" s="71" t="s">
        <v>157</v>
      </c>
      <c r="I150" s="71" t="s">
        <v>222</v>
      </c>
      <c r="J150" s="63" t="s">
        <v>108</v>
      </c>
      <c r="K150" s="71" t="s">
        <v>134</v>
      </c>
      <c r="L150" s="54">
        <v>4</v>
      </c>
      <c r="M150" s="54" t="s">
        <v>282</v>
      </c>
      <c r="N150" s="71" t="s">
        <v>110</v>
      </c>
      <c r="O150" s="65"/>
      <c r="P150" s="68"/>
      <c r="Q150" s="68"/>
      <c r="R150" s="68"/>
      <c r="S150" s="68"/>
      <c r="T150" s="68"/>
      <c r="U150" s="68"/>
      <c r="V150" s="68"/>
      <c r="W150" s="68"/>
    </row>
    <row r="151" s="37" customFormat="1" ht="15.75" spans="1:23">
      <c r="A151" s="65"/>
      <c r="B151" s="65"/>
      <c r="C151" s="65"/>
      <c r="D151" s="66"/>
      <c r="E151" s="66"/>
      <c r="F151" s="72"/>
      <c r="G151" s="72"/>
      <c r="H151" s="71" t="s">
        <v>157</v>
      </c>
      <c r="I151" s="71" t="s">
        <v>158</v>
      </c>
      <c r="J151" s="63" t="s">
        <v>108</v>
      </c>
      <c r="K151" s="71" t="s">
        <v>134</v>
      </c>
      <c r="L151" s="54">
        <v>5</v>
      </c>
      <c r="M151" s="54" t="s">
        <v>282</v>
      </c>
      <c r="N151" s="71" t="s">
        <v>110</v>
      </c>
      <c r="O151" s="65"/>
      <c r="P151" s="68"/>
      <c r="Q151" s="68"/>
      <c r="R151" s="68"/>
      <c r="S151" s="68"/>
      <c r="T151" s="68"/>
      <c r="U151" s="68"/>
      <c r="V151" s="68"/>
      <c r="W151" s="68"/>
    </row>
    <row r="152" s="37" customFormat="1" ht="15.75" spans="1:23">
      <c r="A152" s="86" t="s">
        <v>22</v>
      </c>
      <c r="B152" s="87" t="s">
        <v>21</v>
      </c>
      <c r="C152" s="87" t="s">
        <v>173</v>
      </c>
      <c r="D152" s="61" t="s">
        <v>102</v>
      </c>
      <c r="E152" s="61" t="s">
        <v>103</v>
      </c>
      <c r="F152" s="88" t="s">
        <v>378</v>
      </c>
      <c r="G152" s="88" t="s">
        <v>379</v>
      </c>
      <c r="H152" s="75" t="s">
        <v>157</v>
      </c>
      <c r="I152" s="75" t="s">
        <v>158</v>
      </c>
      <c r="J152" s="63" t="s">
        <v>108</v>
      </c>
      <c r="K152" s="76" t="s">
        <v>134</v>
      </c>
      <c r="L152" s="54">
        <v>20</v>
      </c>
      <c r="M152" s="54" t="s">
        <v>247</v>
      </c>
      <c r="N152" s="75" t="s">
        <v>110</v>
      </c>
      <c r="O152" s="87" t="s">
        <v>21</v>
      </c>
      <c r="P152" s="86" t="s">
        <v>111</v>
      </c>
      <c r="Q152" s="86" t="s">
        <v>112</v>
      </c>
      <c r="R152" s="86" t="s">
        <v>161</v>
      </c>
      <c r="S152" s="86" t="s">
        <v>190</v>
      </c>
      <c r="T152" s="86" t="s">
        <v>23</v>
      </c>
      <c r="U152" s="86" t="s">
        <v>380</v>
      </c>
      <c r="V152" s="86" t="s">
        <v>116</v>
      </c>
      <c r="W152" s="86" t="s">
        <v>117</v>
      </c>
    </row>
    <row r="153" s="37" customFormat="1" ht="15.75" spans="1:23">
      <c r="A153" s="86"/>
      <c r="B153" s="87"/>
      <c r="C153" s="87"/>
      <c r="D153" s="61" t="s">
        <v>102</v>
      </c>
      <c r="E153" s="61" t="s">
        <v>103</v>
      </c>
      <c r="F153" s="88"/>
      <c r="G153" s="88"/>
      <c r="H153" s="75" t="s">
        <v>132</v>
      </c>
      <c r="I153" s="75" t="s">
        <v>133</v>
      </c>
      <c r="J153" s="63" t="s">
        <v>108</v>
      </c>
      <c r="K153" s="76" t="s">
        <v>134</v>
      </c>
      <c r="L153" s="54">
        <v>20</v>
      </c>
      <c r="M153" s="54" t="s">
        <v>381</v>
      </c>
      <c r="N153" s="75" t="s">
        <v>110</v>
      </c>
      <c r="O153" s="87" t="s">
        <v>21</v>
      </c>
      <c r="P153" s="86" t="s">
        <v>111</v>
      </c>
      <c r="Q153" s="86" t="s">
        <v>112</v>
      </c>
      <c r="R153" s="86" t="s">
        <v>161</v>
      </c>
      <c r="S153" s="86" t="s">
        <v>190</v>
      </c>
      <c r="T153" s="86" t="s">
        <v>23</v>
      </c>
      <c r="U153" s="86" t="s">
        <v>380</v>
      </c>
      <c r="V153" s="86" t="s">
        <v>116</v>
      </c>
      <c r="W153" s="86" t="s">
        <v>117</v>
      </c>
    </row>
    <row r="154" s="37" customFormat="1" ht="15.75" spans="1:23">
      <c r="A154" s="86"/>
      <c r="B154" s="87"/>
      <c r="C154" s="87"/>
      <c r="D154" s="61" t="s">
        <v>102</v>
      </c>
      <c r="E154" s="61" t="s">
        <v>103</v>
      </c>
      <c r="F154" s="88"/>
      <c r="G154" s="88"/>
      <c r="H154" s="75" t="s">
        <v>95</v>
      </c>
      <c r="I154" s="75" t="s">
        <v>193</v>
      </c>
      <c r="J154" s="63" t="s">
        <v>108</v>
      </c>
      <c r="K154" s="76" t="s">
        <v>134</v>
      </c>
      <c r="L154" s="54">
        <v>20</v>
      </c>
      <c r="M154" s="54" t="s">
        <v>382</v>
      </c>
      <c r="N154" s="75" t="s">
        <v>110</v>
      </c>
      <c r="O154" s="87" t="s">
        <v>21</v>
      </c>
      <c r="P154" s="86" t="s">
        <v>111</v>
      </c>
      <c r="Q154" s="86" t="s">
        <v>112</v>
      </c>
      <c r="R154" s="86" t="s">
        <v>161</v>
      </c>
      <c r="S154" s="86" t="s">
        <v>190</v>
      </c>
      <c r="T154" s="86" t="s">
        <v>23</v>
      </c>
      <c r="U154" s="86" t="s">
        <v>380</v>
      </c>
      <c r="V154" s="86" t="s">
        <v>116</v>
      </c>
      <c r="W154" s="86" t="s">
        <v>117</v>
      </c>
    </row>
    <row r="155" s="37" customFormat="1" ht="15.75" spans="1:23">
      <c r="A155" s="86"/>
      <c r="B155" s="87"/>
      <c r="C155" s="87"/>
      <c r="D155" s="61" t="s">
        <v>102</v>
      </c>
      <c r="E155" s="61" t="s">
        <v>103</v>
      </c>
      <c r="F155" s="88"/>
      <c r="G155" s="88"/>
      <c r="H155" s="75" t="s">
        <v>167</v>
      </c>
      <c r="I155" s="75" t="s">
        <v>297</v>
      </c>
      <c r="J155" s="63" t="s">
        <v>108</v>
      </c>
      <c r="K155" s="76" t="s">
        <v>134</v>
      </c>
      <c r="L155" s="54">
        <v>20</v>
      </c>
      <c r="M155" s="54" t="s">
        <v>195</v>
      </c>
      <c r="N155" s="75" t="s">
        <v>110</v>
      </c>
      <c r="O155" s="87" t="s">
        <v>21</v>
      </c>
      <c r="P155" s="86" t="s">
        <v>111</v>
      </c>
      <c r="Q155" s="86" t="s">
        <v>112</v>
      </c>
      <c r="R155" s="86" t="s">
        <v>161</v>
      </c>
      <c r="S155" s="86" t="s">
        <v>190</v>
      </c>
      <c r="T155" s="86" t="s">
        <v>23</v>
      </c>
      <c r="U155" s="86" t="s">
        <v>380</v>
      </c>
      <c r="V155" s="86" t="s">
        <v>116</v>
      </c>
      <c r="W155" s="86" t="s">
        <v>117</v>
      </c>
    </row>
    <row r="156" s="37" customFormat="1" ht="15.75" spans="1:23">
      <c r="A156" s="86"/>
      <c r="B156" s="87"/>
      <c r="C156" s="87"/>
      <c r="D156" s="61" t="s">
        <v>102</v>
      </c>
      <c r="E156" s="61" t="s">
        <v>103</v>
      </c>
      <c r="F156" s="88"/>
      <c r="G156" s="88"/>
      <c r="H156" s="75" t="s">
        <v>106</v>
      </c>
      <c r="I156" s="75" t="s">
        <v>170</v>
      </c>
      <c r="J156" s="63" t="s">
        <v>108</v>
      </c>
      <c r="K156" s="76" t="s">
        <v>134</v>
      </c>
      <c r="L156" s="54">
        <v>20</v>
      </c>
      <c r="M156" s="54" t="s">
        <v>247</v>
      </c>
      <c r="N156" s="76" t="s">
        <v>110</v>
      </c>
      <c r="O156" s="87" t="s">
        <v>21</v>
      </c>
      <c r="P156" s="86" t="s">
        <v>111</v>
      </c>
      <c r="Q156" s="86" t="s">
        <v>112</v>
      </c>
      <c r="R156" s="86" t="s">
        <v>161</v>
      </c>
      <c r="S156" s="86" t="s">
        <v>190</v>
      </c>
      <c r="T156" s="86" t="s">
        <v>23</v>
      </c>
      <c r="U156" s="86" t="s">
        <v>380</v>
      </c>
      <c r="V156" s="86" t="s">
        <v>116</v>
      </c>
      <c r="W156" s="86" t="s">
        <v>117</v>
      </c>
    </row>
    <row r="157" s="37" customFormat="1" ht="15.75" spans="1:23">
      <c r="A157" s="86"/>
      <c r="B157" s="87"/>
      <c r="C157" s="87"/>
      <c r="D157" s="61" t="s">
        <v>102</v>
      </c>
      <c r="E157" s="61" t="s">
        <v>103</v>
      </c>
      <c r="F157" s="88"/>
      <c r="G157" s="88"/>
      <c r="H157" s="75" t="s">
        <v>119</v>
      </c>
      <c r="I157" s="75" t="s">
        <v>120</v>
      </c>
      <c r="J157" s="63" t="s">
        <v>108</v>
      </c>
      <c r="K157" s="76" t="s">
        <v>134</v>
      </c>
      <c r="L157" s="54">
        <v>20</v>
      </c>
      <c r="M157" s="54" t="s">
        <v>247</v>
      </c>
      <c r="N157" s="75" t="s">
        <v>110</v>
      </c>
      <c r="O157" s="87" t="s">
        <v>21</v>
      </c>
      <c r="P157" s="86" t="s">
        <v>111</v>
      </c>
      <c r="Q157" s="86" t="s">
        <v>112</v>
      </c>
      <c r="R157" s="86" t="s">
        <v>161</v>
      </c>
      <c r="S157" s="86" t="s">
        <v>190</v>
      </c>
      <c r="T157" s="86" t="s">
        <v>23</v>
      </c>
      <c r="U157" s="86" t="s">
        <v>380</v>
      </c>
      <c r="V157" s="86" t="s">
        <v>116</v>
      </c>
      <c r="W157" s="86" t="s">
        <v>117</v>
      </c>
    </row>
    <row r="158" s="37" customFormat="1" ht="15.75" spans="1:23">
      <c r="A158" s="86"/>
      <c r="B158" s="87"/>
      <c r="C158" s="87"/>
      <c r="D158" s="61" t="s">
        <v>102</v>
      </c>
      <c r="E158" s="61" t="s">
        <v>103</v>
      </c>
      <c r="F158" s="88"/>
      <c r="G158" s="88"/>
      <c r="H158" s="75" t="s">
        <v>106</v>
      </c>
      <c r="I158" s="75" t="s">
        <v>383</v>
      </c>
      <c r="J158" s="63" t="s">
        <v>97</v>
      </c>
      <c r="K158" s="76" t="s">
        <v>134</v>
      </c>
      <c r="L158" s="54">
        <v>30</v>
      </c>
      <c r="M158" s="54" t="s">
        <v>381</v>
      </c>
      <c r="N158" s="76" t="s">
        <v>110</v>
      </c>
      <c r="O158" s="87" t="s">
        <v>21</v>
      </c>
      <c r="P158" s="86" t="s">
        <v>111</v>
      </c>
      <c r="Q158" s="86" t="s">
        <v>112</v>
      </c>
      <c r="R158" s="86" t="s">
        <v>161</v>
      </c>
      <c r="S158" s="86" t="s">
        <v>190</v>
      </c>
      <c r="T158" s="86" t="s">
        <v>23</v>
      </c>
      <c r="U158" s="86" t="s">
        <v>380</v>
      </c>
      <c r="V158" s="86" t="s">
        <v>116</v>
      </c>
      <c r="W158" s="86" t="s">
        <v>117</v>
      </c>
    </row>
    <row r="159" s="37" customFormat="1" ht="15.75" spans="1:23">
      <c r="A159" s="86"/>
      <c r="B159" s="87"/>
      <c r="C159" s="87"/>
      <c r="D159" s="61" t="s">
        <v>102</v>
      </c>
      <c r="E159" s="61" t="s">
        <v>103</v>
      </c>
      <c r="F159" s="88"/>
      <c r="G159" s="88"/>
      <c r="H159" s="75" t="s">
        <v>106</v>
      </c>
      <c r="I159" s="75" t="s">
        <v>107</v>
      </c>
      <c r="J159" s="63" t="s">
        <v>108</v>
      </c>
      <c r="K159" s="76" t="s">
        <v>93</v>
      </c>
      <c r="L159" s="54">
        <v>50</v>
      </c>
      <c r="M159" s="54" t="s">
        <v>381</v>
      </c>
      <c r="N159" s="76" t="s">
        <v>90</v>
      </c>
      <c r="O159" s="87" t="s">
        <v>21</v>
      </c>
      <c r="P159" s="86" t="s">
        <v>111</v>
      </c>
      <c r="Q159" s="86" t="s">
        <v>112</v>
      </c>
      <c r="R159" s="86" t="s">
        <v>161</v>
      </c>
      <c r="S159" s="86" t="s">
        <v>190</v>
      </c>
      <c r="T159" s="86" t="s">
        <v>23</v>
      </c>
      <c r="U159" s="86" t="s">
        <v>380</v>
      </c>
      <c r="V159" s="86" t="s">
        <v>116</v>
      </c>
      <c r="W159" s="86" t="s">
        <v>117</v>
      </c>
    </row>
    <row r="160" s="37" customFormat="1" ht="15.75" spans="1:23">
      <c r="A160" s="86"/>
      <c r="B160" s="87"/>
      <c r="C160" s="87"/>
      <c r="D160" s="61" t="s">
        <v>102</v>
      </c>
      <c r="E160" s="61" t="s">
        <v>103</v>
      </c>
      <c r="F160" s="88"/>
      <c r="G160" s="88"/>
      <c r="H160" s="75" t="s">
        <v>157</v>
      </c>
      <c r="I160" s="75" t="s">
        <v>188</v>
      </c>
      <c r="J160" s="63" t="s">
        <v>108</v>
      </c>
      <c r="K160" s="76" t="s">
        <v>134</v>
      </c>
      <c r="L160" s="54">
        <v>20</v>
      </c>
      <c r="M160" s="54" t="s">
        <v>279</v>
      </c>
      <c r="N160" s="75" t="s">
        <v>99</v>
      </c>
      <c r="O160" s="87" t="s">
        <v>21</v>
      </c>
      <c r="P160" s="86" t="s">
        <v>111</v>
      </c>
      <c r="Q160" s="86" t="s">
        <v>112</v>
      </c>
      <c r="R160" s="86" t="s">
        <v>161</v>
      </c>
      <c r="S160" s="86" t="s">
        <v>190</v>
      </c>
      <c r="T160" s="86" t="s">
        <v>23</v>
      </c>
      <c r="U160" s="86" t="s">
        <v>380</v>
      </c>
      <c r="V160" s="86" t="s">
        <v>116</v>
      </c>
      <c r="W160" s="86" t="s">
        <v>117</v>
      </c>
    </row>
    <row r="161" s="37" customFormat="1" customHeight="1" spans="1:23">
      <c r="A161" s="86"/>
      <c r="B161" s="87"/>
      <c r="C161" s="87"/>
      <c r="D161" s="61" t="s">
        <v>102</v>
      </c>
      <c r="E161" s="61" t="s">
        <v>103</v>
      </c>
      <c r="F161" s="88"/>
      <c r="G161" s="88"/>
      <c r="H161" s="75" t="s">
        <v>106</v>
      </c>
      <c r="I161" s="75" t="s">
        <v>196</v>
      </c>
      <c r="J161" s="63" t="s">
        <v>87</v>
      </c>
      <c r="K161" s="76" t="s">
        <v>93</v>
      </c>
      <c r="L161" s="54">
        <v>20</v>
      </c>
      <c r="M161" s="54" t="s">
        <v>279</v>
      </c>
      <c r="N161" s="75" t="s">
        <v>99</v>
      </c>
      <c r="O161" s="87" t="s">
        <v>21</v>
      </c>
      <c r="P161" s="86" t="s">
        <v>111</v>
      </c>
      <c r="Q161" s="86" t="s">
        <v>112</v>
      </c>
      <c r="R161" s="86" t="s">
        <v>161</v>
      </c>
      <c r="S161" s="86" t="s">
        <v>190</v>
      </c>
      <c r="T161" s="86" t="s">
        <v>23</v>
      </c>
      <c r="U161" s="86" t="s">
        <v>380</v>
      </c>
      <c r="V161" s="86" t="s">
        <v>116</v>
      </c>
      <c r="W161" s="86" t="s">
        <v>117</v>
      </c>
    </row>
    <row r="162" s="37" customFormat="1" ht="15.75" spans="1:23">
      <c r="A162" s="86"/>
      <c r="B162" s="87"/>
      <c r="C162" s="87"/>
      <c r="D162" s="61" t="s">
        <v>102</v>
      </c>
      <c r="E162" s="61" t="s">
        <v>103</v>
      </c>
      <c r="F162" s="88"/>
      <c r="G162" s="88"/>
      <c r="H162" s="75" t="s">
        <v>85</v>
      </c>
      <c r="I162" s="75" t="s">
        <v>192</v>
      </c>
      <c r="J162" s="63" t="s">
        <v>108</v>
      </c>
      <c r="K162" s="76" t="s">
        <v>93</v>
      </c>
      <c r="L162" s="54">
        <v>10</v>
      </c>
      <c r="M162" s="54" t="s">
        <v>89</v>
      </c>
      <c r="N162" s="75" t="s">
        <v>110</v>
      </c>
      <c r="O162" s="87" t="s">
        <v>21</v>
      </c>
      <c r="P162" s="86" t="s">
        <v>111</v>
      </c>
      <c r="Q162" s="86" t="s">
        <v>112</v>
      </c>
      <c r="R162" s="86" t="s">
        <v>161</v>
      </c>
      <c r="S162" s="86" t="s">
        <v>190</v>
      </c>
      <c r="T162" s="86" t="s">
        <v>23</v>
      </c>
      <c r="U162" s="86" t="s">
        <v>380</v>
      </c>
      <c r="V162" s="86" t="s">
        <v>116</v>
      </c>
      <c r="W162" s="86" t="s">
        <v>117</v>
      </c>
    </row>
    <row r="163" s="37" customFormat="1" ht="15.75" spans="1:23">
      <c r="A163" s="86"/>
      <c r="B163" s="87"/>
      <c r="C163" s="87"/>
      <c r="D163" s="61" t="s">
        <v>102</v>
      </c>
      <c r="E163" s="61" t="s">
        <v>103</v>
      </c>
      <c r="F163" s="88"/>
      <c r="G163" s="88"/>
      <c r="H163" s="75" t="s">
        <v>106</v>
      </c>
      <c r="I163" s="75" t="s">
        <v>283</v>
      </c>
      <c r="J163" s="63" t="s">
        <v>108</v>
      </c>
      <c r="K163" s="76" t="s">
        <v>93</v>
      </c>
      <c r="L163" s="54">
        <v>10</v>
      </c>
      <c r="M163" s="54" t="s">
        <v>381</v>
      </c>
      <c r="N163" s="75" t="s">
        <v>99</v>
      </c>
      <c r="O163" s="87" t="s">
        <v>21</v>
      </c>
      <c r="P163" s="86" t="s">
        <v>111</v>
      </c>
      <c r="Q163" s="86" t="s">
        <v>112</v>
      </c>
      <c r="R163" s="86" t="s">
        <v>161</v>
      </c>
      <c r="S163" s="86" t="s">
        <v>190</v>
      </c>
      <c r="T163" s="86" t="s">
        <v>23</v>
      </c>
      <c r="U163" s="86" t="s">
        <v>380</v>
      </c>
      <c r="V163" s="86" t="s">
        <v>116</v>
      </c>
      <c r="W163" s="86" t="s">
        <v>117</v>
      </c>
    </row>
    <row r="164" s="37" customFormat="1" ht="15.75" spans="1:23">
      <c r="A164" s="86"/>
      <c r="B164" s="87"/>
      <c r="C164" s="87"/>
      <c r="D164" s="61" t="s">
        <v>102</v>
      </c>
      <c r="E164" s="61" t="s">
        <v>103</v>
      </c>
      <c r="F164" s="88"/>
      <c r="G164" s="88"/>
      <c r="H164" s="75" t="s">
        <v>157</v>
      </c>
      <c r="I164" s="75" t="s">
        <v>284</v>
      </c>
      <c r="J164" s="63" t="s">
        <v>108</v>
      </c>
      <c r="K164" s="76" t="s">
        <v>134</v>
      </c>
      <c r="L164" s="54">
        <v>10</v>
      </c>
      <c r="M164" s="54" t="s">
        <v>247</v>
      </c>
      <c r="N164" s="75" t="s">
        <v>110</v>
      </c>
      <c r="O164" s="87" t="s">
        <v>21</v>
      </c>
      <c r="P164" s="86" t="s">
        <v>111</v>
      </c>
      <c r="Q164" s="86" t="s">
        <v>112</v>
      </c>
      <c r="R164" s="86" t="s">
        <v>161</v>
      </c>
      <c r="S164" s="86" t="s">
        <v>190</v>
      </c>
      <c r="T164" s="86" t="s">
        <v>23</v>
      </c>
      <c r="U164" s="86" t="s">
        <v>380</v>
      </c>
      <c r="V164" s="86" t="s">
        <v>116</v>
      </c>
      <c r="W164" s="86" t="s">
        <v>117</v>
      </c>
    </row>
    <row r="165" s="37" customFormat="1" ht="15.75" spans="1:23">
      <c r="A165" s="65" t="s">
        <v>384</v>
      </c>
      <c r="B165" s="65" t="s">
        <v>385</v>
      </c>
      <c r="C165" s="65" t="s">
        <v>83</v>
      </c>
      <c r="D165" s="66" t="s">
        <v>102</v>
      </c>
      <c r="E165" s="66" t="s">
        <v>103</v>
      </c>
      <c r="F165" s="72" t="s">
        <v>386</v>
      </c>
      <c r="G165" s="72" t="s">
        <v>387</v>
      </c>
      <c r="H165" s="71" t="s">
        <v>254</v>
      </c>
      <c r="I165" s="71" t="s">
        <v>255</v>
      </c>
      <c r="J165" s="63" t="s">
        <v>108</v>
      </c>
      <c r="K165" s="71" t="s">
        <v>93</v>
      </c>
      <c r="L165" s="54">
        <v>84</v>
      </c>
      <c r="M165" s="54" t="s">
        <v>135</v>
      </c>
      <c r="N165" s="71" t="s">
        <v>110</v>
      </c>
      <c r="O165" s="65" t="s">
        <v>27</v>
      </c>
      <c r="P165" s="68" t="s">
        <v>257</v>
      </c>
      <c r="Q165" s="68" t="s">
        <v>112</v>
      </c>
      <c r="R165" s="68" t="s">
        <v>128</v>
      </c>
      <c r="S165" s="68" t="s">
        <v>258</v>
      </c>
      <c r="T165" s="68" t="s">
        <v>259</v>
      </c>
      <c r="U165" s="68" t="s">
        <v>388</v>
      </c>
      <c r="V165" s="68" t="s">
        <v>389</v>
      </c>
      <c r="W165" s="68" t="s">
        <v>390</v>
      </c>
    </row>
    <row r="166" s="37" customFormat="1" customHeight="1" spans="1:23">
      <c r="A166" s="89"/>
      <c r="B166" s="89"/>
      <c r="C166" s="89"/>
      <c r="D166" s="66"/>
      <c r="E166" s="66"/>
      <c r="F166" s="72"/>
      <c r="G166" s="72"/>
      <c r="H166" s="63" t="s">
        <v>91</v>
      </c>
      <c r="I166" s="63" t="s">
        <v>92</v>
      </c>
      <c r="J166" s="63" t="s">
        <v>87</v>
      </c>
      <c r="K166" s="63" t="s">
        <v>93</v>
      </c>
      <c r="L166" s="54">
        <v>84</v>
      </c>
      <c r="M166" s="54" t="s">
        <v>135</v>
      </c>
      <c r="N166" s="63" t="s">
        <v>90</v>
      </c>
      <c r="O166" s="89"/>
      <c r="P166" s="90"/>
      <c r="Q166" s="90"/>
      <c r="R166" s="90"/>
      <c r="S166" s="90"/>
      <c r="T166" s="90"/>
      <c r="U166" s="90"/>
      <c r="V166" s="90"/>
      <c r="W166" s="90"/>
    </row>
    <row r="167" s="37" customFormat="1" ht="15.75" spans="1:23">
      <c r="A167" s="91" t="s">
        <v>19</v>
      </c>
      <c r="B167" s="91" t="s">
        <v>18</v>
      </c>
      <c r="C167" s="91" t="s">
        <v>173</v>
      </c>
      <c r="D167" s="85" t="s">
        <v>102</v>
      </c>
      <c r="E167" s="85" t="s">
        <v>154</v>
      </c>
      <c r="F167" s="72" t="s">
        <v>391</v>
      </c>
      <c r="G167" s="72" t="s">
        <v>392</v>
      </c>
      <c r="H167" s="71" t="s">
        <v>157</v>
      </c>
      <c r="I167" s="71" t="s">
        <v>158</v>
      </c>
      <c r="J167" s="63" t="s">
        <v>108</v>
      </c>
      <c r="K167" s="71" t="s">
        <v>134</v>
      </c>
      <c r="L167" s="73">
        <f>4*21</f>
        <v>84</v>
      </c>
      <c r="M167" s="73" t="s">
        <v>393</v>
      </c>
      <c r="N167" s="71" t="s">
        <v>110</v>
      </c>
      <c r="O167" s="91" t="s">
        <v>18</v>
      </c>
      <c r="P167" s="92" t="s">
        <v>160</v>
      </c>
      <c r="Q167" s="92" t="s">
        <v>112</v>
      </c>
      <c r="R167" s="92" t="s">
        <v>161</v>
      </c>
      <c r="S167" s="92" t="s">
        <v>162</v>
      </c>
      <c r="T167" s="92" t="s">
        <v>20</v>
      </c>
      <c r="U167" s="92" t="s">
        <v>394</v>
      </c>
      <c r="V167" s="92" t="s">
        <v>116</v>
      </c>
      <c r="W167" s="92" t="s">
        <v>117</v>
      </c>
    </row>
    <row r="168" s="37" customFormat="1" ht="15.75" spans="1:23">
      <c r="A168" s="91"/>
      <c r="B168" s="91"/>
      <c r="C168" s="91"/>
      <c r="D168" s="85"/>
      <c r="E168" s="85"/>
      <c r="F168" s="72"/>
      <c r="G168" s="72"/>
      <c r="H168" s="63" t="s">
        <v>157</v>
      </c>
      <c r="I168" s="63" t="s">
        <v>166</v>
      </c>
      <c r="J168" s="63" t="s">
        <v>108</v>
      </c>
      <c r="K168" s="63" t="s">
        <v>134</v>
      </c>
      <c r="L168" s="73">
        <f>2*21</f>
        <v>42</v>
      </c>
      <c r="M168" s="73" t="s">
        <v>159</v>
      </c>
      <c r="N168" s="63" t="s">
        <v>110</v>
      </c>
      <c r="O168" s="91"/>
      <c r="P168" s="92"/>
      <c r="Q168" s="92"/>
      <c r="R168" s="92"/>
      <c r="S168" s="92"/>
      <c r="T168" s="92"/>
      <c r="U168" s="92"/>
      <c r="V168" s="92"/>
      <c r="W168" s="92"/>
    </row>
    <row r="169" s="37" customFormat="1" ht="15.75" spans="1:23">
      <c r="A169" s="91"/>
      <c r="B169" s="91"/>
      <c r="C169" s="91"/>
      <c r="D169" s="85"/>
      <c r="E169" s="85"/>
      <c r="F169" s="72"/>
      <c r="G169" s="72"/>
      <c r="H169" s="63" t="s">
        <v>157</v>
      </c>
      <c r="I169" s="63" t="s">
        <v>284</v>
      </c>
      <c r="J169" s="63" t="s">
        <v>108</v>
      </c>
      <c r="K169" s="63" t="s">
        <v>134</v>
      </c>
      <c r="L169" s="73">
        <f>1*21</f>
        <v>21</v>
      </c>
      <c r="M169" s="73" t="s">
        <v>159</v>
      </c>
      <c r="N169" s="63" t="s">
        <v>110</v>
      </c>
      <c r="O169" s="91"/>
      <c r="P169" s="92"/>
      <c r="Q169" s="92"/>
      <c r="R169" s="92"/>
      <c r="S169" s="92"/>
      <c r="T169" s="92"/>
      <c r="U169" s="92"/>
      <c r="V169" s="92"/>
      <c r="W169" s="92"/>
    </row>
    <row r="170" s="37" customFormat="1" ht="15.75" spans="1:23">
      <c r="A170" s="91"/>
      <c r="B170" s="91"/>
      <c r="C170" s="91"/>
      <c r="D170" s="85"/>
      <c r="E170" s="85"/>
      <c r="F170" s="72"/>
      <c r="G170" s="72"/>
      <c r="H170" s="63" t="s">
        <v>119</v>
      </c>
      <c r="I170" s="63" t="s">
        <v>211</v>
      </c>
      <c r="J170" s="63" t="s">
        <v>108</v>
      </c>
      <c r="K170" s="63" t="s">
        <v>134</v>
      </c>
      <c r="L170" s="73">
        <f>1*21</f>
        <v>21</v>
      </c>
      <c r="M170" s="73" t="s">
        <v>159</v>
      </c>
      <c r="N170" s="63" t="s">
        <v>110</v>
      </c>
      <c r="O170" s="91"/>
      <c r="P170" s="92"/>
      <c r="Q170" s="92"/>
      <c r="R170" s="92"/>
      <c r="S170" s="92"/>
      <c r="T170" s="92"/>
      <c r="U170" s="92"/>
      <c r="V170" s="92"/>
      <c r="W170" s="92"/>
    </row>
    <row r="171" s="37" customFormat="1" ht="15.75" spans="1:23">
      <c r="A171" s="59" t="s">
        <v>395</v>
      </c>
      <c r="B171" s="60" t="s">
        <v>396</v>
      </c>
      <c r="C171" s="60" t="s">
        <v>173</v>
      </c>
      <c r="D171" s="61" t="s">
        <v>102</v>
      </c>
      <c r="E171" s="61" t="s">
        <v>154</v>
      </c>
      <c r="F171" s="62" t="s">
        <v>397</v>
      </c>
      <c r="G171" s="62" t="s">
        <v>398</v>
      </c>
      <c r="H171" s="63" t="s">
        <v>95</v>
      </c>
      <c r="I171" s="63" t="s">
        <v>96</v>
      </c>
      <c r="J171" s="63" t="s">
        <v>97</v>
      </c>
      <c r="K171" s="63" t="s">
        <v>93</v>
      </c>
      <c r="L171" s="73">
        <f>8*21</f>
        <v>168</v>
      </c>
      <c r="M171" s="73" t="s">
        <v>399</v>
      </c>
      <c r="N171" s="63" t="s">
        <v>110</v>
      </c>
      <c r="O171" s="60" t="s">
        <v>18</v>
      </c>
      <c r="P171" s="59" t="s">
        <v>400</v>
      </c>
      <c r="Q171" s="59" t="s">
        <v>112</v>
      </c>
      <c r="R171" s="59" t="s">
        <v>161</v>
      </c>
      <c r="S171" s="59" t="s">
        <v>401</v>
      </c>
      <c r="T171" s="59" t="s">
        <v>402</v>
      </c>
      <c r="U171" s="59" t="s">
        <v>403</v>
      </c>
      <c r="V171" s="59" t="s">
        <v>116</v>
      </c>
      <c r="W171" s="59" t="s">
        <v>117</v>
      </c>
    </row>
    <row r="172" s="37" customFormat="1" ht="15.75" spans="1:23">
      <c r="A172" s="68" t="s">
        <v>404</v>
      </c>
      <c r="B172" s="65" t="s">
        <v>405</v>
      </c>
      <c r="C172" s="65" t="s">
        <v>173</v>
      </c>
      <c r="D172" s="85" t="s">
        <v>102</v>
      </c>
      <c r="E172" s="78" t="s">
        <v>103</v>
      </c>
      <c r="F172" s="72" t="s">
        <v>406</v>
      </c>
      <c r="G172" s="72" t="s">
        <v>359</v>
      </c>
      <c r="H172" s="63" t="s">
        <v>254</v>
      </c>
      <c r="I172" s="63" t="s">
        <v>360</v>
      </c>
      <c r="J172" s="63" t="s">
        <v>108</v>
      </c>
      <c r="K172" s="71" t="s">
        <v>93</v>
      </c>
      <c r="L172" s="54">
        <v>90</v>
      </c>
      <c r="M172" s="54" t="s">
        <v>279</v>
      </c>
      <c r="N172" s="71" t="s">
        <v>110</v>
      </c>
      <c r="O172" s="65" t="s">
        <v>45</v>
      </c>
      <c r="P172" s="68" t="s">
        <v>340</v>
      </c>
      <c r="Q172" s="68" t="s">
        <v>112</v>
      </c>
      <c r="R172" s="68" t="s">
        <v>144</v>
      </c>
      <c r="S172" s="68" t="s">
        <v>341</v>
      </c>
      <c r="T172" s="68" t="s">
        <v>342</v>
      </c>
      <c r="U172" s="68" t="s">
        <v>407</v>
      </c>
      <c r="V172" s="68" t="s">
        <v>148</v>
      </c>
      <c r="W172" s="68" t="s">
        <v>149</v>
      </c>
    </row>
    <row r="173" s="37" customFormat="1" ht="15.75" spans="1:23">
      <c r="A173" s="68"/>
      <c r="B173" s="65"/>
      <c r="C173" s="65"/>
      <c r="D173" s="66"/>
      <c r="E173" s="66"/>
      <c r="F173" s="72"/>
      <c r="G173" s="72"/>
      <c r="H173" s="71" t="s">
        <v>85</v>
      </c>
      <c r="I173" s="71" t="s">
        <v>183</v>
      </c>
      <c r="J173" s="63" t="s">
        <v>108</v>
      </c>
      <c r="K173" s="71" t="s">
        <v>93</v>
      </c>
      <c r="L173" s="54">
        <v>78</v>
      </c>
      <c r="M173" s="54" t="s">
        <v>89</v>
      </c>
      <c r="N173" s="71" t="s">
        <v>99</v>
      </c>
      <c r="O173" s="65"/>
      <c r="P173" s="68"/>
      <c r="Q173" s="68"/>
      <c r="R173" s="68"/>
      <c r="S173" s="68"/>
      <c r="T173" s="68"/>
      <c r="U173" s="68"/>
      <c r="V173" s="68"/>
      <c r="W173" s="68"/>
    </row>
    <row r="174" s="37" customFormat="1" customHeight="1" spans="1:23">
      <c r="A174" s="65" t="s">
        <v>408</v>
      </c>
      <c r="B174" s="65" t="s">
        <v>409</v>
      </c>
      <c r="C174" s="65" t="s">
        <v>173</v>
      </c>
      <c r="D174" s="66" t="s">
        <v>215</v>
      </c>
      <c r="E174" s="66" t="s">
        <v>154</v>
      </c>
      <c r="F174" s="72" t="s">
        <v>410</v>
      </c>
      <c r="G174" s="72" t="s">
        <v>411</v>
      </c>
      <c r="H174" s="71" t="s">
        <v>106</v>
      </c>
      <c r="I174" s="71" t="s">
        <v>281</v>
      </c>
      <c r="J174" s="63" t="s">
        <v>87</v>
      </c>
      <c r="K174" s="71" t="s">
        <v>93</v>
      </c>
      <c r="L174" s="54">
        <v>20</v>
      </c>
      <c r="M174" s="54" t="s">
        <v>412</v>
      </c>
      <c r="N174" s="71" t="s">
        <v>110</v>
      </c>
      <c r="O174" s="65" t="s">
        <v>27</v>
      </c>
      <c r="P174" s="68" t="s">
        <v>178</v>
      </c>
      <c r="Q174" s="68" t="s">
        <v>112</v>
      </c>
      <c r="R174" s="68" t="s">
        <v>128</v>
      </c>
      <c r="S174" s="68" t="s">
        <v>326</v>
      </c>
      <c r="T174" s="68" t="s">
        <v>29</v>
      </c>
      <c r="U174" s="68" t="s">
        <v>413</v>
      </c>
      <c r="V174" s="68" t="s">
        <v>116</v>
      </c>
      <c r="W174" s="68" t="s">
        <v>117</v>
      </c>
    </row>
    <row r="175" s="37" customFormat="1" ht="15.75" spans="1:23">
      <c r="A175" s="65"/>
      <c r="B175" s="65"/>
      <c r="C175" s="65"/>
      <c r="D175" s="66"/>
      <c r="E175" s="66"/>
      <c r="F175" s="72"/>
      <c r="G175" s="72"/>
      <c r="H175" s="74" t="s">
        <v>85</v>
      </c>
      <c r="I175" s="75" t="s">
        <v>183</v>
      </c>
      <c r="J175" s="63" t="s">
        <v>108</v>
      </c>
      <c r="K175" s="75" t="s">
        <v>93</v>
      </c>
      <c r="L175" s="54">
        <v>74</v>
      </c>
      <c r="M175" s="54" t="s">
        <v>98</v>
      </c>
      <c r="N175" s="75" t="s">
        <v>99</v>
      </c>
      <c r="O175" s="65"/>
      <c r="P175" s="68"/>
      <c r="Q175" s="68"/>
      <c r="R175" s="68"/>
      <c r="S175" s="68"/>
      <c r="T175" s="68"/>
      <c r="U175" s="68"/>
      <c r="V175" s="68"/>
      <c r="W175" s="68"/>
    </row>
    <row r="176" s="37" customFormat="1" ht="15.75" spans="1:23">
      <c r="A176" s="65"/>
      <c r="B176" s="65"/>
      <c r="C176" s="65"/>
      <c r="D176" s="66"/>
      <c r="E176" s="66"/>
      <c r="F176" s="72"/>
      <c r="G176" s="72"/>
      <c r="H176" s="74" t="s">
        <v>119</v>
      </c>
      <c r="I176" s="75" t="s">
        <v>120</v>
      </c>
      <c r="J176" s="63" t="s">
        <v>108</v>
      </c>
      <c r="K176" s="75" t="s">
        <v>93</v>
      </c>
      <c r="L176" s="54">
        <v>74</v>
      </c>
      <c r="M176" s="54" t="s">
        <v>414</v>
      </c>
      <c r="N176" s="75" t="s">
        <v>110</v>
      </c>
      <c r="O176" s="65"/>
      <c r="P176" s="68"/>
      <c r="Q176" s="68"/>
      <c r="R176" s="68"/>
      <c r="S176" s="68"/>
      <c r="T176" s="68"/>
      <c r="U176" s="68"/>
      <c r="V176" s="68"/>
      <c r="W176" s="68"/>
    </row>
    <row r="177" s="37" customFormat="1" ht="15.75" spans="1:23">
      <c r="A177" s="59" t="s">
        <v>415</v>
      </c>
      <c r="B177" s="60" t="s">
        <v>416</v>
      </c>
      <c r="C177" s="60" t="s">
        <v>173</v>
      </c>
      <c r="D177" s="61" t="s">
        <v>102</v>
      </c>
      <c r="E177" s="61" t="s">
        <v>103</v>
      </c>
      <c r="F177" s="73" t="s">
        <v>417</v>
      </c>
      <c r="G177" s="62" t="s">
        <v>418</v>
      </c>
      <c r="H177" s="75" t="s">
        <v>85</v>
      </c>
      <c r="I177" s="75" t="s">
        <v>192</v>
      </c>
      <c r="J177" s="63" t="s">
        <v>108</v>
      </c>
      <c r="K177" s="76" t="s">
        <v>134</v>
      </c>
      <c r="L177" s="54">
        <v>8</v>
      </c>
      <c r="M177" s="54" t="s">
        <v>419</v>
      </c>
      <c r="N177" s="75" t="s">
        <v>90</v>
      </c>
      <c r="O177" s="60" t="s">
        <v>21</v>
      </c>
      <c r="P177" s="59" t="s">
        <v>178</v>
      </c>
      <c r="Q177" s="59" t="s">
        <v>112</v>
      </c>
      <c r="R177" s="59" t="s">
        <v>161</v>
      </c>
      <c r="S177" s="59" t="s">
        <v>190</v>
      </c>
      <c r="T177" s="59" t="s">
        <v>23</v>
      </c>
      <c r="U177" s="59" t="s">
        <v>420</v>
      </c>
      <c r="V177" s="59" t="s">
        <v>116</v>
      </c>
      <c r="W177" s="59" t="s">
        <v>117</v>
      </c>
    </row>
    <row r="178" s="37" customFormat="1" ht="15.75" spans="1:23">
      <c r="A178" s="59"/>
      <c r="B178" s="60"/>
      <c r="C178" s="60"/>
      <c r="D178" s="61" t="s">
        <v>102</v>
      </c>
      <c r="E178" s="61" t="s">
        <v>103</v>
      </c>
      <c r="F178" s="73"/>
      <c r="G178" s="62"/>
      <c r="H178" s="75" t="s">
        <v>119</v>
      </c>
      <c r="I178" s="75" t="s">
        <v>120</v>
      </c>
      <c r="J178" s="63" t="s">
        <v>108</v>
      </c>
      <c r="K178" s="76" t="s">
        <v>134</v>
      </c>
      <c r="L178" s="54">
        <v>40</v>
      </c>
      <c r="M178" s="54" t="s">
        <v>421</v>
      </c>
      <c r="N178" s="75" t="s">
        <v>110</v>
      </c>
      <c r="O178" s="60" t="s">
        <v>21</v>
      </c>
      <c r="P178" s="59" t="s">
        <v>178</v>
      </c>
      <c r="Q178" s="59" t="s">
        <v>112</v>
      </c>
      <c r="R178" s="59" t="s">
        <v>161</v>
      </c>
      <c r="S178" s="59" t="s">
        <v>190</v>
      </c>
      <c r="T178" s="59" t="s">
        <v>23</v>
      </c>
      <c r="U178" s="59" t="s">
        <v>420</v>
      </c>
      <c r="V178" s="59" t="s">
        <v>116</v>
      </c>
      <c r="W178" s="59" t="s">
        <v>117</v>
      </c>
    </row>
    <row r="179" s="37" customFormat="1" ht="15.75" spans="1:23">
      <c r="A179" s="59"/>
      <c r="B179" s="60"/>
      <c r="C179" s="60"/>
      <c r="D179" s="61" t="s">
        <v>102</v>
      </c>
      <c r="E179" s="61" t="s">
        <v>103</v>
      </c>
      <c r="F179" s="73"/>
      <c r="G179" s="62"/>
      <c r="H179" s="75" t="s">
        <v>106</v>
      </c>
      <c r="I179" s="75" t="s">
        <v>170</v>
      </c>
      <c r="J179" s="63" t="s">
        <v>108</v>
      </c>
      <c r="K179" s="76" t="s">
        <v>134</v>
      </c>
      <c r="L179" s="54">
        <v>10</v>
      </c>
      <c r="M179" s="54" t="s">
        <v>98</v>
      </c>
      <c r="N179" s="75" t="s">
        <v>110</v>
      </c>
      <c r="O179" s="60" t="s">
        <v>21</v>
      </c>
      <c r="P179" s="59" t="s">
        <v>178</v>
      </c>
      <c r="Q179" s="59" t="s">
        <v>112</v>
      </c>
      <c r="R179" s="59" t="s">
        <v>161</v>
      </c>
      <c r="S179" s="59" t="s">
        <v>190</v>
      </c>
      <c r="T179" s="59" t="s">
        <v>23</v>
      </c>
      <c r="U179" s="59" t="s">
        <v>420</v>
      </c>
      <c r="V179" s="59" t="s">
        <v>116</v>
      </c>
      <c r="W179" s="59" t="s">
        <v>117</v>
      </c>
    </row>
    <row r="180" s="37" customFormat="1" customHeight="1" spans="1:23">
      <c r="A180" s="59"/>
      <c r="B180" s="60"/>
      <c r="C180" s="60"/>
      <c r="D180" s="61" t="s">
        <v>102</v>
      </c>
      <c r="E180" s="61" t="s">
        <v>103</v>
      </c>
      <c r="F180" s="62"/>
      <c r="G180" s="62"/>
      <c r="H180" s="75" t="s">
        <v>218</v>
      </c>
      <c r="I180" s="76" t="s">
        <v>316</v>
      </c>
      <c r="J180" s="63" t="s">
        <v>108</v>
      </c>
      <c r="K180" s="76" t="s">
        <v>134</v>
      </c>
      <c r="L180" s="54">
        <v>40</v>
      </c>
      <c r="M180" s="54" t="s">
        <v>419</v>
      </c>
      <c r="N180" s="75" t="s">
        <v>90</v>
      </c>
      <c r="O180" s="60" t="s">
        <v>21</v>
      </c>
      <c r="P180" s="59" t="s">
        <v>178</v>
      </c>
      <c r="Q180" s="59" t="s">
        <v>112</v>
      </c>
      <c r="R180" s="59" t="s">
        <v>161</v>
      </c>
      <c r="S180" s="59" t="s">
        <v>190</v>
      </c>
      <c r="T180" s="59" t="s">
        <v>23</v>
      </c>
      <c r="U180" s="59" t="s">
        <v>420</v>
      </c>
      <c r="V180" s="59" t="s">
        <v>116</v>
      </c>
      <c r="W180" s="59" t="s">
        <v>117</v>
      </c>
    </row>
    <row r="181" s="37" customFormat="1" ht="15.75" spans="1:23">
      <c r="A181" s="59"/>
      <c r="B181" s="60"/>
      <c r="C181" s="60"/>
      <c r="D181" s="61" t="s">
        <v>102</v>
      </c>
      <c r="E181" s="61" t="s">
        <v>103</v>
      </c>
      <c r="F181" s="73"/>
      <c r="G181" s="62"/>
      <c r="H181" s="75" t="s">
        <v>157</v>
      </c>
      <c r="I181" s="75" t="s">
        <v>188</v>
      </c>
      <c r="J181" s="63" t="s">
        <v>108</v>
      </c>
      <c r="K181" s="76" t="s">
        <v>134</v>
      </c>
      <c r="L181" s="54">
        <v>40</v>
      </c>
      <c r="M181" s="54" t="s">
        <v>98</v>
      </c>
      <c r="N181" s="75" t="s">
        <v>110</v>
      </c>
      <c r="O181" s="60" t="s">
        <v>21</v>
      </c>
      <c r="P181" s="59" t="s">
        <v>178</v>
      </c>
      <c r="Q181" s="59" t="s">
        <v>112</v>
      </c>
      <c r="R181" s="59" t="s">
        <v>161</v>
      </c>
      <c r="S181" s="59" t="s">
        <v>190</v>
      </c>
      <c r="T181" s="59" t="s">
        <v>23</v>
      </c>
      <c r="U181" s="59" t="s">
        <v>420</v>
      </c>
      <c r="V181" s="59" t="s">
        <v>116</v>
      </c>
      <c r="W181" s="59" t="s">
        <v>117</v>
      </c>
    </row>
    <row r="182" s="37" customFormat="1" ht="15.75" spans="1:23">
      <c r="A182" s="59"/>
      <c r="B182" s="60"/>
      <c r="C182" s="60"/>
      <c r="D182" s="61" t="s">
        <v>102</v>
      </c>
      <c r="E182" s="61" t="s">
        <v>103</v>
      </c>
      <c r="F182" s="73"/>
      <c r="G182" s="62"/>
      <c r="H182" s="93" t="s">
        <v>95</v>
      </c>
      <c r="I182" s="75" t="s">
        <v>285</v>
      </c>
      <c r="J182" s="63" t="s">
        <v>108</v>
      </c>
      <c r="K182" s="76" t="s">
        <v>134</v>
      </c>
      <c r="L182" s="54">
        <v>40</v>
      </c>
      <c r="M182" s="54" t="s">
        <v>98</v>
      </c>
      <c r="N182" s="75" t="s">
        <v>90</v>
      </c>
      <c r="O182" s="60" t="s">
        <v>21</v>
      </c>
      <c r="P182" s="59" t="s">
        <v>178</v>
      </c>
      <c r="Q182" s="59" t="s">
        <v>112</v>
      </c>
      <c r="R182" s="59" t="s">
        <v>161</v>
      </c>
      <c r="S182" s="59" t="s">
        <v>190</v>
      </c>
      <c r="T182" s="59" t="s">
        <v>23</v>
      </c>
      <c r="U182" s="59" t="s">
        <v>420</v>
      </c>
      <c r="V182" s="59" t="s">
        <v>116</v>
      </c>
      <c r="W182" s="59" t="s">
        <v>117</v>
      </c>
    </row>
    <row r="183" s="37" customFormat="1" customHeight="1" spans="1:23">
      <c r="A183" s="59"/>
      <c r="B183" s="60"/>
      <c r="C183" s="60"/>
      <c r="D183" s="61" t="s">
        <v>102</v>
      </c>
      <c r="E183" s="61" t="s">
        <v>103</v>
      </c>
      <c r="F183" s="62"/>
      <c r="G183" s="62"/>
      <c r="H183" s="75" t="s">
        <v>254</v>
      </c>
      <c r="I183" s="75" t="s">
        <v>286</v>
      </c>
      <c r="J183" s="63" t="s">
        <v>87</v>
      </c>
      <c r="K183" s="76" t="s">
        <v>134</v>
      </c>
      <c r="L183" s="54">
        <v>8</v>
      </c>
      <c r="M183" s="54" t="s">
        <v>98</v>
      </c>
      <c r="N183" s="75" t="s">
        <v>110</v>
      </c>
      <c r="O183" s="60" t="s">
        <v>21</v>
      </c>
      <c r="P183" s="59" t="s">
        <v>178</v>
      </c>
      <c r="Q183" s="59" t="s">
        <v>112</v>
      </c>
      <c r="R183" s="59" t="s">
        <v>161</v>
      </c>
      <c r="S183" s="59" t="s">
        <v>190</v>
      </c>
      <c r="T183" s="59" t="s">
        <v>23</v>
      </c>
      <c r="U183" s="59" t="s">
        <v>420</v>
      </c>
      <c r="V183" s="59" t="s">
        <v>116</v>
      </c>
      <c r="W183" s="59" t="s">
        <v>117</v>
      </c>
    </row>
    <row r="184" s="37" customFormat="1" ht="15.75" spans="1:23">
      <c r="A184" s="65" t="s">
        <v>422</v>
      </c>
      <c r="B184" s="65" t="s">
        <v>423</v>
      </c>
      <c r="C184" s="65" t="s">
        <v>83</v>
      </c>
      <c r="D184" s="66" t="s">
        <v>102</v>
      </c>
      <c r="E184" s="66" t="s">
        <v>154</v>
      </c>
      <c r="F184" s="72" t="s">
        <v>424</v>
      </c>
      <c r="G184" s="67" t="s">
        <v>425</v>
      </c>
      <c r="H184" s="71" t="s">
        <v>157</v>
      </c>
      <c r="I184" s="71" t="s">
        <v>158</v>
      </c>
      <c r="J184" s="63" t="s">
        <v>108</v>
      </c>
      <c r="K184" s="71" t="s">
        <v>134</v>
      </c>
      <c r="L184" s="73">
        <f>4*21</f>
        <v>84</v>
      </c>
      <c r="M184" s="73" t="s">
        <v>426</v>
      </c>
      <c r="N184" s="71" t="s">
        <v>110</v>
      </c>
      <c r="O184" s="65" t="s">
        <v>18</v>
      </c>
      <c r="P184" s="68" t="s">
        <v>160</v>
      </c>
      <c r="Q184" s="68" t="s">
        <v>112</v>
      </c>
      <c r="R184" s="68" t="s">
        <v>161</v>
      </c>
      <c r="S184" s="68" t="s">
        <v>162</v>
      </c>
      <c r="T184" s="68" t="s">
        <v>20</v>
      </c>
      <c r="U184" s="68" t="s">
        <v>427</v>
      </c>
      <c r="V184" s="68" t="s">
        <v>116</v>
      </c>
      <c r="W184" s="68" t="s">
        <v>117</v>
      </c>
    </row>
    <row r="185" s="37" customFormat="1" ht="15.75" spans="1:23">
      <c r="A185" s="89"/>
      <c r="B185" s="89"/>
      <c r="C185" s="89"/>
      <c r="D185" s="66"/>
      <c r="E185" s="66"/>
      <c r="F185" s="72"/>
      <c r="G185" s="72"/>
      <c r="H185" s="63" t="s">
        <v>157</v>
      </c>
      <c r="I185" s="63" t="s">
        <v>166</v>
      </c>
      <c r="J185" s="63" t="s">
        <v>108</v>
      </c>
      <c r="K185" s="63" t="s">
        <v>134</v>
      </c>
      <c r="L185" s="73">
        <f>2*21</f>
        <v>42</v>
      </c>
      <c r="M185" s="73" t="s">
        <v>428</v>
      </c>
      <c r="N185" s="63" t="s">
        <v>110</v>
      </c>
      <c r="O185" s="89"/>
      <c r="P185" s="90"/>
      <c r="Q185" s="90"/>
      <c r="R185" s="90"/>
      <c r="S185" s="90"/>
      <c r="T185" s="90"/>
      <c r="U185" s="90"/>
      <c r="V185" s="90"/>
      <c r="W185" s="90"/>
    </row>
    <row r="186" s="37" customFormat="1" ht="15.75" spans="1:23">
      <c r="A186" s="89"/>
      <c r="B186" s="89"/>
      <c r="C186" s="89"/>
      <c r="D186" s="66"/>
      <c r="E186" s="66"/>
      <c r="F186" s="72"/>
      <c r="G186" s="72"/>
      <c r="H186" s="63" t="s">
        <v>95</v>
      </c>
      <c r="I186" s="63" t="s">
        <v>136</v>
      </c>
      <c r="J186" s="63" t="s">
        <v>108</v>
      </c>
      <c r="K186" s="63" t="s">
        <v>134</v>
      </c>
      <c r="L186" s="73">
        <f>1*21</f>
        <v>21</v>
      </c>
      <c r="M186" s="73" t="s">
        <v>429</v>
      </c>
      <c r="N186" s="63" t="s">
        <v>90</v>
      </c>
      <c r="O186" s="89"/>
      <c r="P186" s="90"/>
      <c r="Q186" s="90"/>
      <c r="R186" s="90"/>
      <c r="S186" s="90"/>
      <c r="T186" s="90"/>
      <c r="U186" s="90"/>
      <c r="V186" s="90"/>
      <c r="W186" s="90"/>
    </row>
    <row r="187" s="37" customFormat="1" ht="86.8" customHeight="1" spans="1:23">
      <c r="A187" s="89"/>
      <c r="B187" s="89"/>
      <c r="C187" s="89"/>
      <c r="D187" s="66"/>
      <c r="E187" s="66"/>
      <c r="F187" s="72"/>
      <c r="G187" s="72"/>
      <c r="H187" s="63" t="s">
        <v>218</v>
      </c>
      <c r="I187" s="63" t="s">
        <v>294</v>
      </c>
      <c r="J187" s="63" t="s">
        <v>108</v>
      </c>
      <c r="K187" s="63" t="s">
        <v>134</v>
      </c>
      <c r="L187" s="73">
        <f>1*21</f>
        <v>21</v>
      </c>
      <c r="M187" s="73" t="s">
        <v>429</v>
      </c>
      <c r="N187" s="63" t="s">
        <v>90</v>
      </c>
      <c r="O187" s="89"/>
      <c r="P187" s="90"/>
      <c r="Q187" s="90"/>
      <c r="R187" s="90"/>
      <c r="S187" s="90"/>
      <c r="T187" s="90"/>
      <c r="U187" s="90"/>
      <c r="V187" s="90"/>
      <c r="W187" s="90"/>
    </row>
    <row r="188" s="37" customFormat="1" ht="15.75" spans="1:23">
      <c r="A188" s="86" t="s">
        <v>43</v>
      </c>
      <c r="B188" s="87" t="s">
        <v>42</v>
      </c>
      <c r="C188" s="87" t="s">
        <v>83</v>
      </c>
      <c r="D188" s="94" t="s">
        <v>102</v>
      </c>
      <c r="E188" s="94" t="s">
        <v>103</v>
      </c>
      <c r="F188" s="95" t="s">
        <v>430</v>
      </c>
      <c r="G188" s="64" t="s">
        <v>431</v>
      </c>
      <c r="H188" s="63" t="s">
        <v>106</v>
      </c>
      <c r="I188" s="63" t="s">
        <v>107</v>
      </c>
      <c r="J188" s="63" t="s">
        <v>108</v>
      </c>
      <c r="K188" s="63" t="s">
        <v>93</v>
      </c>
      <c r="L188" s="54">
        <v>90</v>
      </c>
      <c r="M188" s="54" t="s">
        <v>432</v>
      </c>
      <c r="N188" s="63" t="s">
        <v>110</v>
      </c>
      <c r="O188" s="87" t="s">
        <v>42</v>
      </c>
      <c r="P188" s="96" t="s">
        <v>111</v>
      </c>
      <c r="Q188" s="86" t="s">
        <v>112</v>
      </c>
      <c r="R188" s="86" t="s">
        <v>113</v>
      </c>
      <c r="S188" s="86" t="s">
        <v>114</v>
      </c>
      <c r="T188" s="86" t="s">
        <v>44</v>
      </c>
      <c r="U188" s="86" t="s">
        <v>433</v>
      </c>
      <c r="V188" s="86" t="s">
        <v>116</v>
      </c>
      <c r="W188" s="86" t="s">
        <v>117</v>
      </c>
    </row>
    <row r="189" s="37" customFormat="1" ht="30" spans="1:23">
      <c r="A189" s="86"/>
      <c r="B189" s="87"/>
      <c r="C189" s="87"/>
      <c r="D189" s="94" t="s">
        <v>102</v>
      </c>
      <c r="E189" s="94" t="s">
        <v>103</v>
      </c>
      <c r="F189" s="95"/>
      <c r="G189" s="64"/>
      <c r="H189" s="71" t="s">
        <v>106</v>
      </c>
      <c r="I189" s="71" t="s">
        <v>118</v>
      </c>
      <c r="J189" s="63" t="s">
        <v>108</v>
      </c>
      <c r="K189" s="63" t="s">
        <v>93</v>
      </c>
      <c r="L189" s="54">
        <v>50</v>
      </c>
      <c r="M189" s="54" t="s">
        <v>98</v>
      </c>
      <c r="N189" s="71" t="s">
        <v>99</v>
      </c>
      <c r="O189" s="87"/>
      <c r="P189" s="96"/>
      <c r="Q189" s="86"/>
      <c r="R189" s="86"/>
      <c r="S189" s="86"/>
      <c r="T189" s="86"/>
      <c r="U189" s="86"/>
      <c r="V189" s="86"/>
      <c r="W189" s="86"/>
    </row>
    <row r="190" s="37" customFormat="1" ht="30" spans="1:23">
      <c r="A190" s="86"/>
      <c r="B190" s="87"/>
      <c r="C190" s="87"/>
      <c r="D190" s="94" t="s">
        <v>102</v>
      </c>
      <c r="E190" s="94" t="s">
        <v>103</v>
      </c>
      <c r="F190" s="95"/>
      <c r="G190" s="64"/>
      <c r="H190" s="63" t="s">
        <v>218</v>
      </c>
      <c r="I190" s="63" t="s">
        <v>219</v>
      </c>
      <c r="J190" s="63" t="s">
        <v>108</v>
      </c>
      <c r="K190" s="63" t="s">
        <v>88</v>
      </c>
      <c r="L190" s="54">
        <v>18</v>
      </c>
      <c r="M190" s="54" t="s">
        <v>434</v>
      </c>
      <c r="N190" s="63" t="s">
        <v>90</v>
      </c>
      <c r="O190" s="87"/>
      <c r="P190" s="96"/>
      <c r="Q190" s="86"/>
      <c r="R190" s="86"/>
      <c r="S190" s="86"/>
      <c r="T190" s="86"/>
      <c r="U190" s="86"/>
      <c r="V190" s="86"/>
      <c r="W190" s="86"/>
    </row>
    <row r="191" s="37" customFormat="1" ht="15.75" spans="1:23">
      <c r="A191" s="86"/>
      <c r="B191" s="87"/>
      <c r="C191" s="87"/>
      <c r="D191" s="94" t="s">
        <v>102</v>
      </c>
      <c r="E191" s="94" t="s">
        <v>103</v>
      </c>
      <c r="F191" s="95"/>
      <c r="G191" s="64"/>
      <c r="H191" s="63" t="s">
        <v>119</v>
      </c>
      <c r="I191" s="63" t="s">
        <v>120</v>
      </c>
      <c r="J191" s="63" t="s">
        <v>108</v>
      </c>
      <c r="K191" s="63" t="s">
        <v>134</v>
      </c>
      <c r="L191" s="54">
        <v>10</v>
      </c>
      <c r="M191" s="54" t="s">
        <v>98</v>
      </c>
      <c r="N191" s="63" t="s">
        <v>99</v>
      </c>
      <c r="O191" s="87"/>
      <c r="P191" s="96"/>
      <c r="Q191" s="86"/>
      <c r="R191" s="86"/>
      <c r="S191" s="86"/>
      <c r="T191" s="86"/>
      <c r="U191" s="86"/>
      <c r="V191" s="86"/>
      <c r="W191" s="86"/>
    </row>
    <row r="192" s="37" customFormat="1" customHeight="1" spans="1:23">
      <c r="A192" s="91" t="s">
        <v>28</v>
      </c>
      <c r="B192" s="97" t="s">
        <v>27</v>
      </c>
      <c r="C192" s="97" t="s">
        <v>83</v>
      </c>
      <c r="D192" s="98" t="s">
        <v>215</v>
      </c>
      <c r="E192" s="98" t="s">
        <v>154</v>
      </c>
      <c r="F192" s="72" t="s">
        <v>435</v>
      </c>
      <c r="G192" s="72" t="s">
        <v>436</v>
      </c>
      <c r="H192" s="71" t="s">
        <v>106</v>
      </c>
      <c r="I192" s="71" t="s">
        <v>281</v>
      </c>
      <c r="J192" s="63" t="s">
        <v>87</v>
      </c>
      <c r="K192" s="71" t="s">
        <v>93</v>
      </c>
      <c r="L192" s="54">
        <v>10</v>
      </c>
      <c r="M192" s="54" t="s">
        <v>247</v>
      </c>
      <c r="N192" s="71" t="s">
        <v>110</v>
      </c>
      <c r="O192" s="97" t="s">
        <v>27</v>
      </c>
      <c r="P192" s="92" t="s">
        <v>178</v>
      </c>
      <c r="Q192" s="92" t="s">
        <v>112</v>
      </c>
      <c r="R192" s="92" t="s">
        <v>128</v>
      </c>
      <c r="S192" s="92" t="s">
        <v>326</v>
      </c>
      <c r="T192" s="92" t="s">
        <v>29</v>
      </c>
      <c r="U192" s="92" t="s">
        <v>437</v>
      </c>
      <c r="V192" s="92" t="s">
        <v>116</v>
      </c>
      <c r="W192" s="92" t="s">
        <v>117</v>
      </c>
    </row>
    <row r="193" s="37" customFormat="1" ht="15.75" spans="1:23">
      <c r="A193" s="91"/>
      <c r="B193" s="97"/>
      <c r="C193" s="97"/>
      <c r="D193" s="98"/>
      <c r="E193" s="98"/>
      <c r="F193" s="72"/>
      <c r="G193" s="72"/>
      <c r="H193" s="63" t="s">
        <v>106</v>
      </c>
      <c r="I193" s="63" t="s">
        <v>107</v>
      </c>
      <c r="J193" s="63" t="s">
        <v>108</v>
      </c>
      <c r="K193" s="63" t="s">
        <v>88</v>
      </c>
      <c r="L193" s="54">
        <v>40</v>
      </c>
      <c r="M193" s="54" t="s">
        <v>98</v>
      </c>
      <c r="N193" s="63" t="s">
        <v>99</v>
      </c>
      <c r="O193" s="97"/>
      <c r="P193" s="92"/>
      <c r="Q193" s="92"/>
      <c r="R193" s="92"/>
      <c r="S193" s="92"/>
      <c r="T193" s="92"/>
      <c r="U193" s="92"/>
      <c r="V193" s="92"/>
      <c r="W193" s="92"/>
    </row>
    <row r="194" s="37" customFormat="1" customHeight="1" spans="1:23">
      <c r="A194" s="91"/>
      <c r="B194" s="97"/>
      <c r="C194" s="97"/>
      <c r="D194" s="98"/>
      <c r="E194" s="98"/>
      <c r="F194" s="72"/>
      <c r="G194" s="72"/>
      <c r="H194" s="63" t="s">
        <v>106</v>
      </c>
      <c r="I194" s="63" t="s">
        <v>249</v>
      </c>
      <c r="J194" s="63" t="s">
        <v>87</v>
      </c>
      <c r="K194" s="63" t="s">
        <v>93</v>
      </c>
      <c r="L194" s="54">
        <v>60</v>
      </c>
      <c r="M194" s="54" t="s">
        <v>247</v>
      </c>
      <c r="N194" s="63" t="s">
        <v>99</v>
      </c>
      <c r="O194" s="97"/>
      <c r="P194" s="92"/>
      <c r="Q194" s="92"/>
      <c r="R194" s="92"/>
      <c r="S194" s="92"/>
      <c r="T194" s="92"/>
      <c r="U194" s="92"/>
      <c r="V194" s="92"/>
      <c r="W194" s="92"/>
    </row>
    <row r="195" s="37" customFormat="1" ht="15.75" spans="1:23">
      <c r="A195" s="91"/>
      <c r="B195" s="97"/>
      <c r="C195" s="97"/>
      <c r="D195" s="98"/>
      <c r="E195" s="98"/>
      <c r="F195" s="72"/>
      <c r="G195" s="72"/>
      <c r="H195" s="63" t="s">
        <v>106</v>
      </c>
      <c r="I195" s="63" t="s">
        <v>283</v>
      </c>
      <c r="J195" s="63" t="s">
        <v>108</v>
      </c>
      <c r="K195" s="63" t="s">
        <v>134</v>
      </c>
      <c r="L195" s="54">
        <v>10</v>
      </c>
      <c r="M195" s="54" t="s">
        <v>438</v>
      </c>
      <c r="N195" s="63" t="s">
        <v>99</v>
      </c>
      <c r="O195" s="97"/>
      <c r="P195" s="92"/>
      <c r="Q195" s="92"/>
      <c r="R195" s="92"/>
      <c r="S195" s="92"/>
      <c r="T195" s="92"/>
      <c r="U195" s="92"/>
      <c r="V195" s="92"/>
      <c r="W195" s="92"/>
    </row>
    <row r="196" s="37" customFormat="1" customHeight="1" spans="1:23">
      <c r="A196" s="91"/>
      <c r="B196" s="97"/>
      <c r="C196" s="97"/>
      <c r="D196" s="98"/>
      <c r="E196" s="98"/>
      <c r="F196" s="72"/>
      <c r="G196" s="72"/>
      <c r="H196" s="63" t="s">
        <v>106</v>
      </c>
      <c r="I196" s="63" t="s">
        <v>196</v>
      </c>
      <c r="J196" s="63" t="s">
        <v>87</v>
      </c>
      <c r="K196" s="63" t="s">
        <v>88</v>
      </c>
      <c r="L196" s="54">
        <v>8</v>
      </c>
      <c r="M196" s="54" t="s">
        <v>98</v>
      </c>
      <c r="N196" s="63" t="s">
        <v>99</v>
      </c>
      <c r="O196" s="97"/>
      <c r="P196" s="92"/>
      <c r="Q196" s="92"/>
      <c r="R196" s="92"/>
      <c r="S196" s="92"/>
      <c r="T196" s="92"/>
      <c r="U196" s="92"/>
      <c r="V196" s="92"/>
      <c r="W196" s="92"/>
    </row>
    <row r="197" s="37" customFormat="1" ht="15.75" spans="1:23">
      <c r="A197" s="91"/>
      <c r="B197" s="97"/>
      <c r="C197" s="97"/>
      <c r="D197" s="98"/>
      <c r="E197" s="98"/>
      <c r="F197" s="72"/>
      <c r="G197" s="72"/>
      <c r="H197" s="63" t="s">
        <v>157</v>
      </c>
      <c r="I197" s="63" t="s">
        <v>188</v>
      </c>
      <c r="J197" s="63" t="s">
        <v>108</v>
      </c>
      <c r="K197" s="63" t="s">
        <v>134</v>
      </c>
      <c r="L197" s="54">
        <v>20</v>
      </c>
      <c r="M197" s="54" t="s">
        <v>439</v>
      </c>
      <c r="N197" s="63" t="s">
        <v>99</v>
      </c>
      <c r="O197" s="97"/>
      <c r="P197" s="92"/>
      <c r="Q197" s="92"/>
      <c r="R197" s="92"/>
      <c r="S197" s="92"/>
      <c r="T197" s="92"/>
      <c r="U197" s="92"/>
      <c r="V197" s="92"/>
      <c r="W197" s="92"/>
    </row>
    <row r="198" s="37" customFormat="1" ht="15.75" spans="1:23">
      <c r="A198" s="91"/>
      <c r="B198" s="97"/>
      <c r="C198" s="97"/>
      <c r="D198" s="98"/>
      <c r="E198" s="98"/>
      <c r="F198" s="72"/>
      <c r="G198" s="72"/>
      <c r="H198" s="63" t="s">
        <v>157</v>
      </c>
      <c r="I198" s="63" t="s">
        <v>222</v>
      </c>
      <c r="J198" s="63" t="s">
        <v>108</v>
      </c>
      <c r="K198" s="63" t="s">
        <v>134</v>
      </c>
      <c r="L198" s="54">
        <v>20</v>
      </c>
      <c r="M198" s="54" t="s">
        <v>439</v>
      </c>
      <c r="N198" s="63" t="s">
        <v>99</v>
      </c>
      <c r="O198" s="97"/>
      <c r="P198" s="92"/>
      <c r="Q198" s="92"/>
      <c r="R198" s="92"/>
      <c r="S198" s="92"/>
      <c r="T198" s="92"/>
      <c r="U198" s="92"/>
      <c r="V198" s="92"/>
      <c r="W198" s="92"/>
    </row>
    <row r="199" s="37" customFormat="1" ht="165" spans="1:23">
      <c r="A199" s="73" t="s">
        <v>440</v>
      </c>
      <c r="B199" s="84" t="s">
        <v>441</v>
      </c>
      <c r="C199" s="60" t="s">
        <v>173</v>
      </c>
      <c r="D199" s="61" t="s">
        <v>102</v>
      </c>
      <c r="E199" s="61" t="s">
        <v>154</v>
      </c>
      <c r="F199" s="62" t="s">
        <v>442</v>
      </c>
      <c r="G199" s="62" t="s">
        <v>443</v>
      </c>
      <c r="H199" s="63" t="s">
        <v>157</v>
      </c>
      <c r="I199" s="63" t="s">
        <v>158</v>
      </c>
      <c r="J199" s="63" t="s">
        <v>108</v>
      </c>
      <c r="K199" s="63" t="s">
        <v>93</v>
      </c>
      <c r="L199" s="54">
        <v>168</v>
      </c>
      <c r="M199" s="54" t="s">
        <v>333</v>
      </c>
      <c r="N199" s="63" t="s">
        <v>110</v>
      </c>
      <c r="O199" s="60" t="s">
        <v>36</v>
      </c>
      <c r="P199" s="59" t="s">
        <v>444</v>
      </c>
      <c r="Q199" s="59" t="s">
        <v>112</v>
      </c>
      <c r="R199" s="59" t="s">
        <v>334</v>
      </c>
      <c r="S199" s="59" t="s">
        <v>335</v>
      </c>
      <c r="T199" s="59" t="s">
        <v>38</v>
      </c>
      <c r="U199" s="59" t="s">
        <v>445</v>
      </c>
      <c r="V199" s="59" t="s">
        <v>116</v>
      </c>
      <c r="W199" s="59" t="s">
        <v>117</v>
      </c>
    </row>
    <row r="200" s="37" customFormat="1" ht="30" spans="1:23">
      <c r="A200" s="92" t="s">
        <v>46</v>
      </c>
      <c r="B200" s="91" t="s">
        <v>45</v>
      </c>
      <c r="C200" s="91" t="s">
        <v>173</v>
      </c>
      <c r="D200" s="85"/>
      <c r="E200" s="85"/>
      <c r="F200" s="67" t="s">
        <v>446</v>
      </c>
      <c r="G200" s="67" t="s">
        <v>447</v>
      </c>
      <c r="H200" s="63" t="s">
        <v>157</v>
      </c>
      <c r="I200" s="63" t="s">
        <v>158</v>
      </c>
      <c r="J200" s="63" t="s">
        <v>108</v>
      </c>
      <c r="K200" s="63" t="s">
        <v>134</v>
      </c>
      <c r="L200" s="54">
        <v>32</v>
      </c>
      <c r="M200" s="57" t="s">
        <v>448</v>
      </c>
      <c r="N200" s="63" t="s">
        <v>99</v>
      </c>
      <c r="O200" s="91" t="s">
        <v>45</v>
      </c>
      <c r="P200" s="92" t="s">
        <v>449</v>
      </c>
      <c r="Q200" s="92" t="s">
        <v>112</v>
      </c>
      <c r="R200" s="92" t="s">
        <v>144</v>
      </c>
      <c r="S200" s="92" t="s">
        <v>236</v>
      </c>
      <c r="T200" s="92" t="s">
        <v>47</v>
      </c>
      <c r="U200" s="92" t="s">
        <v>450</v>
      </c>
      <c r="V200" s="92" t="s">
        <v>148</v>
      </c>
      <c r="W200" s="92" t="s">
        <v>149</v>
      </c>
    </row>
    <row r="201" s="37" customFormat="1" ht="15.75" spans="1:23">
      <c r="A201" s="92"/>
      <c r="B201" s="91"/>
      <c r="C201" s="91"/>
      <c r="D201" s="85"/>
      <c r="E201" s="85"/>
      <c r="F201" s="67"/>
      <c r="G201" s="67"/>
      <c r="H201" s="71" t="s">
        <v>85</v>
      </c>
      <c r="I201" s="71" t="s">
        <v>183</v>
      </c>
      <c r="J201" s="63" t="s">
        <v>108</v>
      </c>
      <c r="K201" s="71" t="s">
        <v>93</v>
      </c>
      <c r="L201" s="54">
        <v>40</v>
      </c>
      <c r="M201" s="54" t="s">
        <v>89</v>
      </c>
      <c r="N201" s="71" t="s">
        <v>99</v>
      </c>
      <c r="O201" s="91"/>
      <c r="P201" s="92"/>
      <c r="Q201" s="92"/>
      <c r="R201" s="92"/>
      <c r="S201" s="92"/>
      <c r="T201" s="92"/>
      <c r="U201" s="92"/>
      <c r="V201" s="92"/>
      <c r="W201" s="92"/>
    </row>
    <row r="202" s="37" customFormat="1" ht="30" spans="1:23">
      <c r="A202" s="92"/>
      <c r="B202" s="91"/>
      <c r="C202" s="91"/>
      <c r="D202" s="85" t="s">
        <v>102</v>
      </c>
      <c r="E202" s="98" t="s">
        <v>154</v>
      </c>
      <c r="F202" s="67"/>
      <c r="G202" s="67"/>
      <c r="H202" s="63" t="s">
        <v>119</v>
      </c>
      <c r="I202" s="63" t="s">
        <v>212</v>
      </c>
      <c r="J202" s="63" t="s">
        <v>108</v>
      </c>
      <c r="K202" s="71" t="s">
        <v>93</v>
      </c>
      <c r="L202" s="54">
        <v>30</v>
      </c>
      <c r="M202" s="57" t="s">
        <v>448</v>
      </c>
      <c r="N202" s="71" t="s">
        <v>110</v>
      </c>
      <c r="O202" s="91"/>
      <c r="P202" s="92"/>
      <c r="Q202" s="92"/>
      <c r="R202" s="92"/>
      <c r="S202" s="92"/>
      <c r="T202" s="92"/>
      <c r="U202" s="92"/>
      <c r="V202" s="92"/>
      <c r="W202" s="92"/>
    </row>
    <row r="203" s="37" customFormat="1" ht="15.75" spans="1:23">
      <c r="A203" s="92"/>
      <c r="B203" s="91"/>
      <c r="C203" s="91"/>
      <c r="D203" s="85"/>
      <c r="E203" s="85"/>
      <c r="F203" s="67"/>
      <c r="G203" s="67"/>
      <c r="H203" s="63" t="s">
        <v>141</v>
      </c>
      <c r="I203" s="63" t="s">
        <v>142</v>
      </c>
      <c r="J203" s="63" t="s">
        <v>97</v>
      </c>
      <c r="K203" s="71" t="s">
        <v>93</v>
      </c>
      <c r="L203" s="54">
        <v>30</v>
      </c>
      <c r="M203" s="54" t="s">
        <v>98</v>
      </c>
      <c r="N203" s="71" t="s">
        <v>99</v>
      </c>
      <c r="O203" s="91"/>
      <c r="P203" s="92"/>
      <c r="Q203" s="92"/>
      <c r="R203" s="92"/>
      <c r="S203" s="92"/>
      <c r="T203" s="92"/>
      <c r="U203" s="92"/>
      <c r="V203" s="92"/>
      <c r="W203" s="92"/>
    </row>
    <row r="204" s="37" customFormat="1" ht="30" spans="1:23">
      <c r="A204" s="92"/>
      <c r="B204" s="91"/>
      <c r="C204" s="91"/>
      <c r="D204" s="85"/>
      <c r="E204" s="85"/>
      <c r="F204" s="67"/>
      <c r="G204" s="67"/>
      <c r="H204" s="63" t="s">
        <v>85</v>
      </c>
      <c r="I204" s="63" t="s">
        <v>192</v>
      </c>
      <c r="J204" s="63" t="s">
        <v>108</v>
      </c>
      <c r="K204" s="71" t="s">
        <v>93</v>
      </c>
      <c r="L204" s="54">
        <v>36</v>
      </c>
      <c r="M204" s="57" t="s">
        <v>448</v>
      </c>
      <c r="N204" s="71" t="s">
        <v>110</v>
      </c>
      <c r="O204" s="91"/>
      <c r="P204" s="92"/>
      <c r="Q204" s="92"/>
      <c r="R204" s="92"/>
      <c r="S204" s="92"/>
      <c r="T204" s="92"/>
      <c r="U204" s="92"/>
      <c r="V204" s="92"/>
      <c r="W204" s="92"/>
    </row>
    <row r="205" s="37" customFormat="1" ht="15.75" spans="1:23">
      <c r="A205" s="59" t="s">
        <v>451</v>
      </c>
      <c r="B205" s="60" t="s">
        <v>452</v>
      </c>
      <c r="C205" s="60" t="s">
        <v>83</v>
      </c>
      <c r="D205" s="66" t="s">
        <v>102</v>
      </c>
      <c r="E205" s="66" t="s">
        <v>154</v>
      </c>
      <c r="F205" s="62" t="s">
        <v>453</v>
      </c>
      <c r="G205" s="62" t="s">
        <v>454</v>
      </c>
      <c r="H205" s="63" t="s">
        <v>157</v>
      </c>
      <c r="I205" s="63" t="s">
        <v>284</v>
      </c>
      <c r="J205" s="63" t="s">
        <v>108</v>
      </c>
      <c r="K205" s="63" t="s">
        <v>134</v>
      </c>
      <c r="L205" s="54">
        <v>80</v>
      </c>
      <c r="M205" s="54" t="s">
        <v>455</v>
      </c>
      <c r="N205" s="63" t="s">
        <v>110</v>
      </c>
      <c r="O205" s="60" t="s">
        <v>36</v>
      </c>
      <c r="P205" s="59" t="s">
        <v>178</v>
      </c>
      <c r="Q205" s="59" t="s">
        <v>112</v>
      </c>
      <c r="R205" s="59" t="s">
        <v>334</v>
      </c>
      <c r="S205" s="59" t="s">
        <v>335</v>
      </c>
      <c r="T205" s="59" t="s">
        <v>38</v>
      </c>
      <c r="U205" s="59" t="s">
        <v>456</v>
      </c>
      <c r="V205" s="59" t="s">
        <v>116</v>
      </c>
      <c r="W205" s="59" t="s">
        <v>117</v>
      </c>
    </row>
    <row r="206" s="37" customFormat="1" ht="15.75" spans="1:23">
      <c r="A206" s="59"/>
      <c r="B206" s="60"/>
      <c r="C206" s="60"/>
      <c r="D206" s="66"/>
      <c r="E206" s="66"/>
      <c r="F206" s="62"/>
      <c r="G206" s="62"/>
      <c r="H206" s="63" t="s">
        <v>119</v>
      </c>
      <c r="I206" s="63" t="s">
        <v>120</v>
      </c>
      <c r="J206" s="63" t="s">
        <v>108</v>
      </c>
      <c r="K206" s="63" t="s">
        <v>134</v>
      </c>
      <c r="L206" s="54">
        <v>68</v>
      </c>
      <c r="M206" s="54" t="s">
        <v>336</v>
      </c>
      <c r="N206" s="63" t="s">
        <v>110</v>
      </c>
      <c r="O206" s="60" t="s">
        <v>36</v>
      </c>
      <c r="P206" s="59" t="s">
        <v>178</v>
      </c>
      <c r="Q206" s="59" t="s">
        <v>112</v>
      </c>
      <c r="R206" s="59" t="s">
        <v>334</v>
      </c>
      <c r="S206" s="59" t="s">
        <v>335</v>
      </c>
      <c r="T206" s="59"/>
      <c r="U206" s="59"/>
      <c r="V206" s="59"/>
      <c r="W206" s="59"/>
    </row>
    <row r="207" s="37" customFormat="1" ht="20.85" customHeight="1" spans="1:23">
      <c r="A207" s="59"/>
      <c r="B207" s="60"/>
      <c r="C207" s="60"/>
      <c r="D207" s="66"/>
      <c r="E207" s="66"/>
      <c r="F207" s="62"/>
      <c r="G207" s="62"/>
      <c r="H207" s="63" t="s">
        <v>254</v>
      </c>
      <c r="I207" s="63" t="s">
        <v>457</v>
      </c>
      <c r="J207" s="63" t="s">
        <v>108</v>
      </c>
      <c r="K207" s="63" t="s">
        <v>134</v>
      </c>
      <c r="L207" s="54">
        <v>20</v>
      </c>
      <c r="M207" s="54" t="s">
        <v>98</v>
      </c>
      <c r="N207" s="63" t="s">
        <v>99</v>
      </c>
      <c r="O207" s="60" t="s">
        <v>36</v>
      </c>
      <c r="P207" s="59" t="s">
        <v>178</v>
      </c>
      <c r="Q207" s="59" t="s">
        <v>112</v>
      </c>
      <c r="R207" s="59" t="s">
        <v>334</v>
      </c>
      <c r="S207" s="59" t="s">
        <v>335</v>
      </c>
      <c r="T207" s="59"/>
      <c r="U207" s="59"/>
      <c r="V207" s="59"/>
      <c r="W207" s="59"/>
    </row>
    <row r="208" s="37" customFormat="1" ht="15.75" spans="1:23">
      <c r="A208" s="59" t="s">
        <v>458</v>
      </c>
      <c r="B208" s="60" t="s">
        <v>459</v>
      </c>
      <c r="C208" s="60" t="s">
        <v>83</v>
      </c>
      <c r="D208" s="66" t="s">
        <v>102</v>
      </c>
      <c r="E208" s="66" t="s">
        <v>154</v>
      </c>
      <c r="F208" s="62" t="s">
        <v>460</v>
      </c>
      <c r="G208" s="62" t="s">
        <v>461</v>
      </c>
      <c r="H208" s="63" t="s">
        <v>106</v>
      </c>
      <c r="I208" s="63" t="s">
        <v>107</v>
      </c>
      <c r="J208" s="63" t="s">
        <v>108</v>
      </c>
      <c r="K208" s="63" t="s">
        <v>93</v>
      </c>
      <c r="L208" s="54">
        <v>56</v>
      </c>
      <c r="M208" s="54" t="s">
        <v>98</v>
      </c>
      <c r="N208" s="63" t="s">
        <v>99</v>
      </c>
      <c r="O208" s="60" t="s">
        <v>36</v>
      </c>
      <c r="P208" s="59" t="s">
        <v>178</v>
      </c>
      <c r="Q208" s="59" t="s">
        <v>112</v>
      </c>
      <c r="R208" s="59" t="s">
        <v>334</v>
      </c>
      <c r="S208" s="59" t="s">
        <v>335</v>
      </c>
      <c r="T208" s="59" t="s">
        <v>38</v>
      </c>
      <c r="U208" s="59" t="s">
        <v>462</v>
      </c>
      <c r="V208" s="59" t="s">
        <v>116</v>
      </c>
      <c r="W208" s="59" t="s">
        <v>117</v>
      </c>
    </row>
    <row r="209" s="37" customFormat="1" customHeight="1" spans="1:23">
      <c r="A209" s="59"/>
      <c r="B209" s="60"/>
      <c r="C209" s="60"/>
      <c r="D209" s="66"/>
      <c r="E209" s="66"/>
      <c r="F209" s="62"/>
      <c r="G209" s="62"/>
      <c r="H209" s="63" t="s">
        <v>106</v>
      </c>
      <c r="I209" s="63" t="s">
        <v>196</v>
      </c>
      <c r="J209" s="63" t="s">
        <v>87</v>
      </c>
      <c r="K209" s="63" t="s">
        <v>134</v>
      </c>
      <c r="L209" s="54">
        <v>56</v>
      </c>
      <c r="M209" s="54" t="s">
        <v>98</v>
      </c>
      <c r="N209" s="63" t="s">
        <v>99</v>
      </c>
      <c r="O209" s="60" t="s">
        <v>36</v>
      </c>
      <c r="P209" s="59" t="s">
        <v>178</v>
      </c>
      <c r="Q209" s="59" t="s">
        <v>112</v>
      </c>
      <c r="R209" s="59"/>
      <c r="S209" s="59"/>
      <c r="T209" s="59"/>
      <c r="U209" s="59"/>
      <c r="V209" s="59"/>
      <c r="W209" s="59"/>
    </row>
    <row r="210" s="37" customFormat="1" customHeight="1" spans="1:23">
      <c r="A210" s="99"/>
      <c r="B210" s="100"/>
      <c r="C210" s="100"/>
      <c r="D210" s="66"/>
      <c r="E210" s="66"/>
      <c r="F210" s="101"/>
      <c r="G210" s="101"/>
      <c r="H210" s="63" t="s">
        <v>106</v>
      </c>
      <c r="I210" s="63" t="s">
        <v>249</v>
      </c>
      <c r="J210" s="63" t="s">
        <v>87</v>
      </c>
      <c r="K210" s="63" t="s">
        <v>134</v>
      </c>
      <c r="L210" s="54">
        <v>56</v>
      </c>
      <c r="M210" s="54" t="s">
        <v>336</v>
      </c>
      <c r="N210" s="63" t="s">
        <v>110</v>
      </c>
      <c r="O210" s="100" t="s">
        <v>36</v>
      </c>
      <c r="P210" s="59" t="s">
        <v>178</v>
      </c>
      <c r="Q210" s="59" t="s">
        <v>112</v>
      </c>
      <c r="R210" s="59" t="s">
        <v>334</v>
      </c>
      <c r="S210" s="59" t="s">
        <v>335</v>
      </c>
      <c r="T210" s="59"/>
      <c r="U210" s="59"/>
      <c r="V210" s="59"/>
      <c r="W210" s="59"/>
    </row>
    <row r="211" s="37" customFormat="1" customHeight="1" spans="1:23">
      <c r="A211" s="68" t="s">
        <v>463</v>
      </c>
      <c r="B211" s="65" t="s">
        <v>464</v>
      </c>
      <c r="C211" s="65" t="s">
        <v>173</v>
      </c>
      <c r="D211" s="66"/>
      <c r="E211" s="66"/>
      <c r="F211" s="72" t="s">
        <v>465</v>
      </c>
      <c r="G211" s="72" t="s">
        <v>466</v>
      </c>
      <c r="H211" s="71" t="s">
        <v>106</v>
      </c>
      <c r="I211" s="71" t="s">
        <v>281</v>
      </c>
      <c r="J211" s="63" t="s">
        <v>87</v>
      </c>
      <c r="K211" s="71" t="s">
        <v>93</v>
      </c>
      <c r="L211" s="54">
        <v>21</v>
      </c>
      <c r="M211" s="54" t="s">
        <v>467</v>
      </c>
      <c r="N211" s="71" t="s">
        <v>110</v>
      </c>
      <c r="O211" s="65" t="s">
        <v>30</v>
      </c>
      <c r="P211" s="68" t="s">
        <v>178</v>
      </c>
      <c r="Q211" s="68" t="s">
        <v>112</v>
      </c>
      <c r="R211" s="68" t="s">
        <v>468</v>
      </c>
      <c r="S211" s="68" t="s">
        <v>469</v>
      </c>
      <c r="T211" s="68" t="s">
        <v>32</v>
      </c>
      <c r="U211" s="68" t="s">
        <v>470</v>
      </c>
      <c r="V211" s="68" t="s">
        <v>116</v>
      </c>
      <c r="W211" s="68" t="s">
        <v>117</v>
      </c>
    </row>
    <row r="212" s="37" customFormat="1" ht="15.75" spans="1:23">
      <c r="A212" s="68"/>
      <c r="B212" s="65"/>
      <c r="C212" s="65"/>
      <c r="D212" s="66"/>
      <c r="E212" s="66"/>
      <c r="F212" s="72"/>
      <c r="G212" s="72"/>
      <c r="H212" s="71" t="s">
        <v>106</v>
      </c>
      <c r="I212" s="75" t="s">
        <v>107</v>
      </c>
      <c r="J212" s="63" t="s">
        <v>108</v>
      </c>
      <c r="K212" s="75" t="s">
        <v>93</v>
      </c>
      <c r="L212" s="54">
        <v>21</v>
      </c>
      <c r="M212" s="54" t="s">
        <v>467</v>
      </c>
      <c r="N212" s="75" t="s">
        <v>110</v>
      </c>
      <c r="O212" s="65"/>
      <c r="P212" s="68"/>
      <c r="Q212" s="68"/>
      <c r="R212" s="68"/>
      <c r="S212" s="68"/>
      <c r="T212" s="68"/>
      <c r="U212" s="68"/>
      <c r="V212" s="68"/>
      <c r="W212" s="68"/>
    </row>
    <row r="213" s="37" customFormat="1" ht="15.75" spans="1:23">
      <c r="A213" s="68"/>
      <c r="B213" s="65"/>
      <c r="C213" s="65"/>
      <c r="D213" s="66"/>
      <c r="E213" s="66"/>
      <c r="F213" s="72"/>
      <c r="G213" s="72"/>
      <c r="H213" s="74" t="s">
        <v>106</v>
      </c>
      <c r="I213" s="75" t="s">
        <v>170</v>
      </c>
      <c r="J213" s="63" t="s">
        <v>108</v>
      </c>
      <c r="K213" s="75" t="s">
        <v>134</v>
      </c>
      <c r="L213" s="54">
        <v>21</v>
      </c>
      <c r="M213" s="54" t="s">
        <v>135</v>
      </c>
      <c r="N213" s="75" t="s">
        <v>110</v>
      </c>
      <c r="O213" s="65"/>
      <c r="P213" s="68"/>
      <c r="Q213" s="68"/>
      <c r="R213" s="68"/>
      <c r="S213" s="68"/>
      <c r="T213" s="68"/>
      <c r="U213" s="68"/>
      <c r="V213" s="68"/>
      <c r="W213" s="68"/>
    </row>
    <row r="214" s="37" customFormat="1" ht="15.75" spans="1:23">
      <c r="A214" s="68"/>
      <c r="B214" s="65"/>
      <c r="C214" s="65"/>
      <c r="D214" s="66"/>
      <c r="E214" s="66"/>
      <c r="F214" s="72"/>
      <c r="G214" s="72"/>
      <c r="H214" s="74" t="s">
        <v>106</v>
      </c>
      <c r="I214" s="75" t="s">
        <v>166</v>
      </c>
      <c r="J214" s="63" t="s">
        <v>108</v>
      </c>
      <c r="K214" s="75" t="s">
        <v>88</v>
      </c>
      <c r="L214" s="54">
        <v>21</v>
      </c>
      <c r="M214" s="54" t="s">
        <v>135</v>
      </c>
      <c r="N214" s="75" t="s">
        <v>110</v>
      </c>
      <c r="O214" s="65"/>
      <c r="P214" s="68"/>
      <c r="Q214" s="68"/>
      <c r="R214" s="68"/>
      <c r="S214" s="68"/>
      <c r="T214" s="68"/>
      <c r="U214" s="68"/>
      <c r="V214" s="68"/>
      <c r="W214" s="68"/>
    </row>
    <row r="215" s="37" customFormat="1" ht="15.75" spans="1:23">
      <c r="A215" s="68"/>
      <c r="B215" s="65"/>
      <c r="C215" s="65"/>
      <c r="D215" s="66"/>
      <c r="E215" s="66"/>
      <c r="F215" s="72"/>
      <c r="G215" s="72"/>
      <c r="H215" s="74" t="s">
        <v>106</v>
      </c>
      <c r="I215" s="75" t="s">
        <v>283</v>
      </c>
      <c r="J215" s="63" t="s">
        <v>108</v>
      </c>
      <c r="K215" s="75" t="s">
        <v>134</v>
      </c>
      <c r="L215" s="54">
        <v>10.5</v>
      </c>
      <c r="M215" s="54" t="s">
        <v>467</v>
      </c>
      <c r="N215" s="75" t="s">
        <v>110</v>
      </c>
      <c r="O215" s="65"/>
      <c r="P215" s="68"/>
      <c r="Q215" s="68"/>
      <c r="R215" s="68"/>
      <c r="S215" s="68"/>
      <c r="T215" s="68"/>
      <c r="U215" s="68"/>
      <c r="V215" s="68"/>
      <c r="W215" s="68"/>
    </row>
    <row r="216" s="37" customFormat="1" customHeight="1" spans="1:23">
      <c r="A216" s="68"/>
      <c r="B216" s="65"/>
      <c r="C216" s="65"/>
      <c r="D216" s="66"/>
      <c r="E216" s="66"/>
      <c r="F216" s="72"/>
      <c r="G216" s="72"/>
      <c r="H216" s="74" t="s">
        <v>106</v>
      </c>
      <c r="I216" s="75" t="s">
        <v>249</v>
      </c>
      <c r="J216" s="63" t="s">
        <v>87</v>
      </c>
      <c r="K216" s="75" t="s">
        <v>93</v>
      </c>
      <c r="L216" s="54">
        <v>10.5</v>
      </c>
      <c r="M216" s="54" t="s">
        <v>467</v>
      </c>
      <c r="N216" s="75" t="s">
        <v>110</v>
      </c>
      <c r="O216" s="65"/>
      <c r="P216" s="68"/>
      <c r="Q216" s="68"/>
      <c r="R216" s="68"/>
      <c r="S216" s="68"/>
      <c r="T216" s="68"/>
      <c r="U216" s="68"/>
      <c r="V216" s="68"/>
      <c r="W216" s="68"/>
    </row>
    <row r="217" s="37" customFormat="1" ht="15.75" spans="1:23">
      <c r="A217" s="68"/>
      <c r="B217" s="65"/>
      <c r="C217" s="65"/>
      <c r="D217" s="66"/>
      <c r="E217" s="66"/>
      <c r="F217" s="72"/>
      <c r="G217" s="72"/>
      <c r="H217" s="74" t="s">
        <v>106</v>
      </c>
      <c r="I217" s="75" t="s">
        <v>188</v>
      </c>
      <c r="J217" s="63" t="s">
        <v>108</v>
      </c>
      <c r="K217" s="75" t="s">
        <v>88</v>
      </c>
      <c r="L217" s="54">
        <v>21</v>
      </c>
      <c r="M217" s="54" t="s">
        <v>126</v>
      </c>
      <c r="N217" s="75" t="s">
        <v>110</v>
      </c>
      <c r="O217" s="65"/>
      <c r="P217" s="68"/>
      <c r="Q217" s="68"/>
      <c r="R217" s="68"/>
      <c r="S217" s="68"/>
      <c r="T217" s="68"/>
      <c r="U217" s="68"/>
      <c r="V217" s="68"/>
      <c r="W217" s="68"/>
    </row>
    <row r="218" s="37" customFormat="1" ht="15.75" spans="1:23">
      <c r="A218" s="68"/>
      <c r="B218" s="65"/>
      <c r="C218" s="65"/>
      <c r="D218" s="66"/>
      <c r="E218" s="66"/>
      <c r="F218" s="72"/>
      <c r="G218" s="72"/>
      <c r="H218" s="74" t="s">
        <v>167</v>
      </c>
      <c r="I218" s="75" t="s">
        <v>284</v>
      </c>
      <c r="J218" s="63" t="s">
        <v>108</v>
      </c>
      <c r="K218" s="75" t="s">
        <v>134</v>
      </c>
      <c r="L218" s="54">
        <v>21</v>
      </c>
      <c r="M218" s="54" t="s">
        <v>135</v>
      </c>
      <c r="N218" s="76" t="s">
        <v>110</v>
      </c>
      <c r="O218" s="65"/>
      <c r="P218" s="68"/>
      <c r="Q218" s="68"/>
      <c r="R218" s="68"/>
      <c r="S218" s="68"/>
      <c r="T218" s="68"/>
      <c r="U218" s="68"/>
      <c r="V218" s="68"/>
      <c r="W218" s="68"/>
    </row>
    <row r="219" s="37" customFormat="1" ht="15.75" spans="1:23">
      <c r="A219" s="68"/>
      <c r="B219" s="65"/>
      <c r="C219" s="65"/>
      <c r="D219" s="66"/>
      <c r="E219" s="66"/>
      <c r="F219" s="72"/>
      <c r="G219" s="72"/>
      <c r="H219" s="74" t="s">
        <v>157</v>
      </c>
      <c r="I219" s="75" t="s">
        <v>222</v>
      </c>
      <c r="J219" s="63" t="s">
        <v>108</v>
      </c>
      <c r="K219" s="75" t="s">
        <v>134</v>
      </c>
      <c r="L219" s="54">
        <v>21</v>
      </c>
      <c r="M219" s="54" t="s">
        <v>135</v>
      </c>
      <c r="N219" s="75" t="s">
        <v>99</v>
      </c>
      <c r="O219" s="65"/>
      <c r="P219" s="68"/>
      <c r="Q219" s="68"/>
      <c r="R219" s="68"/>
      <c r="S219" s="68"/>
      <c r="T219" s="68"/>
      <c r="U219" s="68"/>
      <c r="V219" s="68"/>
      <c r="W219" s="68"/>
    </row>
    <row r="220" s="37" customFormat="1" ht="15.75" spans="1:23">
      <c r="A220" s="68"/>
      <c r="B220" s="65"/>
      <c r="C220" s="65"/>
      <c r="D220" s="66"/>
      <c r="E220" s="66"/>
      <c r="F220" s="72"/>
      <c r="G220" s="72"/>
      <c r="H220" s="74" t="s">
        <v>132</v>
      </c>
      <c r="I220" s="75" t="s">
        <v>209</v>
      </c>
      <c r="J220" s="63" t="s">
        <v>108</v>
      </c>
      <c r="K220" s="75" t="s">
        <v>134</v>
      </c>
      <c r="L220" s="54">
        <v>21</v>
      </c>
      <c r="M220" s="54" t="s">
        <v>126</v>
      </c>
      <c r="N220" s="75" t="s">
        <v>90</v>
      </c>
      <c r="O220" s="65"/>
      <c r="P220" s="68"/>
      <c r="Q220" s="68"/>
      <c r="R220" s="68"/>
      <c r="S220" s="68"/>
      <c r="T220" s="68"/>
      <c r="U220" s="68"/>
      <c r="V220" s="68"/>
      <c r="W220" s="68"/>
    </row>
    <row r="221" s="37" customFormat="1" ht="15.75" spans="1:23">
      <c r="A221" s="102" t="s">
        <v>471</v>
      </c>
      <c r="B221" s="102" t="s">
        <v>472</v>
      </c>
      <c r="C221" s="102" t="s">
        <v>83</v>
      </c>
      <c r="D221" s="61" t="s">
        <v>102</v>
      </c>
      <c r="E221" s="61" t="s">
        <v>103</v>
      </c>
      <c r="F221" s="103" t="s">
        <v>473</v>
      </c>
      <c r="G221" s="103" t="s">
        <v>474</v>
      </c>
      <c r="H221" s="104" t="s">
        <v>91</v>
      </c>
      <c r="I221" s="104" t="s">
        <v>475</v>
      </c>
      <c r="J221" s="63" t="s">
        <v>108</v>
      </c>
      <c r="K221" s="76" t="s">
        <v>93</v>
      </c>
      <c r="L221" s="54">
        <v>20</v>
      </c>
      <c r="M221" s="54" t="s">
        <v>476</v>
      </c>
      <c r="N221" s="104" t="s">
        <v>110</v>
      </c>
      <c r="O221" s="102" t="s">
        <v>21</v>
      </c>
      <c r="P221" s="105" t="s">
        <v>477</v>
      </c>
      <c r="Q221" s="105" t="s">
        <v>112</v>
      </c>
      <c r="R221" s="105" t="s">
        <v>161</v>
      </c>
      <c r="S221" s="105" t="s">
        <v>190</v>
      </c>
      <c r="T221" s="105" t="s">
        <v>23</v>
      </c>
      <c r="U221" s="105" t="s">
        <v>478</v>
      </c>
      <c r="V221" s="105" t="s">
        <v>164</v>
      </c>
      <c r="W221" s="105" t="s">
        <v>165</v>
      </c>
    </row>
    <row r="222" s="37" customFormat="1" ht="15.75" spans="1:23">
      <c r="A222" s="102"/>
      <c r="B222" s="102"/>
      <c r="C222" s="102"/>
      <c r="D222" s="61" t="s">
        <v>102</v>
      </c>
      <c r="E222" s="61" t="s">
        <v>103</v>
      </c>
      <c r="F222" s="103"/>
      <c r="G222" s="103"/>
      <c r="H222" s="104" t="s">
        <v>254</v>
      </c>
      <c r="I222" s="104" t="s">
        <v>457</v>
      </c>
      <c r="J222" s="63" t="s">
        <v>108</v>
      </c>
      <c r="K222" s="76" t="s">
        <v>134</v>
      </c>
      <c r="L222" s="54">
        <v>10</v>
      </c>
      <c r="M222" s="54" t="s">
        <v>279</v>
      </c>
      <c r="N222" s="104" t="s">
        <v>99</v>
      </c>
      <c r="O222" s="102" t="s">
        <v>21</v>
      </c>
      <c r="P222" s="105" t="s">
        <v>477</v>
      </c>
      <c r="Q222" s="105" t="s">
        <v>112</v>
      </c>
      <c r="R222" s="105" t="s">
        <v>161</v>
      </c>
      <c r="S222" s="105" t="s">
        <v>190</v>
      </c>
      <c r="T222" s="105" t="s">
        <v>23</v>
      </c>
      <c r="U222" s="105" t="s">
        <v>478</v>
      </c>
      <c r="V222" s="105" t="s">
        <v>164</v>
      </c>
      <c r="W222" s="105" t="s">
        <v>165</v>
      </c>
    </row>
    <row r="223" s="37" customFormat="1" ht="15.75" spans="1:23">
      <c r="A223" s="102"/>
      <c r="B223" s="102"/>
      <c r="C223" s="102"/>
      <c r="D223" s="61" t="s">
        <v>102</v>
      </c>
      <c r="E223" s="61" t="s">
        <v>103</v>
      </c>
      <c r="F223" s="103"/>
      <c r="G223" s="103"/>
      <c r="H223" s="104" t="s">
        <v>141</v>
      </c>
      <c r="I223" s="104" t="s">
        <v>479</v>
      </c>
      <c r="J223" s="63" t="s">
        <v>97</v>
      </c>
      <c r="K223" s="76" t="s">
        <v>93</v>
      </c>
      <c r="L223" s="54">
        <v>20</v>
      </c>
      <c r="M223" s="54" t="s">
        <v>476</v>
      </c>
      <c r="N223" s="104" t="s">
        <v>110</v>
      </c>
      <c r="O223" s="102" t="s">
        <v>21</v>
      </c>
      <c r="P223" s="105" t="s">
        <v>477</v>
      </c>
      <c r="Q223" s="105" t="s">
        <v>112</v>
      </c>
      <c r="R223" s="105" t="s">
        <v>161</v>
      </c>
      <c r="S223" s="105" t="s">
        <v>190</v>
      </c>
      <c r="T223" s="105" t="s">
        <v>23</v>
      </c>
      <c r="U223" s="105" t="s">
        <v>478</v>
      </c>
      <c r="V223" s="105" t="s">
        <v>164</v>
      </c>
      <c r="W223" s="105" t="s">
        <v>165</v>
      </c>
    </row>
    <row r="224" s="37" customFormat="1" customHeight="1" spans="1:23">
      <c r="A224" s="102"/>
      <c r="B224" s="102"/>
      <c r="C224" s="102"/>
      <c r="D224" s="61" t="s">
        <v>102</v>
      </c>
      <c r="E224" s="61" t="s">
        <v>103</v>
      </c>
      <c r="F224" s="103"/>
      <c r="G224" s="103"/>
      <c r="H224" s="104" t="s">
        <v>132</v>
      </c>
      <c r="I224" s="104" t="s">
        <v>480</v>
      </c>
      <c r="J224" s="63" t="s">
        <v>87</v>
      </c>
      <c r="K224" s="76" t="s">
        <v>93</v>
      </c>
      <c r="L224" s="54">
        <v>20</v>
      </c>
      <c r="M224" s="54" t="s">
        <v>476</v>
      </c>
      <c r="N224" s="104" t="s">
        <v>110</v>
      </c>
      <c r="O224" s="102" t="s">
        <v>21</v>
      </c>
      <c r="P224" s="105" t="s">
        <v>477</v>
      </c>
      <c r="Q224" s="105" t="s">
        <v>112</v>
      </c>
      <c r="R224" s="105" t="s">
        <v>161</v>
      </c>
      <c r="S224" s="105" t="s">
        <v>190</v>
      </c>
      <c r="T224" s="105" t="s">
        <v>23</v>
      </c>
      <c r="U224" s="105" t="s">
        <v>478</v>
      </c>
      <c r="V224" s="105" t="s">
        <v>164</v>
      </c>
      <c r="W224" s="105" t="s">
        <v>165</v>
      </c>
    </row>
    <row r="225" s="37" customFormat="1" ht="15.75" spans="1:23">
      <c r="A225" s="105" t="s">
        <v>481</v>
      </c>
      <c r="B225" s="106" t="s">
        <v>482</v>
      </c>
      <c r="C225" s="106" t="s">
        <v>83</v>
      </c>
      <c r="D225" s="61" t="s">
        <v>102</v>
      </c>
      <c r="E225" s="61" t="s">
        <v>103</v>
      </c>
      <c r="F225" s="107" t="s">
        <v>483</v>
      </c>
      <c r="G225" s="107" t="s">
        <v>484</v>
      </c>
      <c r="H225" s="104" t="s">
        <v>119</v>
      </c>
      <c r="I225" s="104" t="s">
        <v>120</v>
      </c>
      <c r="J225" s="63" t="s">
        <v>108</v>
      </c>
      <c r="K225" s="76" t="s">
        <v>134</v>
      </c>
      <c r="L225" s="54">
        <v>10</v>
      </c>
      <c r="M225" s="54" t="s">
        <v>419</v>
      </c>
      <c r="N225" s="104" t="s">
        <v>99</v>
      </c>
      <c r="O225" s="106" t="s">
        <v>21</v>
      </c>
      <c r="P225" s="105" t="s">
        <v>178</v>
      </c>
      <c r="Q225" s="105" t="s">
        <v>112</v>
      </c>
      <c r="R225" s="105" t="s">
        <v>161</v>
      </c>
      <c r="S225" s="105" t="s">
        <v>190</v>
      </c>
      <c r="T225" s="105" t="s">
        <v>23</v>
      </c>
      <c r="U225" s="105" t="s">
        <v>485</v>
      </c>
      <c r="V225" s="105" t="s">
        <v>116</v>
      </c>
      <c r="W225" s="105" t="s">
        <v>117</v>
      </c>
    </row>
    <row r="226" s="37" customFormat="1" customHeight="1" spans="1:23">
      <c r="A226" s="105"/>
      <c r="B226" s="106"/>
      <c r="C226" s="106"/>
      <c r="D226" s="61" t="s">
        <v>102</v>
      </c>
      <c r="E226" s="61" t="s">
        <v>103</v>
      </c>
      <c r="F226" s="107"/>
      <c r="G226" s="107"/>
      <c r="H226" s="104" t="s">
        <v>91</v>
      </c>
      <c r="I226" s="104" t="s">
        <v>328</v>
      </c>
      <c r="J226" s="63" t="s">
        <v>87</v>
      </c>
      <c r="K226" s="76" t="s">
        <v>88</v>
      </c>
      <c r="L226" s="54">
        <v>8</v>
      </c>
      <c r="M226" s="54" t="s">
        <v>419</v>
      </c>
      <c r="N226" s="104" t="s">
        <v>99</v>
      </c>
      <c r="O226" s="106" t="s">
        <v>21</v>
      </c>
      <c r="P226" s="105" t="s">
        <v>178</v>
      </c>
      <c r="Q226" s="105" t="s">
        <v>112</v>
      </c>
      <c r="R226" s="105" t="s">
        <v>161</v>
      </c>
      <c r="S226" s="105" t="s">
        <v>190</v>
      </c>
      <c r="T226" s="105" t="s">
        <v>23</v>
      </c>
      <c r="U226" s="105" t="s">
        <v>485</v>
      </c>
      <c r="V226" s="105" t="s">
        <v>116</v>
      </c>
      <c r="W226" s="105" t="s">
        <v>117</v>
      </c>
    </row>
    <row r="227" s="37" customFormat="1" ht="15.75" spans="1:23">
      <c r="A227" s="105"/>
      <c r="B227" s="106"/>
      <c r="C227" s="106"/>
      <c r="D227" s="61" t="s">
        <v>102</v>
      </c>
      <c r="E227" s="61" t="s">
        <v>103</v>
      </c>
      <c r="F227" s="107"/>
      <c r="G227" s="107"/>
      <c r="H227" s="104" t="s">
        <v>157</v>
      </c>
      <c r="I227" s="104" t="s">
        <v>188</v>
      </c>
      <c r="J227" s="63" t="s">
        <v>108</v>
      </c>
      <c r="K227" s="76" t="s">
        <v>88</v>
      </c>
      <c r="L227" s="54">
        <v>40</v>
      </c>
      <c r="M227" s="54" t="s">
        <v>419</v>
      </c>
      <c r="N227" s="104" t="s">
        <v>99</v>
      </c>
      <c r="O227" s="106" t="s">
        <v>21</v>
      </c>
      <c r="P227" s="105" t="s">
        <v>178</v>
      </c>
      <c r="Q227" s="105" t="s">
        <v>112</v>
      </c>
      <c r="R227" s="105" t="s">
        <v>161</v>
      </c>
      <c r="S227" s="105" t="s">
        <v>190</v>
      </c>
      <c r="T227" s="105" t="s">
        <v>23</v>
      </c>
      <c r="U227" s="105" t="s">
        <v>485</v>
      </c>
      <c r="V227" s="105" t="s">
        <v>116</v>
      </c>
      <c r="W227" s="105" t="s">
        <v>117</v>
      </c>
    </row>
    <row r="228" s="37" customFormat="1" ht="15.75" spans="1:23">
      <c r="A228" s="105"/>
      <c r="B228" s="106"/>
      <c r="C228" s="106"/>
      <c r="D228" s="61" t="s">
        <v>102</v>
      </c>
      <c r="E228" s="61" t="s">
        <v>103</v>
      </c>
      <c r="F228" s="107"/>
      <c r="G228" s="107"/>
      <c r="H228" s="104" t="s">
        <v>157</v>
      </c>
      <c r="I228" s="104" t="s">
        <v>158</v>
      </c>
      <c r="J228" s="63" t="s">
        <v>108</v>
      </c>
      <c r="K228" s="76" t="s">
        <v>134</v>
      </c>
      <c r="L228" s="54">
        <v>40</v>
      </c>
      <c r="M228" s="54" t="s">
        <v>419</v>
      </c>
      <c r="N228" s="104" t="s">
        <v>99</v>
      </c>
      <c r="O228" s="106" t="s">
        <v>21</v>
      </c>
      <c r="P228" s="105" t="s">
        <v>178</v>
      </c>
      <c r="Q228" s="105" t="s">
        <v>112</v>
      </c>
      <c r="R228" s="105" t="s">
        <v>161</v>
      </c>
      <c r="S228" s="105" t="s">
        <v>190</v>
      </c>
      <c r="T228" s="105" t="s">
        <v>23</v>
      </c>
      <c r="U228" s="105" t="s">
        <v>485</v>
      </c>
      <c r="V228" s="105" t="s">
        <v>116</v>
      </c>
      <c r="W228" s="105" t="s">
        <v>117</v>
      </c>
    </row>
    <row r="229" s="37" customFormat="1" customHeight="1" spans="1:23">
      <c r="A229" s="105"/>
      <c r="B229" s="106"/>
      <c r="C229" s="106"/>
      <c r="D229" s="61" t="s">
        <v>102</v>
      </c>
      <c r="E229" s="61" t="s">
        <v>103</v>
      </c>
      <c r="F229" s="107"/>
      <c r="G229" s="107"/>
      <c r="H229" s="104" t="s">
        <v>106</v>
      </c>
      <c r="I229" s="104" t="s">
        <v>196</v>
      </c>
      <c r="J229" s="63" t="s">
        <v>87</v>
      </c>
      <c r="K229" s="76" t="s">
        <v>93</v>
      </c>
      <c r="L229" s="54">
        <v>40</v>
      </c>
      <c r="M229" s="54" t="s">
        <v>419</v>
      </c>
      <c r="N229" s="104" t="s">
        <v>99</v>
      </c>
      <c r="O229" s="106" t="s">
        <v>21</v>
      </c>
      <c r="P229" s="105" t="s">
        <v>178</v>
      </c>
      <c r="Q229" s="105" t="s">
        <v>112</v>
      </c>
      <c r="R229" s="105" t="s">
        <v>161</v>
      </c>
      <c r="S229" s="105" t="s">
        <v>190</v>
      </c>
      <c r="T229" s="105" t="s">
        <v>23</v>
      </c>
      <c r="U229" s="105" t="s">
        <v>485</v>
      </c>
      <c r="V229" s="105" t="s">
        <v>116</v>
      </c>
      <c r="W229" s="105" t="s">
        <v>117</v>
      </c>
    </row>
    <row r="230" s="37" customFormat="1" ht="15.75" spans="1:23">
      <c r="A230" s="105"/>
      <c r="B230" s="106"/>
      <c r="C230" s="106"/>
      <c r="D230" s="61" t="s">
        <v>102</v>
      </c>
      <c r="E230" s="61" t="s">
        <v>103</v>
      </c>
      <c r="F230" s="107"/>
      <c r="G230" s="107"/>
      <c r="H230" s="104" t="s">
        <v>157</v>
      </c>
      <c r="I230" s="104" t="s">
        <v>222</v>
      </c>
      <c r="J230" s="63" t="s">
        <v>108</v>
      </c>
      <c r="K230" s="76" t="s">
        <v>134</v>
      </c>
      <c r="L230" s="54">
        <v>40</v>
      </c>
      <c r="M230" s="54" t="s">
        <v>419</v>
      </c>
      <c r="N230" s="104" t="s">
        <v>99</v>
      </c>
      <c r="O230" s="106" t="s">
        <v>21</v>
      </c>
      <c r="P230" s="105" t="s">
        <v>178</v>
      </c>
      <c r="Q230" s="105" t="s">
        <v>112</v>
      </c>
      <c r="R230" s="105" t="s">
        <v>161</v>
      </c>
      <c r="S230" s="105" t="s">
        <v>190</v>
      </c>
      <c r="T230" s="105" t="s">
        <v>23</v>
      </c>
      <c r="U230" s="105" t="s">
        <v>485</v>
      </c>
      <c r="V230" s="105" t="s">
        <v>116</v>
      </c>
      <c r="W230" s="105" t="s">
        <v>117</v>
      </c>
    </row>
    <row r="231" s="37" customFormat="1" ht="15.75" spans="1:23">
      <c r="A231" s="105"/>
      <c r="B231" s="106"/>
      <c r="C231" s="106"/>
      <c r="D231" s="61" t="s">
        <v>102</v>
      </c>
      <c r="E231" s="61" t="s">
        <v>103</v>
      </c>
      <c r="F231" s="107"/>
      <c r="G231" s="107"/>
      <c r="H231" s="104" t="s">
        <v>119</v>
      </c>
      <c r="I231" s="104" t="s">
        <v>296</v>
      </c>
      <c r="J231" s="63" t="s">
        <v>108</v>
      </c>
      <c r="K231" s="76" t="s">
        <v>134</v>
      </c>
      <c r="L231" s="54">
        <v>8</v>
      </c>
      <c r="M231" s="54" t="s">
        <v>419</v>
      </c>
      <c r="N231" s="104" t="s">
        <v>99</v>
      </c>
      <c r="O231" s="106" t="s">
        <v>21</v>
      </c>
      <c r="P231" s="105" t="s">
        <v>178</v>
      </c>
      <c r="Q231" s="105" t="s">
        <v>112</v>
      </c>
      <c r="R231" s="105" t="s">
        <v>161</v>
      </c>
      <c r="S231" s="105" t="s">
        <v>190</v>
      </c>
      <c r="T231" s="105" t="s">
        <v>23</v>
      </c>
      <c r="U231" s="105" t="s">
        <v>485</v>
      </c>
      <c r="V231" s="105" t="s">
        <v>116</v>
      </c>
      <c r="W231" s="105" t="s">
        <v>117</v>
      </c>
    </row>
    <row r="232" s="37" customFormat="1" ht="15.75" spans="1:23">
      <c r="A232" s="102" t="s">
        <v>486</v>
      </c>
      <c r="B232" s="102" t="s">
        <v>487</v>
      </c>
      <c r="C232" s="102" t="s">
        <v>83</v>
      </c>
      <c r="D232" s="66" t="s">
        <v>102</v>
      </c>
      <c r="E232" s="66" t="s">
        <v>103</v>
      </c>
      <c r="F232" s="108" t="s">
        <v>488</v>
      </c>
      <c r="G232" s="108" t="s">
        <v>489</v>
      </c>
      <c r="H232" s="109" t="s">
        <v>254</v>
      </c>
      <c r="I232" s="109" t="s">
        <v>255</v>
      </c>
      <c r="J232" s="63" t="s">
        <v>108</v>
      </c>
      <c r="K232" s="109" t="s">
        <v>93</v>
      </c>
      <c r="L232" s="54">
        <v>84</v>
      </c>
      <c r="M232" s="54" t="s">
        <v>135</v>
      </c>
      <c r="N232" s="109" t="s">
        <v>110</v>
      </c>
      <c r="O232" s="102" t="s">
        <v>27</v>
      </c>
      <c r="P232" s="110" t="s">
        <v>257</v>
      </c>
      <c r="Q232" s="110" t="s">
        <v>112</v>
      </c>
      <c r="R232" s="110" t="s">
        <v>128</v>
      </c>
      <c r="S232" s="110" t="s">
        <v>258</v>
      </c>
      <c r="T232" s="110" t="s">
        <v>259</v>
      </c>
      <c r="U232" s="110" t="s">
        <v>490</v>
      </c>
      <c r="V232" s="110" t="s">
        <v>491</v>
      </c>
      <c r="W232" s="110" t="s">
        <v>492</v>
      </c>
    </row>
    <row r="233" s="37" customFormat="1" customHeight="1" spans="1:23">
      <c r="A233" s="110"/>
      <c r="B233" s="102"/>
      <c r="C233" s="102"/>
      <c r="D233" s="66"/>
      <c r="E233" s="66"/>
      <c r="F233" s="108"/>
      <c r="G233" s="108"/>
      <c r="H233" s="109" t="s">
        <v>91</v>
      </c>
      <c r="I233" s="109" t="s">
        <v>92</v>
      </c>
      <c r="J233" s="63" t="s">
        <v>87</v>
      </c>
      <c r="K233" s="109" t="s">
        <v>93</v>
      </c>
      <c r="L233" s="54">
        <v>84</v>
      </c>
      <c r="M233" s="54" t="s">
        <v>135</v>
      </c>
      <c r="N233" s="109" t="s">
        <v>90</v>
      </c>
      <c r="O233" s="102"/>
      <c r="P233" s="110"/>
      <c r="Q233" s="110"/>
      <c r="R233" s="110"/>
      <c r="S233" s="110"/>
      <c r="T233" s="110"/>
      <c r="U233" s="110"/>
      <c r="V233" s="110"/>
      <c r="W233" s="110"/>
    </row>
    <row r="234" s="37" customFormat="1" ht="15.75" spans="1:23">
      <c r="A234" s="105" t="s">
        <v>493</v>
      </c>
      <c r="B234" s="106" t="s">
        <v>494</v>
      </c>
      <c r="C234" s="106" t="s">
        <v>83</v>
      </c>
      <c r="D234" s="111" t="s">
        <v>215</v>
      </c>
      <c r="E234" s="112" t="s">
        <v>154</v>
      </c>
      <c r="F234" s="113" t="s">
        <v>104</v>
      </c>
      <c r="G234" s="113" t="s">
        <v>105</v>
      </c>
      <c r="H234" s="114" t="s">
        <v>106</v>
      </c>
      <c r="I234" s="114" t="s">
        <v>107</v>
      </c>
      <c r="J234" s="63" t="s">
        <v>108</v>
      </c>
      <c r="K234" s="114" t="s">
        <v>93</v>
      </c>
      <c r="L234" s="54">
        <v>100</v>
      </c>
      <c r="M234" s="54" t="s">
        <v>495</v>
      </c>
      <c r="N234" s="109" t="s">
        <v>110</v>
      </c>
      <c r="O234" s="106" t="s">
        <v>42</v>
      </c>
      <c r="P234" s="113" t="s">
        <v>111</v>
      </c>
      <c r="Q234" s="105" t="s">
        <v>112</v>
      </c>
      <c r="R234" s="105" t="s">
        <v>113</v>
      </c>
      <c r="S234" s="105" t="s">
        <v>114</v>
      </c>
      <c r="T234" s="105" t="s">
        <v>44</v>
      </c>
      <c r="U234" s="105" t="s">
        <v>496</v>
      </c>
      <c r="V234" s="105" t="s">
        <v>116</v>
      </c>
      <c r="W234" s="105" t="s">
        <v>117</v>
      </c>
    </row>
    <row r="235" s="37" customFormat="1" ht="31.5" spans="1:23">
      <c r="A235" s="105"/>
      <c r="B235" s="106"/>
      <c r="C235" s="106"/>
      <c r="D235" s="111" t="s">
        <v>215</v>
      </c>
      <c r="E235" s="112" t="s">
        <v>154</v>
      </c>
      <c r="F235" s="113"/>
      <c r="G235" s="113"/>
      <c r="H235" s="109" t="s">
        <v>106</v>
      </c>
      <c r="I235" s="109" t="s">
        <v>118</v>
      </c>
      <c r="J235" s="63" t="s">
        <v>108</v>
      </c>
      <c r="K235" s="114" t="s">
        <v>134</v>
      </c>
      <c r="L235" s="54">
        <v>34</v>
      </c>
      <c r="M235" s="54" t="s">
        <v>98</v>
      </c>
      <c r="N235" s="109" t="s">
        <v>99</v>
      </c>
      <c r="O235" s="106"/>
      <c r="P235" s="113"/>
      <c r="Q235" s="105"/>
      <c r="R235" s="105"/>
      <c r="S235" s="105"/>
      <c r="T235" s="105"/>
      <c r="U235" s="105"/>
      <c r="V235" s="105"/>
      <c r="W235" s="105"/>
    </row>
    <row r="236" s="37" customFormat="1" ht="15.75" spans="1:23">
      <c r="A236" s="105"/>
      <c r="B236" s="106"/>
      <c r="C236" s="106"/>
      <c r="D236" s="111" t="s">
        <v>215</v>
      </c>
      <c r="E236" s="112" t="s">
        <v>154</v>
      </c>
      <c r="F236" s="113"/>
      <c r="G236" s="113"/>
      <c r="H236" s="114" t="s">
        <v>119</v>
      </c>
      <c r="I236" s="114" t="s">
        <v>120</v>
      </c>
      <c r="J236" s="63" t="s">
        <v>108</v>
      </c>
      <c r="K236" s="114" t="s">
        <v>134</v>
      </c>
      <c r="L236" s="54">
        <v>34</v>
      </c>
      <c r="M236" s="54" t="s">
        <v>497</v>
      </c>
      <c r="N236" s="109" t="s">
        <v>110</v>
      </c>
      <c r="O236" s="106"/>
      <c r="P236" s="113"/>
      <c r="Q236" s="105"/>
      <c r="R236" s="105"/>
      <c r="S236" s="105"/>
      <c r="T236" s="105"/>
      <c r="U236" s="105"/>
      <c r="V236" s="105"/>
      <c r="W236" s="105"/>
    </row>
    <row r="237" s="37" customFormat="1" ht="15.75" spans="1:23">
      <c r="A237" s="102" t="s">
        <v>498</v>
      </c>
      <c r="B237" s="102" t="s">
        <v>499</v>
      </c>
      <c r="C237" s="102" t="s">
        <v>173</v>
      </c>
      <c r="D237" s="66" t="s">
        <v>102</v>
      </c>
      <c r="E237" s="66" t="s">
        <v>103</v>
      </c>
      <c r="F237" s="108" t="s">
        <v>500</v>
      </c>
      <c r="G237" s="108" t="s">
        <v>501</v>
      </c>
      <c r="H237" s="114" t="s">
        <v>254</v>
      </c>
      <c r="I237" s="114" t="s">
        <v>255</v>
      </c>
      <c r="J237" s="63" t="s">
        <v>108</v>
      </c>
      <c r="K237" s="114" t="s">
        <v>93</v>
      </c>
      <c r="L237" s="54">
        <v>84</v>
      </c>
      <c r="M237" s="54" t="s">
        <v>502</v>
      </c>
      <c r="N237" s="114" t="s">
        <v>110</v>
      </c>
      <c r="O237" s="102" t="s">
        <v>27</v>
      </c>
      <c r="P237" s="110" t="s">
        <v>257</v>
      </c>
      <c r="Q237" s="110" t="s">
        <v>112</v>
      </c>
      <c r="R237" s="110" t="s">
        <v>128</v>
      </c>
      <c r="S237" s="110" t="s">
        <v>258</v>
      </c>
      <c r="T237" s="110" t="s">
        <v>259</v>
      </c>
      <c r="U237" s="110" t="s">
        <v>503</v>
      </c>
      <c r="V237" s="110" t="s">
        <v>116</v>
      </c>
      <c r="W237" s="110" t="s">
        <v>117</v>
      </c>
    </row>
    <row r="238" s="37" customFormat="1" customHeight="1" spans="1:23">
      <c r="A238" s="110"/>
      <c r="B238" s="102"/>
      <c r="C238" s="102"/>
      <c r="D238" s="66"/>
      <c r="E238" s="66"/>
      <c r="F238" s="108"/>
      <c r="G238" s="108"/>
      <c r="H238" s="109" t="s">
        <v>91</v>
      </c>
      <c r="I238" s="109" t="s">
        <v>92</v>
      </c>
      <c r="J238" s="63" t="s">
        <v>87</v>
      </c>
      <c r="K238" s="109" t="s">
        <v>93</v>
      </c>
      <c r="L238" s="54">
        <v>84</v>
      </c>
      <c r="M238" s="54" t="s">
        <v>502</v>
      </c>
      <c r="N238" s="109" t="s">
        <v>90</v>
      </c>
      <c r="O238" s="102"/>
      <c r="P238" s="110"/>
      <c r="Q238" s="110"/>
      <c r="R238" s="110"/>
      <c r="S238" s="110"/>
      <c r="T238" s="110"/>
      <c r="U238" s="110"/>
      <c r="V238" s="110"/>
      <c r="W238" s="110"/>
    </row>
    <row r="239" s="37" customFormat="1" ht="31.5" spans="1:23">
      <c r="A239" s="105" t="s">
        <v>504</v>
      </c>
      <c r="B239" s="106" t="s">
        <v>505</v>
      </c>
      <c r="C239" s="106" t="s">
        <v>173</v>
      </c>
      <c r="D239" s="115" t="s">
        <v>102</v>
      </c>
      <c r="E239" s="115" t="s">
        <v>154</v>
      </c>
      <c r="F239" s="107" t="s">
        <v>506</v>
      </c>
      <c r="G239" s="107" t="s">
        <v>507</v>
      </c>
      <c r="H239" s="114" t="s">
        <v>106</v>
      </c>
      <c r="I239" s="114" t="s">
        <v>383</v>
      </c>
      <c r="J239" s="63" t="s">
        <v>97</v>
      </c>
      <c r="K239" s="114" t="s">
        <v>88</v>
      </c>
      <c r="L239" s="54">
        <v>60</v>
      </c>
      <c r="M239" s="54" t="s">
        <v>98</v>
      </c>
      <c r="N239" s="114" t="s">
        <v>99</v>
      </c>
      <c r="O239" s="106" t="s">
        <v>36</v>
      </c>
      <c r="P239" s="105" t="s">
        <v>178</v>
      </c>
      <c r="Q239" s="105" t="s">
        <v>112</v>
      </c>
      <c r="R239" s="105" t="s">
        <v>334</v>
      </c>
      <c r="S239" s="105" t="s">
        <v>335</v>
      </c>
      <c r="T239" s="105" t="s">
        <v>38</v>
      </c>
      <c r="U239" s="105" t="s">
        <v>508</v>
      </c>
      <c r="V239" s="105" t="s">
        <v>116</v>
      </c>
      <c r="W239" s="105" t="s">
        <v>117</v>
      </c>
    </row>
    <row r="240" s="37" customFormat="1" ht="31.5" spans="1:23">
      <c r="A240" s="105"/>
      <c r="B240" s="106"/>
      <c r="C240" s="106"/>
      <c r="D240" s="115"/>
      <c r="E240" s="115"/>
      <c r="F240" s="107"/>
      <c r="G240" s="107"/>
      <c r="H240" s="114" t="s">
        <v>157</v>
      </c>
      <c r="I240" s="114" t="s">
        <v>383</v>
      </c>
      <c r="J240" s="63" t="s">
        <v>97</v>
      </c>
      <c r="K240" s="114" t="s">
        <v>134</v>
      </c>
      <c r="L240" s="54">
        <v>80</v>
      </c>
      <c r="M240" s="54" t="s">
        <v>333</v>
      </c>
      <c r="N240" s="114" t="s">
        <v>110</v>
      </c>
      <c r="O240" s="106" t="s">
        <v>36</v>
      </c>
      <c r="P240" s="105" t="s">
        <v>178</v>
      </c>
      <c r="Q240" s="105" t="s">
        <v>112</v>
      </c>
      <c r="R240" s="105" t="s">
        <v>334</v>
      </c>
      <c r="S240" s="105" t="s">
        <v>335</v>
      </c>
      <c r="T240" s="105" t="s">
        <v>38</v>
      </c>
      <c r="U240" s="105" t="s">
        <v>508</v>
      </c>
      <c r="V240" s="105" t="s">
        <v>116</v>
      </c>
      <c r="W240" s="105" t="s">
        <v>117</v>
      </c>
    </row>
    <row r="241" s="37" customFormat="1" ht="15.75" spans="1:23">
      <c r="A241" s="105"/>
      <c r="B241" s="106"/>
      <c r="C241" s="106"/>
      <c r="D241" s="115"/>
      <c r="E241" s="115"/>
      <c r="F241" s="107"/>
      <c r="G241" s="107"/>
      <c r="H241" s="114" t="s">
        <v>85</v>
      </c>
      <c r="I241" s="114" t="s">
        <v>209</v>
      </c>
      <c r="J241" s="63" t="s">
        <v>108</v>
      </c>
      <c r="K241" s="114" t="s">
        <v>88</v>
      </c>
      <c r="L241" s="54">
        <v>14</v>
      </c>
      <c r="M241" s="54" t="s">
        <v>333</v>
      </c>
      <c r="N241" s="114" t="s">
        <v>90</v>
      </c>
      <c r="O241" s="106" t="s">
        <v>36</v>
      </c>
      <c r="P241" s="105" t="s">
        <v>178</v>
      </c>
      <c r="Q241" s="105" t="s">
        <v>112</v>
      </c>
      <c r="R241" s="105" t="s">
        <v>334</v>
      </c>
      <c r="S241" s="105" t="s">
        <v>335</v>
      </c>
      <c r="T241" s="105"/>
      <c r="U241" s="105"/>
      <c r="V241" s="105"/>
      <c r="W241" s="105"/>
    </row>
    <row r="242" s="37" customFormat="1" customHeight="1" spans="1:23">
      <c r="A242" s="105"/>
      <c r="B242" s="106"/>
      <c r="C242" s="106"/>
      <c r="D242" s="115"/>
      <c r="E242" s="115"/>
      <c r="F242" s="107"/>
      <c r="G242" s="107"/>
      <c r="H242" s="114" t="s">
        <v>106</v>
      </c>
      <c r="I242" s="114" t="s">
        <v>196</v>
      </c>
      <c r="J242" s="63" t="s">
        <v>87</v>
      </c>
      <c r="K242" s="114" t="s">
        <v>134</v>
      </c>
      <c r="L242" s="54">
        <v>14</v>
      </c>
      <c r="M242" s="54" t="s">
        <v>336</v>
      </c>
      <c r="N242" s="114" t="s">
        <v>110</v>
      </c>
      <c r="O242" s="106" t="s">
        <v>36</v>
      </c>
      <c r="P242" s="105" t="s">
        <v>178</v>
      </c>
      <c r="Q242" s="105" t="s">
        <v>112</v>
      </c>
      <c r="R242" s="105" t="s">
        <v>334</v>
      </c>
      <c r="S242" s="105" t="s">
        <v>335</v>
      </c>
      <c r="T242" s="105"/>
      <c r="U242" s="105"/>
      <c r="V242" s="105"/>
      <c r="W242" s="105"/>
    </row>
    <row r="243" s="37" customFormat="1" ht="15.75" spans="1:23">
      <c r="A243" s="110" t="s">
        <v>509</v>
      </c>
      <c r="B243" s="102" t="s">
        <v>510</v>
      </c>
      <c r="C243" s="102" t="s">
        <v>173</v>
      </c>
      <c r="D243" s="115" t="s">
        <v>102</v>
      </c>
      <c r="E243" s="115" t="s">
        <v>103</v>
      </c>
      <c r="F243" s="108" t="s">
        <v>511</v>
      </c>
      <c r="G243" s="108" t="s">
        <v>359</v>
      </c>
      <c r="H243" s="114" t="s">
        <v>157</v>
      </c>
      <c r="I243" s="114" t="s">
        <v>158</v>
      </c>
      <c r="J243" s="63" t="s">
        <v>108</v>
      </c>
      <c r="K243" s="114" t="s">
        <v>134</v>
      </c>
      <c r="L243" s="54">
        <v>48</v>
      </c>
      <c r="M243" s="54" t="s">
        <v>109</v>
      </c>
      <c r="N243" s="114" t="s">
        <v>99</v>
      </c>
      <c r="O243" s="102" t="s">
        <v>45</v>
      </c>
      <c r="P243" s="110" t="s">
        <v>512</v>
      </c>
      <c r="Q243" s="110" t="s">
        <v>112</v>
      </c>
      <c r="R243" s="110" t="s">
        <v>144</v>
      </c>
      <c r="S243" s="110" t="s">
        <v>341</v>
      </c>
      <c r="T243" s="110" t="s">
        <v>342</v>
      </c>
      <c r="U243" s="110" t="s">
        <v>513</v>
      </c>
      <c r="V243" s="110" t="s">
        <v>148</v>
      </c>
      <c r="W243" s="110" t="s">
        <v>149</v>
      </c>
    </row>
    <row r="244" s="37" customFormat="1" ht="15.75" spans="1:23">
      <c r="A244" s="110"/>
      <c r="B244" s="102"/>
      <c r="C244" s="102"/>
      <c r="D244" s="115"/>
      <c r="E244" s="115"/>
      <c r="F244" s="108"/>
      <c r="G244" s="108"/>
      <c r="H244" s="114" t="s">
        <v>254</v>
      </c>
      <c r="I244" s="114" t="s">
        <v>360</v>
      </c>
      <c r="J244" s="63" t="s">
        <v>108</v>
      </c>
      <c r="K244" s="109" t="s">
        <v>93</v>
      </c>
      <c r="L244" s="54">
        <v>30</v>
      </c>
      <c r="M244" s="54" t="s">
        <v>279</v>
      </c>
      <c r="N244" s="109" t="s">
        <v>110</v>
      </c>
      <c r="O244" s="102"/>
      <c r="P244" s="110"/>
      <c r="Q244" s="110"/>
      <c r="R244" s="110"/>
      <c r="S244" s="110"/>
      <c r="T244" s="110"/>
      <c r="U244" s="110"/>
      <c r="V244" s="110"/>
      <c r="W244" s="110"/>
    </row>
    <row r="245" s="37" customFormat="1" ht="15.75" spans="1:23">
      <c r="A245" s="110"/>
      <c r="B245" s="102"/>
      <c r="C245" s="102"/>
      <c r="D245" s="115"/>
      <c r="E245" s="115"/>
      <c r="F245" s="108"/>
      <c r="G245" s="108"/>
      <c r="H245" s="109" t="s">
        <v>85</v>
      </c>
      <c r="I245" s="109" t="s">
        <v>183</v>
      </c>
      <c r="J245" s="63" t="s">
        <v>108</v>
      </c>
      <c r="K245" s="109" t="s">
        <v>93</v>
      </c>
      <c r="L245" s="54">
        <v>40</v>
      </c>
      <c r="M245" s="54" t="s">
        <v>89</v>
      </c>
      <c r="N245" s="109" t="s">
        <v>99</v>
      </c>
      <c r="O245" s="102"/>
      <c r="P245" s="110"/>
      <c r="Q245" s="110"/>
      <c r="R245" s="110"/>
      <c r="S245" s="110"/>
      <c r="T245" s="110"/>
      <c r="U245" s="110"/>
      <c r="V245" s="110"/>
      <c r="W245" s="110"/>
    </row>
    <row r="246" s="37" customFormat="1" ht="15.75" spans="1:23">
      <c r="A246" s="110"/>
      <c r="B246" s="102"/>
      <c r="C246" s="102"/>
      <c r="D246" s="115"/>
      <c r="E246" s="115"/>
      <c r="F246" s="108"/>
      <c r="G246" s="108"/>
      <c r="H246" s="109" t="s">
        <v>132</v>
      </c>
      <c r="I246" s="109" t="s">
        <v>133</v>
      </c>
      <c r="J246" s="63" t="s">
        <v>108</v>
      </c>
      <c r="K246" s="109" t="s">
        <v>88</v>
      </c>
      <c r="L246" s="54">
        <v>50</v>
      </c>
      <c r="M246" s="54" t="s">
        <v>109</v>
      </c>
      <c r="N246" s="109" t="s">
        <v>110</v>
      </c>
      <c r="O246" s="102"/>
      <c r="P246" s="110"/>
      <c r="Q246" s="110"/>
      <c r="R246" s="110"/>
      <c r="S246" s="110"/>
      <c r="T246" s="110"/>
      <c r="U246" s="110"/>
      <c r="V246" s="110"/>
      <c r="W246" s="110"/>
    </row>
    <row r="247" s="37" customFormat="1" ht="15.75" spans="1:23">
      <c r="A247" s="102" t="s">
        <v>514</v>
      </c>
      <c r="B247" s="102" t="s">
        <v>515</v>
      </c>
      <c r="C247" s="102" t="s">
        <v>83</v>
      </c>
      <c r="D247" s="66" t="s">
        <v>102</v>
      </c>
      <c r="E247" s="66" t="s">
        <v>103</v>
      </c>
      <c r="F247" s="108" t="s">
        <v>516</v>
      </c>
      <c r="G247" s="108" t="s">
        <v>517</v>
      </c>
      <c r="H247" s="109" t="s">
        <v>254</v>
      </c>
      <c r="I247" s="109" t="s">
        <v>255</v>
      </c>
      <c r="J247" s="63" t="s">
        <v>108</v>
      </c>
      <c r="K247" s="109" t="s">
        <v>93</v>
      </c>
      <c r="L247" s="54">
        <v>84</v>
      </c>
      <c r="M247" s="54" t="s">
        <v>126</v>
      </c>
      <c r="N247" s="109" t="s">
        <v>110</v>
      </c>
      <c r="O247" s="102" t="s">
        <v>27</v>
      </c>
      <c r="P247" s="110" t="s">
        <v>257</v>
      </c>
      <c r="Q247" s="110" t="s">
        <v>112</v>
      </c>
      <c r="R247" s="110" t="s">
        <v>128</v>
      </c>
      <c r="S247" s="110" t="s">
        <v>258</v>
      </c>
      <c r="T247" s="110" t="s">
        <v>259</v>
      </c>
      <c r="U247" s="110" t="s">
        <v>518</v>
      </c>
      <c r="V247" s="110" t="s">
        <v>519</v>
      </c>
      <c r="W247" s="110" t="s">
        <v>520</v>
      </c>
    </row>
    <row r="248" s="37" customFormat="1" customHeight="1" spans="1:23">
      <c r="A248" s="110"/>
      <c r="B248" s="102"/>
      <c r="C248" s="102"/>
      <c r="D248" s="66"/>
      <c r="E248" s="66"/>
      <c r="F248" s="108"/>
      <c r="G248" s="108"/>
      <c r="H248" s="109" t="s">
        <v>91</v>
      </c>
      <c r="I248" s="109" t="s">
        <v>92</v>
      </c>
      <c r="J248" s="63" t="s">
        <v>87</v>
      </c>
      <c r="K248" s="109" t="s">
        <v>93</v>
      </c>
      <c r="L248" s="54">
        <v>84</v>
      </c>
      <c r="M248" s="54" t="s">
        <v>126</v>
      </c>
      <c r="N248" s="109" t="s">
        <v>90</v>
      </c>
      <c r="O248" s="102"/>
      <c r="P248" s="110"/>
      <c r="Q248" s="110"/>
      <c r="R248" s="110"/>
      <c r="S248" s="110"/>
      <c r="T248" s="110"/>
      <c r="U248" s="110"/>
      <c r="V248" s="110"/>
      <c r="W248" s="110"/>
    </row>
    <row r="249" s="37" customFormat="1" customHeight="1" spans="1:23">
      <c r="A249" s="102" t="s">
        <v>521</v>
      </c>
      <c r="B249" s="102" t="s">
        <v>522</v>
      </c>
      <c r="C249" s="102" t="s">
        <v>173</v>
      </c>
      <c r="D249" s="115"/>
      <c r="E249" s="115"/>
      <c r="F249" s="108" t="s">
        <v>523</v>
      </c>
      <c r="G249" s="108" t="s">
        <v>524</v>
      </c>
      <c r="H249" s="63" t="s">
        <v>85</v>
      </c>
      <c r="I249" s="63" t="s">
        <v>86</v>
      </c>
      <c r="J249" s="63" t="s">
        <v>87</v>
      </c>
      <c r="K249" s="63" t="s">
        <v>93</v>
      </c>
      <c r="L249" s="54">
        <v>2</v>
      </c>
      <c r="M249" s="54" t="s">
        <v>274</v>
      </c>
      <c r="N249" s="63" t="s">
        <v>110</v>
      </c>
      <c r="O249" s="102" t="s">
        <v>24</v>
      </c>
      <c r="P249" s="108" t="s">
        <v>275</v>
      </c>
      <c r="Q249" s="110" t="s">
        <v>112</v>
      </c>
      <c r="R249" s="110" t="s">
        <v>276</v>
      </c>
      <c r="S249" s="110" t="s">
        <v>277</v>
      </c>
      <c r="T249" s="110" t="s">
        <v>26</v>
      </c>
      <c r="U249" s="110" t="s">
        <v>525</v>
      </c>
      <c r="V249" s="110" t="s">
        <v>116</v>
      </c>
      <c r="W249" s="110" t="s">
        <v>117</v>
      </c>
    </row>
    <row r="250" s="37" customFormat="1" customHeight="1" spans="1:23">
      <c r="A250" s="102"/>
      <c r="B250" s="102"/>
      <c r="C250" s="102"/>
      <c r="D250" s="115"/>
      <c r="E250" s="115"/>
      <c r="F250" s="108"/>
      <c r="G250" s="108"/>
      <c r="H250" s="63" t="s">
        <v>85</v>
      </c>
      <c r="I250" s="63" t="s">
        <v>267</v>
      </c>
      <c r="J250" s="63" t="s">
        <v>87</v>
      </c>
      <c r="K250" s="63" t="s">
        <v>93</v>
      </c>
      <c r="L250" s="54">
        <v>1</v>
      </c>
      <c r="M250" s="54" t="s">
        <v>274</v>
      </c>
      <c r="N250" s="63" t="s">
        <v>110</v>
      </c>
      <c r="O250" s="102"/>
      <c r="P250" s="108"/>
      <c r="Q250" s="110"/>
      <c r="R250" s="110"/>
      <c r="S250" s="110"/>
      <c r="T250" s="110"/>
      <c r="U250" s="110"/>
      <c r="V250" s="110"/>
      <c r="W250" s="110"/>
    </row>
    <row r="251" s="37" customFormat="1" ht="15.75" spans="1:23">
      <c r="A251" s="102"/>
      <c r="B251" s="102"/>
      <c r="C251" s="102"/>
      <c r="D251" s="115"/>
      <c r="E251" s="115"/>
      <c r="F251" s="108"/>
      <c r="G251" s="108"/>
      <c r="H251" s="63" t="s">
        <v>85</v>
      </c>
      <c r="I251" s="63" t="s">
        <v>209</v>
      </c>
      <c r="J251" s="63" t="s">
        <v>108</v>
      </c>
      <c r="K251" s="63" t="s">
        <v>134</v>
      </c>
      <c r="L251" s="54">
        <v>4</v>
      </c>
      <c r="M251" s="54" t="s">
        <v>279</v>
      </c>
      <c r="N251" s="63" t="s">
        <v>110</v>
      </c>
      <c r="O251" s="102"/>
      <c r="P251" s="108"/>
      <c r="Q251" s="110"/>
      <c r="R251" s="110"/>
      <c r="S251" s="110"/>
      <c r="T251" s="110"/>
      <c r="U251" s="110"/>
      <c r="V251" s="110"/>
      <c r="W251" s="110"/>
    </row>
    <row r="252" s="37" customFormat="1" ht="15.75" spans="1:23">
      <c r="A252" s="102"/>
      <c r="B252" s="102"/>
      <c r="C252" s="102"/>
      <c r="D252" s="115"/>
      <c r="E252" s="115"/>
      <c r="F252" s="108"/>
      <c r="G252" s="108"/>
      <c r="H252" s="71" t="s">
        <v>91</v>
      </c>
      <c r="I252" s="71" t="s">
        <v>209</v>
      </c>
      <c r="J252" s="63" t="s">
        <v>108</v>
      </c>
      <c r="K252" s="71" t="s">
        <v>88</v>
      </c>
      <c r="L252" s="54">
        <v>7</v>
      </c>
      <c r="M252" s="54" t="s">
        <v>279</v>
      </c>
      <c r="N252" s="63" t="s">
        <v>110</v>
      </c>
      <c r="O252" s="102"/>
      <c r="P252" s="108"/>
      <c r="Q252" s="110"/>
      <c r="R252" s="110"/>
      <c r="S252" s="110"/>
      <c r="T252" s="110"/>
      <c r="U252" s="110"/>
      <c r="V252" s="110"/>
      <c r="W252" s="110"/>
    </row>
    <row r="253" s="37" customFormat="1" ht="15.75" spans="1:23">
      <c r="A253" s="102"/>
      <c r="B253" s="102"/>
      <c r="C253" s="102"/>
      <c r="D253" s="115"/>
      <c r="E253" s="115"/>
      <c r="F253" s="108"/>
      <c r="G253" s="108"/>
      <c r="H253" s="71" t="s">
        <v>91</v>
      </c>
      <c r="I253" s="71" t="s">
        <v>183</v>
      </c>
      <c r="J253" s="63" t="s">
        <v>108</v>
      </c>
      <c r="K253" s="71" t="s">
        <v>134</v>
      </c>
      <c r="L253" s="54">
        <v>10</v>
      </c>
      <c r="M253" s="54" t="s">
        <v>280</v>
      </c>
      <c r="N253" s="63" t="s">
        <v>110</v>
      </c>
      <c r="O253" s="102"/>
      <c r="P253" s="108"/>
      <c r="Q253" s="110"/>
      <c r="R253" s="110"/>
      <c r="S253" s="110"/>
      <c r="T253" s="110"/>
      <c r="U253" s="110"/>
      <c r="V253" s="110"/>
      <c r="W253" s="110"/>
    </row>
    <row r="254" s="37" customFormat="1" ht="15.75" spans="1:23">
      <c r="A254" s="102"/>
      <c r="B254" s="102"/>
      <c r="C254" s="102"/>
      <c r="D254" s="115"/>
      <c r="E254" s="115"/>
      <c r="F254" s="108"/>
      <c r="G254" s="108"/>
      <c r="H254" s="71" t="s">
        <v>132</v>
      </c>
      <c r="I254" s="71" t="s">
        <v>133</v>
      </c>
      <c r="J254" s="63" t="s">
        <v>108</v>
      </c>
      <c r="K254" s="71" t="s">
        <v>134</v>
      </c>
      <c r="L254" s="54">
        <v>3</v>
      </c>
      <c r="M254" s="54" t="s">
        <v>280</v>
      </c>
      <c r="N254" s="63" t="s">
        <v>110</v>
      </c>
      <c r="O254" s="102"/>
      <c r="P254" s="108"/>
      <c r="Q254" s="110"/>
      <c r="R254" s="110"/>
      <c r="S254" s="110"/>
      <c r="T254" s="110"/>
      <c r="U254" s="110"/>
      <c r="V254" s="110"/>
      <c r="W254" s="110"/>
    </row>
    <row r="255" s="37" customFormat="1" customHeight="1" spans="1:23">
      <c r="A255" s="102"/>
      <c r="B255" s="102"/>
      <c r="C255" s="102"/>
      <c r="D255" s="115"/>
      <c r="E255" s="115"/>
      <c r="F255" s="108"/>
      <c r="G255" s="108"/>
      <c r="H255" s="71" t="s">
        <v>106</v>
      </c>
      <c r="I255" s="71" t="s">
        <v>281</v>
      </c>
      <c r="J255" s="63" t="s">
        <v>87</v>
      </c>
      <c r="K255" s="71" t="s">
        <v>93</v>
      </c>
      <c r="L255" s="54">
        <v>2</v>
      </c>
      <c r="M255" s="54" t="s">
        <v>282</v>
      </c>
      <c r="N255" s="71" t="s">
        <v>110</v>
      </c>
      <c r="O255" s="102"/>
      <c r="P255" s="108"/>
      <c r="Q255" s="110"/>
      <c r="R255" s="110"/>
      <c r="S255" s="110"/>
      <c r="T255" s="110"/>
      <c r="U255" s="110"/>
      <c r="V255" s="110"/>
      <c r="W255" s="110"/>
    </row>
    <row r="256" s="37" customFormat="1" ht="15.75" spans="1:23">
      <c r="A256" s="102"/>
      <c r="B256" s="102"/>
      <c r="C256" s="102"/>
      <c r="D256" s="115"/>
      <c r="E256" s="115"/>
      <c r="F256" s="108"/>
      <c r="G256" s="108"/>
      <c r="H256" s="71" t="s">
        <v>106</v>
      </c>
      <c r="I256" s="75" t="s">
        <v>107</v>
      </c>
      <c r="J256" s="63" t="s">
        <v>108</v>
      </c>
      <c r="K256" s="75" t="s">
        <v>93</v>
      </c>
      <c r="L256" s="54">
        <v>7</v>
      </c>
      <c r="M256" s="54" t="s">
        <v>282</v>
      </c>
      <c r="N256" s="75" t="s">
        <v>110</v>
      </c>
      <c r="O256" s="102"/>
      <c r="P256" s="108"/>
      <c r="Q256" s="110"/>
      <c r="R256" s="110"/>
      <c r="S256" s="110"/>
      <c r="T256" s="110"/>
      <c r="U256" s="110"/>
      <c r="V256" s="110"/>
      <c r="W256" s="110"/>
    </row>
    <row r="257" s="37" customFormat="1" ht="15.75" spans="1:23">
      <c r="A257" s="102"/>
      <c r="B257" s="102"/>
      <c r="C257" s="102"/>
      <c r="D257" s="115"/>
      <c r="E257" s="115"/>
      <c r="F257" s="108"/>
      <c r="G257" s="108"/>
      <c r="H257" s="71" t="s">
        <v>106</v>
      </c>
      <c r="I257" s="75" t="s">
        <v>170</v>
      </c>
      <c r="J257" s="63" t="s">
        <v>108</v>
      </c>
      <c r="K257" s="75" t="s">
        <v>134</v>
      </c>
      <c r="L257" s="54">
        <v>7</v>
      </c>
      <c r="M257" s="54" t="s">
        <v>282</v>
      </c>
      <c r="N257" s="75" t="s">
        <v>110</v>
      </c>
      <c r="O257" s="102"/>
      <c r="P257" s="108"/>
      <c r="Q257" s="110"/>
      <c r="R257" s="110"/>
      <c r="S257" s="110"/>
      <c r="T257" s="110"/>
      <c r="U257" s="110"/>
      <c r="V257" s="110"/>
      <c r="W257" s="110"/>
    </row>
    <row r="258" s="37" customFormat="1" ht="15.75" spans="1:23">
      <c r="A258" s="102"/>
      <c r="B258" s="102"/>
      <c r="C258" s="102"/>
      <c r="D258" s="115"/>
      <c r="E258" s="115"/>
      <c r="F258" s="108"/>
      <c r="G258" s="108"/>
      <c r="H258" s="71" t="s">
        <v>106</v>
      </c>
      <c r="I258" s="75" t="s">
        <v>166</v>
      </c>
      <c r="J258" s="63" t="s">
        <v>108</v>
      </c>
      <c r="K258" s="75" t="s">
        <v>88</v>
      </c>
      <c r="L258" s="54">
        <v>10</v>
      </c>
      <c r="M258" s="54" t="s">
        <v>282</v>
      </c>
      <c r="N258" s="75" t="s">
        <v>110</v>
      </c>
      <c r="O258" s="102"/>
      <c r="P258" s="108"/>
      <c r="Q258" s="110"/>
      <c r="R258" s="110"/>
      <c r="S258" s="110"/>
      <c r="T258" s="110"/>
      <c r="U258" s="110"/>
      <c r="V258" s="110"/>
      <c r="W258" s="110"/>
    </row>
    <row r="259" s="37" customFormat="1" ht="15.75" spans="1:23">
      <c r="A259" s="102"/>
      <c r="B259" s="102"/>
      <c r="C259" s="102"/>
      <c r="D259" s="115"/>
      <c r="E259" s="115"/>
      <c r="F259" s="108"/>
      <c r="G259" s="108"/>
      <c r="H259" s="71" t="s">
        <v>106</v>
      </c>
      <c r="I259" s="75" t="s">
        <v>283</v>
      </c>
      <c r="J259" s="63" t="s">
        <v>108</v>
      </c>
      <c r="K259" s="75" t="s">
        <v>134</v>
      </c>
      <c r="L259" s="54">
        <v>10</v>
      </c>
      <c r="M259" s="54" t="s">
        <v>282</v>
      </c>
      <c r="N259" s="75" t="s">
        <v>110</v>
      </c>
      <c r="O259" s="102"/>
      <c r="P259" s="108"/>
      <c r="Q259" s="110"/>
      <c r="R259" s="110"/>
      <c r="S259" s="110"/>
      <c r="T259" s="110"/>
      <c r="U259" s="110"/>
      <c r="V259" s="110"/>
      <c r="W259" s="110"/>
    </row>
    <row r="260" s="37" customFormat="1" customHeight="1" spans="1:23">
      <c r="A260" s="102"/>
      <c r="B260" s="102"/>
      <c r="C260" s="102"/>
      <c r="D260" s="115"/>
      <c r="E260" s="115"/>
      <c r="F260" s="108"/>
      <c r="G260" s="108"/>
      <c r="H260" s="71" t="s">
        <v>106</v>
      </c>
      <c r="I260" s="75" t="s">
        <v>249</v>
      </c>
      <c r="J260" s="63" t="s">
        <v>87</v>
      </c>
      <c r="K260" s="75" t="s">
        <v>93</v>
      </c>
      <c r="L260" s="54">
        <v>7</v>
      </c>
      <c r="M260" s="54" t="s">
        <v>282</v>
      </c>
      <c r="N260" s="75" t="s">
        <v>110</v>
      </c>
      <c r="O260" s="102"/>
      <c r="P260" s="108"/>
      <c r="Q260" s="110"/>
      <c r="R260" s="110"/>
      <c r="S260" s="110"/>
      <c r="T260" s="110"/>
      <c r="U260" s="110"/>
      <c r="V260" s="110"/>
      <c r="W260" s="110"/>
    </row>
    <row r="261" s="37" customFormat="1" ht="15.75" spans="1:23">
      <c r="A261" s="102"/>
      <c r="B261" s="102"/>
      <c r="C261" s="102"/>
      <c r="D261" s="115"/>
      <c r="E261" s="115"/>
      <c r="F261" s="108"/>
      <c r="G261" s="108"/>
      <c r="H261" s="71" t="s">
        <v>106</v>
      </c>
      <c r="I261" s="75" t="s">
        <v>284</v>
      </c>
      <c r="J261" s="63" t="s">
        <v>108</v>
      </c>
      <c r="K261" s="75" t="s">
        <v>88</v>
      </c>
      <c r="L261" s="54">
        <v>10</v>
      </c>
      <c r="M261" s="54" t="s">
        <v>282</v>
      </c>
      <c r="N261" s="75" t="s">
        <v>110</v>
      </c>
      <c r="O261" s="102"/>
      <c r="P261" s="108"/>
      <c r="Q261" s="110"/>
      <c r="R261" s="110"/>
      <c r="S261" s="110"/>
      <c r="T261" s="110"/>
      <c r="U261" s="110"/>
      <c r="V261" s="110"/>
      <c r="W261" s="110"/>
    </row>
    <row r="262" s="37" customFormat="1" ht="15.75" spans="1:23">
      <c r="A262" s="102"/>
      <c r="B262" s="102"/>
      <c r="C262" s="102"/>
      <c r="D262" s="115"/>
      <c r="E262" s="115"/>
      <c r="F262" s="108"/>
      <c r="G262" s="108"/>
      <c r="H262" s="71" t="s">
        <v>119</v>
      </c>
      <c r="I262" s="75" t="s">
        <v>120</v>
      </c>
      <c r="J262" s="63" t="s">
        <v>108</v>
      </c>
      <c r="K262" s="75" t="s">
        <v>93</v>
      </c>
      <c r="L262" s="54">
        <v>21</v>
      </c>
      <c r="M262" s="54" t="s">
        <v>282</v>
      </c>
      <c r="N262" s="75" t="s">
        <v>99</v>
      </c>
      <c r="O262" s="102"/>
      <c r="P262" s="108"/>
      <c r="Q262" s="110"/>
      <c r="R262" s="110"/>
      <c r="S262" s="110"/>
      <c r="T262" s="110"/>
      <c r="U262" s="110"/>
      <c r="V262" s="110"/>
      <c r="W262" s="110"/>
    </row>
    <row r="263" s="37" customFormat="1" ht="15.75" spans="1:23">
      <c r="A263" s="102"/>
      <c r="B263" s="102"/>
      <c r="C263" s="102"/>
      <c r="D263" s="115"/>
      <c r="E263" s="115"/>
      <c r="F263" s="108"/>
      <c r="G263" s="108"/>
      <c r="H263" s="71" t="s">
        <v>119</v>
      </c>
      <c r="I263" s="75" t="s">
        <v>183</v>
      </c>
      <c r="J263" s="63" t="s">
        <v>108</v>
      </c>
      <c r="K263" s="75" t="s">
        <v>93</v>
      </c>
      <c r="L263" s="54">
        <v>21</v>
      </c>
      <c r="M263" s="54" t="s">
        <v>98</v>
      </c>
      <c r="N263" s="75" t="s">
        <v>99</v>
      </c>
      <c r="O263" s="102"/>
      <c r="P263" s="108"/>
      <c r="Q263" s="110"/>
      <c r="R263" s="110"/>
      <c r="S263" s="110"/>
      <c r="T263" s="110"/>
      <c r="U263" s="110"/>
      <c r="V263" s="110"/>
      <c r="W263" s="110"/>
    </row>
    <row r="264" s="37" customFormat="1" ht="15.75" spans="1:23">
      <c r="A264" s="102"/>
      <c r="B264" s="102"/>
      <c r="C264" s="102"/>
      <c r="D264" s="115"/>
      <c r="E264" s="115"/>
      <c r="F264" s="108"/>
      <c r="G264" s="108"/>
      <c r="H264" s="71" t="s">
        <v>95</v>
      </c>
      <c r="I264" s="71" t="s">
        <v>285</v>
      </c>
      <c r="J264" s="63" t="s">
        <v>108</v>
      </c>
      <c r="K264" s="71" t="s">
        <v>134</v>
      </c>
      <c r="L264" s="54">
        <v>21</v>
      </c>
      <c r="M264" s="54" t="s">
        <v>98</v>
      </c>
      <c r="N264" s="63" t="s">
        <v>110</v>
      </c>
      <c r="O264" s="102"/>
      <c r="P264" s="108"/>
      <c r="Q264" s="110"/>
      <c r="R264" s="110"/>
      <c r="S264" s="110"/>
      <c r="T264" s="110"/>
      <c r="U264" s="110"/>
      <c r="V264" s="110"/>
      <c r="W264" s="110"/>
    </row>
    <row r="265" s="37" customFormat="1" ht="15.75" spans="1:23">
      <c r="A265" s="102"/>
      <c r="B265" s="102"/>
      <c r="C265" s="102"/>
      <c r="D265" s="115"/>
      <c r="E265" s="115"/>
      <c r="F265" s="108"/>
      <c r="G265" s="108"/>
      <c r="H265" s="71" t="s">
        <v>254</v>
      </c>
      <c r="I265" s="71" t="s">
        <v>255</v>
      </c>
      <c r="J265" s="63" t="s">
        <v>108</v>
      </c>
      <c r="K265" s="71" t="s">
        <v>134</v>
      </c>
      <c r="L265" s="54">
        <v>10</v>
      </c>
      <c r="M265" s="54" t="s">
        <v>282</v>
      </c>
      <c r="N265" s="63" t="s">
        <v>99</v>
      </c>
      <c r="O265" s="102"/>
      <c r="P265" s="108"/>
      <c r="Q265" s="110"/>
      <c r="R265" s="110"/>
      <c r="S265" s="110"/>
      <c r="T265" s="110"/>
      <c r="U265" s="110"/>
      <c r="V265" s="110"/>
      <c r="W265" s="110"/>
    </row>
    <row r="266" s="37" customFormat="1" customHeight="1" spans="1:23">
      <c r="A266" s="102"/>
      <c r="B266" s="102"/>
      <c r="C266" s="102"/>
      <c r="D266" s="115"/>
      <c r="E266" s="115"/>
      <c r="F266" s="108"/>
      <c r="G266" s="108"/>
      <c r="H266" s="71" t="s">
        <v>254</v>
      </c>
      <c r="I266" s="71" t="s">
        <v>286</v>
      </c>
      <c r="J266" s="63" t="s">
        <v>87</v>
      </c>
      <c r="K266" s="71" t="s">
        <v>134</v>
      </c>
      <c r="L266" s="54">
        <v>8</v>
      </c>
      <c r="M266" s="54" t="s">
        <v>282</v>
      </c>
      <c r="N266" s="63" t="s">
        <v>99</v>
      </c>
      <c r="O266" s="102"/>
      <c r="P266" s="108"/>
      <c r="Q266" s="110"/>
      <c r="R266" s="110"/>
      <c r="S266" s="110"/>
      <c r="T266" s="110"/>
      <c r="U266" s="110"/>
      <c r="V266" s="110"/>
      <c r="W266" s="110"/>
    </row>
    <row r="267" s="37" customFormat="1" ht="15.75" spans="1:23">
      <c r="A267" s="102"/>
      <c r="B267" s="102"/>
      <c r="C267" s="102"/>
      <c r="D267" s="115"/>
      <c r="E267" s="115"/>
      <c r="F267" s="108"/>
      <c r="G267" s="108"/>
      <c r="H267" s="71" t="s">
        <v>95</v>
      </c>
      <c r="I267" s="71" t="s">
        <v>96</v>
      </c>
      <c r="J267" s="63" t="s">
        <v>97</v>
      </c>
      <c r="K267" s="71" t="s">
        <v>134</v>
      </c>
      <c r="L267" s="54">
        <v>7</v>
      </c>
      <c r="M267" s="54" t="s">
        <v>98</v>
      </c>
      <c r="N267" s="71" t="s">
        <v>99</v>
      </c>
      <c r="O267" s="102"/>
      <c r="P267" s="108"/>
      <c r="Q267" s="110"/>
      <c r="R267" s="110"/>
      <c r="S267" s="110"/>
      <c r="T267" s="110"/>
      <c r="U267" s="110"/>
      <c r="V267" s="110"/>
      <c r="W267" s="110"/>
    </row>
    <row r="268" s="37" customFormat="1" ht="15.75" spans="1:23">
      <c r="A268" s="102" t="s">
        <v>526</v>
      </c>
      <c r="B268" s="102" t="s">
        <v>527</v>
      </c>
      <c r="C268" s="102" t="s">
        <v>83</v>
      </c>
      <c r="D268" s="115" t="s">
        <v>215</v>
      </c>
      <c r="E268" s="115" t="s">
        <v>154</v>
      </c>
      <c r="F268" s="108" t="s">
        <v>528</v>
      </c>
      <c r="G268" s="108" t="s">
        <v>529</v>
      </c>
      <c r="H268" s="109" t="s">
        <v>218</v>
      </c>
      <c r="I268" s="109" t="s">
        <v>530</v>
      </c>
      <c r="J268" s="63" t="s">
        <v>108</v>
      </c>
      <c r="K268" s="109" t="s">
        <v>93</v>
      </c>
      <c r="L268" s="73">
        <f>5*21</f>
        <v>105</v>
      </c>
      <c r="M268" s="73" t="s">
        <v>531</v>
      </c>
      <c r="N268" s="109" t="s">
        <v>90</v>
      </c>
      <c r="O268" s="102" t="s">
        <v>18</v>
      </c>
      <c r="P268" s="110" t="s">
        <v>160</v>
      </c>
      <c r="Q268" s="110" t="s">
        <v>112</v>
      </c>
      <c r="R268" s="110" t="s">
        <v>161</v>
      </c>
      <c r="S268" s="110" t="s">
        <v>162</v>
      </c>
      <c r="T268" s="110" t="s">
        <v>20</v>
      </c>
      <c r="U268" s="110" t="s">
        <v>532</v>
      </c>
      <c r="V268" s="110" t="s">
        <v>116</v>
      </c>
      <c r="W268" s="110" t="s">
        <v>117</v>
      </c>
    </row>
    <row r="269" s="37" customFormat="1" ht="15.75" spans="1:23">
      <c r="A269" s="102"/>
      <c r="B269" s="102"/>
      <c r="C269" s="102"/>
      <c r="D269" s="115"/>
      <c r="E269" s="115"/>
      <c r="F269" s="108"/>
      <c r="G269" s="108"/>
      <c r="H269" s="109" t="s">
        <v>85</v>
      </c>
      <c r="I269" s="109" t="s">
        <v>183</v>
      </c>
      <c r="J269" s="63" t="s">
        <v>108</v>
      </c>
      <c r="K269" s="109" t="s">
        <v>134</v>
      </c>
      <c r="L269" s="73">
        <f>3*21</f>
        <v>63</v>
      </c>
      <c r="M269" s="73" t="s">
        <v>182</v>
      </c>
      <c r="N269" s="109" t="s">
        <v>110</v>
      </c>
      <c r="O269" s="102"/>
      <c r="P269" s="110"/>
      <c r="Q269" s="110"/>
      <c r="R269" s="110"/>
      <c r="S269" s="110"/>
      <c r="T269" s="110"/>
      <c r="U269" s="110"/>
      <c r="V269" s="110"/>
      <c r="W269" s="110"/>
    </row>
    <row r="270" s="37" customFormat="1" ht="15.75" spans="1:23">
      <c r="A270" s="105" t="s">
        <v>533</v>
      </c>
      <c r="B270" s="106" t="s">
        <v>534</v>
      </c>
      <c r="C270" s="106" t="s">
        <v>173</v>
      </c>
      <c r="D270" s="115" t="s">
        <v>102</v>
      </c>
      <c r="E270" s="115" t="s">
        <v>103</v>
      </c>
      <c r="F270" s="113" t="s">
        <v>535</v>
      </c>
      <c r="G270" s="107" t="s">
        <v>536</v>
      </c>
      <c r="H270" s="114" t="s">
        <v>85</v>
      </c>
      <c r="I270" s="114" t="s">
        <v>183</v>
      </c>
      <c r="J270" s="63" t="s">
        <v>108</v>
      </c>
      <c r="K270" s="114" t="s">
        <v>93</v>
      </c>
      <c r="L270" s="54">
        <v>22</v>
      </c>
      <c r="M270" s="54" t="s">
        <v>121</v>
      </c>
      <c r="N270" s="114" t="s">
        <v>99</v>
      </c>
      <c r="O270" s="106" t="s">
        <v>42</v>
      </c>
      <c r="P270" s="113" t="s">
        <v>127</v>
      </c>
      <c r="Q270" s="105" t="s">
        <v>112</v>
      </c>
      <c r="R270" s="105" t="s">
        <v>113</v>
      </c>
      <c r="S270" s="105" t="s">
        <v>114</v>
      </c>
      <c r="T270" s="105" t="s">
        <v>44</v>
      </c>
      <c r="U270" s="105" t="s">
        <v>537</v>
      </c>
      <c r="V270" s="105" t="s">
        <v>116</v>
      </c>
      <c r="W270" s="105" t="s">
        <v>117</v>
      </c>
    </row>
    <row r="271" s="37" customFormat="1" customHeight="1" spans="1:23">
      <c r="A271" s="105"/>
      <c r="B271" s="106"/>
      <c r="C271" s="106"/>
      <c r="D271" s="115"/>
      <c r="E271" s="115"/>
      <c r="F271" s="113"/>
      <c r="G271" s="107"/>
      <c r="H271" s="114" t="s">
        <v>85</v>
      </c>
      <c r="I271" s="114" t="s">
        <v>267</v>
      </c>
      <c r="J271" s="63" t="s">
        <v>87</v>
      </c>
      <c r="K271" s="114" t="s">
        <v>93</v>
      </c>
      <c r="L271" s="54">
        <v>16</v>
      </c>
      <c r="M271" s="54" t="s">
        <v>89</v>
      </c>
      <c r="N271" s="114" t="s">
        <v>99</v>
      </c>
      <c r="O271" s="106"/>
      <c r="P271" s="113"/>
      <c r="Q271" s="105"/>
      <c r="R271" s="105"/>
      <c r="S271" s="105"/>
      <c r="T271" s="105"/>
      <c r="U271" s="105"/>
      <c r="V271" s="105"/>
      <c r="W271" s="105"/>
    </row>
    <row r="272" s="37" customFormat="1" ht="15.75" spans="1:23">
      <c r="A272" s="105"/>
      <c r="B272" s="106"/>
      <c r="C272" s="106"/>
      <c r="D272" s="115"/>
      <c r="E272" s="115"/>
      <c r="F272" s="113"/>
      <c r="G272" s="107"/>
      <c r="H272" s="114" t="s">
        <v>85</v>
      </c>
      <c r="I272" s="114" t="s">
        <v>209</v>
      </c>
      <c r="J272" s="63" t="s">
        <v>108</v>
      </c>
      <c r="K272" s="114" t="s">
        <v>134</v>
      </c>
      <c r="L272" s="54">
        <v>22</v>
      </c>
      <c r="M272" s="54" t="s">
        <v>279</v>
      </c>
      <c r="N272" s="114" t="s">
        <v>99</v>
      </c>
      <c r="O272" s="106"/>
      <c r="P272" s="113"/>
      <c r="Q272" s="105"/>
      <c r="R272" s="105"/>
      <c r="S272" s="105"/>
      <c r="T272" s="105"/>
      <c r="U272" s="105"/>
      <c r="V272" s="105"/>
      <c r="W272" s="105"/>
    </row>
    <row r="273" s="37" customFormat="1" ht="15.75" spans="1:23">
      <c r="A273" s="105"/>
      <c r="B273" s="106"/>
      <c r="C273" s="106"/>
      <c r="D273" s="115"/>
      <c r="E273" s="115"/>
      <c r="F273" s="113"/>
      <c r="G273" s="107"/>
      <c r="H273" s="114" t="s">
        <v>85</v>
      </c>
      <c r="I273" s="114" t="s">
        <v>192</v>
      </c>
      <c r="J273" s="63" t="s">
        <v>108</v>
      </c>
      <c r="K273" s="114" t="s">
        <v>93</v>
      </c>
      <c r="L273" s="54">
        <v>16</v>
      </c>
      <c r="M273" s="54" t="s">
        <v>98</v>
      </c>
      <c r="N273" s="114" t="s">
        <v>99</v>
      </c>
      <c r="O273" s="106"/>
      <c r="P273" s="113"/>
      <c r="Q273" s="105"/>
      <c r="R273" s="105"/>
      <c r="S273" s="105"/>
      <c r="T273" s="105"/>
      <c r="U273" s="105"/>
      <c r="V273" s="105"/>
      <c r="W273" s="105"/>
    </row>
    <row r="274" s="37" customFormat="1" customHeight="1" spans="1:23">
      <c r="A274" s="105"/>
      <c r="B274" s="106"/>
      <c r="C274" s="106"/>
      <c r="D274" s="115"/>
      <c r="E274" s="115"/>
      <c r="F274" s="113"/>
      <c r="G274" s="107"/>
      <c r="H274" s="114" t="s">
        <v>91</v>
      </c>
      <c r="I274" s="114" t="s">
        <v>328</v>
      </c>
      <c r="J274" s="63" t="s">
        <v>87</v>
      </c>
      <c r="K274" s="114" t="s">
        <v>134</v>
      </c>
      <c r="L274" s="54">
        <v>16</v>
      </c>
      <c r="M274" s="54" t="s">
        <v>98</v>
      </c>
      <c r="N274" s="114" t="s">
        <v>99</v>
      </c>
      <c r="O274" s="106"/>
      <c r="P274" s="113"/>
      <c r="Q274" s="105"/>
      <c r="R274" s="105"/>
      <c r="S274" s="105"/>
      <c r="T274" s="105"/>
      <c r="U274" s="105"/>
      <c r="V274" s="105"/>
      <c r="W274" s="105"/>
    </row>
    <row r="275" s="37" customFormat="1" ht="15.75" spans="1:23">
      <c r="A275" s="105"/>
      <c r="B275" s="106"/>
      <c r="C275" s="106"/>
      <c r="D275" s="115"/>
      <c r="E275" s="115"/>
      <c r="F275" s="113"/>
      <c r="G275" s="107"/>
      <c r="H275" s="114" t="s">
        <v>254</v>
      </c>
      <c r="I275" s="114" t="s">
        <v>255</v>
      </c>
      <c r="J275" s="63" t="s">
        <v>108</v>
      </c>
      <c r="K275" s="114" t="s">
        <v>134</v>
      </c>
      <c r="L275" s="54">
        <v>16</v>
      </c>
      <c r="M275" s="54" t="s">
        <v>98</v>
      </c>
      <c r="N275" s="114" t="s">
        <v>99</v>
      </c>
      <c r="O275" s="106"/>
      <c r="P275" s="113"/>
      <c r="Q275" s="105"/>
      <c r="R275" s="105"/>
      <c r="S275" s="105"/>
      <c r="T275" s="105"/>
      <c r="U275" s="105"/>
      <c r="V275" s="105"/>
      <c r="W275" s="105"/>
    </row>
    <row r="276" s="37" customFormat="1" ht="15.75" spans="1:23">
      <c r="A276" s="105"/>
      <c r="B276" s="106"/>
      <c r="C276" s="106"/>
      <c r="D276" s="115"/>
      <c r="E276" s="115"/>
      <c r="F276" s="113"/>
      <c r="G276" s="107"/>
      <c r="H276" s="114" t="s">
        <v>157</v>
      </c>
      <c r="I276" s="114" t="s">
        <v>284</v>
      </c>
      <c r="J276" s="63" t="s">
        <v>108</v>
      </c>
      <c r="K276" s="114" t="s">
        <v>88</v>
      </c>
      <c r="L276" s="54">
        <v>16</v>
      </c>
      <c r="M276" s="54" t="s">
        <v>98</v>
      </c>
      <c r="N276" s="114" t="s">
        <v>99</v>
      </c>
      <c r="O276" s="106"/>
      <c r="P276" s="113"/>
      <c r="Q276" s="105"/>
      <c r="R276" s="105"/>
      <c r="S276" s="105"/>
      <c r="T276" s="105"/>
      <c r="U276" s="105"/>
      <c r="V276" s="105"/>
      <c r="W276" s="105"/>
    </row>
    <row r="277" s="37" customFormat="1" ht="15.75" spans="1:23">
      <c r="A277" s="105"/>
      <c r="B277" s="106"/>
      <c r="C277" s="106"/>
      <c r="D277" s="115"/>
      <c r="E277" s="115"/>
      <c r="F277" s="113"/>
      <c r="G277" s="107"/>
      <c r="H277" s="114" t="s">
        <v>141</v>
      </c>
      <c r="I277" s="114" t="s">
        <v>538</v>
      </c>
      <c r="J277" s="63" t="s">
        <v>108</v>
      </c>
      <c r="K277" s="114" t="s">
        <v>134</v>
      </c>
      <c r="L277" s="54">
        <v>22</v>
      </c>
      <c r="M277" s="54" t="s">
        <v>98</v>
      </c>
      <c r="N277" s="114" t="s">
        <v>99</v>
      </c>
      <c r="O277" s="106"/>
      <c r="P277" s="113"/>
      <c r="Q277" s="105"/>
      <c r="R277" s="105"/>
      <c r="S277" s="105"/>
      <c r="T277" s="105"/>
      <c r="U277" s="105"/>
      <c r="V277" s="105"/>
      <c r="W277" s="105"/>
    </row>
    <row r="278" s="37" customFormat="1" ht="31.5" spans="1:23">
      <c r="A278" s="105"/>
      <c r="B278" s="106"/>
      <c r="C278" s="106"/>
      <c r="D278" s="115"/>
      <c r="E278" s="115"/>
      <c r="F278" s="113"/>
      <c r="G278" s="113"/>
      <c r="H278" s="114" t="s">
        <v>218</v>
      </c>
      <c r="I278" s="114" t="s">
        <v>219</v>
      </c>
      <c r="J278" s="63" t="s">
        <v>108</v>
      </c>
      <c r="K278" s="114" t="s">
        <v>93</v>
      </c>
      <c r="L278" s="54">
        <v>22</v>
      </c>
      <c r="M278" s="54" t="s">
        <v>495</v>
      </c>
      <c r="N278" s="114" t="s">
        <v>90</v>
      </c>
      <c r="O278" s="106"/>
      <c r="P278" s="113"/>
      <c r="Q278" s="105"/>
      <c r="R278" s="105"/>
      <c r="S278" s="105"/>
      <c r="T278" s="105"/>
      <c r="U278" s="105"/>
      <c r="V278" s="105"/>
      <c r="W278" s="105"/>
    </row>
    <row r="279" s="37" customFormat="1" ht="15.75" spans="1:23">
      <c r="A279" s="116" t="s">
        <v>37</v>
      </c>
      <c r="B279" s="117" t="s">
        <v>36</v>
      </c>
      <c r="C279" s="117" t="s">
        <v>173</v>
      </c>
      <c r="D279" s="118" t="s">
        <v>215</v>
      </c>
      <c r="E279" s="118" t="s">
        <v>154</v>
      </c>
      <c r="F279" s="119" t="s">
        <v>539</v>
      </c>
      <c r="G279" s="119" t="s">
        <v>540</v>
      </c>
      <c r="H279" s="120" t="s">
        <v>157</v>
      </c>
      <c r="I279" s="120" t="s">
        <v>188</v>
      </c>
      <c r="J279" s="63" t="s">
        <v>108</v>
      </c>
      <c r="K279" s="120" t="s">
        <v>88</v>
      </c>
      <c r="L279" s="54">
        <v>68</v>
      </c>
      <c r="M279" s="54" t="s">
        <v>98</v>
      </c>
      <c r="N279" s="120" t="s">
        <v>99</v>
      </c>
      <c r="O279" s="117" t="s">
        <v>36</v>
      </c>
      <c r="P279" s="116" t="s">
        <v>178</v>
      </c>
      <c r="Q279" s="116" t="s">
        <v>112</v>
      </c>
      <c r="R279" s="116" t="s">
        <v>334</v>
      </c>
      <c r="S279" s="116" t="s">
        <v>335</v>
      </c>
      <c r="T279" s="116" t="s">
        <v>38</v>
      </c>
      <c r="U279" s="116" t="s">
        <v>541</v>
      </c>
      <c r="V279" s="116" t="s">
        <v>116</v>
      </c>
      <c r="W279" s="116" t="s">
        <v>117</v>
      </c>
    </row>
    <row r="280" s="37" customFormat="1" ht="15.75" spans="1:23">
      <c r="A280" s="116"/>
      <c r="B280" s="117"/>
      <c r="C280" s="117"/>
      <c r="D280" s="118"/>
      <c r="E280" s="118"/>
      <c r="F280" s="119"/>
      <c r="G280" s="119"/>
      <c r="H280" s="120" t="s">
        <v>157</v>
      </c>
      <c r="I280" s="120" t="s">
        <v>158</v>
      </c>
      <c r="J280" s="63" t="s">
        <v>108</v>
      </c>
      <c r="K280" s="120" t="s">
        <v>88</v>
      </c>
      <c r="L280" s="54">
        <v>40</v>
      </c>
      <c r="M280" s="54" t="s">
        <v>333</v>
      </c>
      <c r="N280" s="120" t="s">
        <v>110</v>
      </c>
      <c r="O280" s="117" t="s">
        <v>36</v>
      </c>
      <c r="P280" s="116" t="s">
        <v>178</v>
      </c>
      <c r="Q280" s="116" t="s">
        <v>112</v>
      </c>
      <c r="R280" s="116" t="s">
        <v>334</v>
      </c>
      <c r="S280" s="116" t="s">
        <v>335</v>
      </c>
      <c r="T280" s="116" t="s">
        <v>38</v>
      </c>
      <c r="U280" s="116" t="s">
        <v>541</v>
      </c>
      <c r="V280" s="116" t="s">
        <v>116</v>
      </c>
      <c r="W280" s="116" t="s">
        <v>117</v>
      </c>
    </row>
    <row r="281" s="37" customFormat="1" ht="31.5" spans="1:23">
      <c r="A281" s="116"/>
      <c r="B281" s="117"/>
      <c r="C281" s="117"/>
      <c r="D281" s="118"/>
      <c r="E281" s="118"/>
      <c r="F281" s="119"/>
      <c r="G281" s="119"/>
      <c r="H281" s="120" t="s">
        <v>218</v>
      </c>
      <c r="I281" s="120" t="s">
        <v>219</v>
      </c>
      <c r="J281" s="63" t="s">
        <v>108</v>
      </c>
      <c r="K281" s="120" t="s">
        <v>134</v>
      </c>
      <c r="L281" s="54">
        <v>40</v>
      </c>
      <c r="M281" s="54" t="s">
        <v>333</v>
      </c>
      <c r="N281" s="120" t="s">
        <v>110</v>
      </c>
      <c r="O281" s="117" t="s">
        <v>36</v>
      </c>
      <c r="P281" s="116" t="s">
        <v>178</v>
      </c>
      <c r="Q281" s="116" t="s">
        <v>112</v>
      </c>
      <c r="R281" s="116" t="s">
        <v>334</v>
      </c>
      <c r="S281" s="116" t="s">
        <v>335</v>
      </c>
      <c r="T281" s="116" t="s">
        <v>38</v>
      </c>
      <c r="U281" s="116" t="s">
        <v>541</v>
      </c>
      <c r="V281" s="116" t="s">
        <v>116</v>
      </c>
      <c r="W281" s="116" t="s">
        <v>117</v>
      </c>
    </row>
    <row r="282" s="37" customFormat="1" ht="15.75" spans="1:23">
      <c r="A282" s="116"/>
      <c r="B282" s="117"/>
      <c r="C282" s="117"/>
      <c r="D282" s="118"/>
      <c r="E282" s="118"/>
      <c r="F282" s="119"/>
      <c r="G282" s="119"/>
      <c r="H282" s="120" t="s">
        <v>119</v>
      </c>
      <c r="I282" s="120" t="s">
        <v>120</v>
      </c>
      <c r="J282" s="63" t="s">
        <v>108</v>
      </c>
      <c r="K282" s="120" t="s">
        <v>134</v>
      </c>
      <c r="L282" s="54">
        <v>20</v>
      </c>
      <c r="M282" s="54" t="s">
        <v>98</v>
      </c>
      <c r="N282" s="120" t="s">
        <v>99</v>
      </c>
      <c r="O282" s="117" t="s">
        <v>36</v>
      </c>
      <c r="P282" s="116" t="s">
        <v>178</v>
      </c>
      <c r="Q282" s="116" t="s">
        <v>112</v>
      </c>
      <c r="R282" s="116" t="s">
        <v>334</v>
      </c>
      <c r="S282" s="116" t="s">
        <v>335</v>
      </c>
      <c r="T282" s="116" t="s">
        <v>38</v>
      </c>
      <c r="U282" s="116" t="s">
        <v>541</v>
      </c>
      <c r="V282" s="116" t="s">
        <v>116</v>
      </c>
      <c r="W282" s="116" t="s">
        <v>117</v>
      </c>
    </row>
    <row r="283" s="37" customFormat="1" ht="15.75" spans="1:23">
      <c r="A283" s="105" t="s">
        <v>542</v>
      </c>
      <c r="B283" s="106" t="s">
        <v>543</v>
      </c>
      <c r="C283" s="106" t="s">
        <v>173</v>
      </c>
      <c r="D283" s="111"/>
      <c r="E283" s="111"/>
      <c r="F283" s="107" t="s">
        <v>544</v>
      </c>
      <c r="G283" s="113"/>
      <c r="H283" s="109"/>
      <c r="I283" s="109"/>
      <c r="J283" s="109"/>
      <c r="K283" s="109"/>
      <c r="L283" s="54"/>
      <c r="M283" s="54"/>
      <c r="N283" s="109"/>
      <c r="O283" s="106" t="s">
        <v>24</v>
      </c>
      <c r="P283" s="105" t="s">
        <v>275</v>
      </c>
      <c r="Q283" s="105" t="s">
        <v>112</v>
      </c>
      <c r="R283" s="105" t="s">
        <v>276</v>
      </c>
      <c r="S283" s="105" t="s">
        <v>277</v>
      </c>
      <c r="T283" s="105" t="s">
        <v>26</v>
      </c>
      <c r="U283" s="105" t="s">
        <v>545</v>
      </c>
      <c r="V283" s="105" t="s">
        <v>116</v>
      </c>
      <c r="W283" s="105" t="s">
        <v>117</v>
      </c>
    </row>
    <row r="284" s="37" customFormat="1" ht="15.75" spans="1:23">
      <c r="A284" s="102" t="s">
        <v>546</v>
      </c>
      <c r="B284" s="102" t="s">
        <v>547</v>
      </c>
      <c r="C284" s="102" t="s">
        <v>173</v>
      </c>
      <c r="D284" s="115" t="s">
        <v>102</v>
      </c>
      <c r="E284" s="115" t="s">
        <v>154</v>
      </c>
      <c r="F284" s="121" t="s">
        <v>548</v>
      </c>
      <c r="G284" s="121" t="s">
        <v>549</v>
      </c>
      <c r="H284" s="114" t="s">
        <v>95</v>
      </c>
      <c r="I284" s="114" t="s">
        <v>193</v>
      </c>
      <c r="J284" s="63" t="s">
        <v>108</v>
      </c>
      <c r="K284" s="114" t="s">
        <v>93</v>
      </c>
      <c r="L284" s="73">
        <f>2*21</f>
        <v>42</v>
      </c>
      <c r="M284" s="73" t="s">
        <v>550</v>
      </c>
      <c r="N284" s="114" t="s">
        <v>110</v>
      </c>
      <c r="O284" s="102" t="s">
        <v>18</v>
      </c>
      <c r="P284" s="110" t="s">
        <v>551</v>
      </c>
      <c r="Q284" s="110" t="s">
        <v>112</v>
      </c>
      <c r="R284" s="110" t="s">
        <v>161</v>
      </c>
      <c r="S284" s="110" t="s">
        <v>401</v>
      </c>
      <c r="T284" s="102" t="s">
        <v>402</v>
      </c>
      <c r="U284" s="102" t="s">
        <v>552</v>
      </c>
      <c r="V284" s="102" t="s">
        <v>116</v>
      </c>
      <c r="W284" s="102" t="s">
        <v>117</v>
      </c>
    </row>
    <row r="285" s="37" customFormat="1" customHeight="1" spans="1:23">
      <c r="A285" s="102"/>
      <c r="B285" s="102"/>
      <c r="C285" s="102"/>
      <c r="D285" s="115"/>
      <c r="E285" s="115"/>
      <c r="F285" s="121"/>
      <c r="G285" s="121"/>
      <c r="H285" s="114" t="s">
        <v>254</v>
      </c>
      <c r="I285" s="114" t="s">
        <v>286</v>
      </c>
      <c r="J285" s="63" t="s">
        <v>87</v>
      </c>
      <c r="K285" s="114" t="s">
        <v>93</v>
      </c>
      <c r="L285" s="73">
        <f>2*21</f>
        <v>42</v>
      </c>
      <c r="M285" s="73" t="s">
        <v>182</v>
      </c>
      <c r="N285" s="114" t="s">
        <v>99</v>
      </c>
      <c r="O285" s="102"/>
      <c r="P285" s="110"/>
      <c r="Q285" s="110"/>
      <c r="R285" s="110"/>
      <c r="S285" s="110"/>
      <c r="T285" s="102"/>
      <c r="U285" s="102"/>
      <c r="V285" s="102"/>
      <c r="W285" s="102"/>
    </row>
    <row r="286" s="37" customFormat="1" ht="15.75" spans="1:23">
      <c r="A286" s="102"/>
      <c r="B286" s="102"/>
      <c r="C286" s="102"/>
      <c r="D286" s="115"/>
      <c r="E286" s="115"/>
      <c r="F286" s="121"/>
      <c r="G286" s="121"/>
      <c r="H286" s="114" t="s">
        <v>95</v>
      </c>
      <c r="I286" s="114" t="s">
        <v>176</v>
      </c>
      <c r="J286" s="63" t="s">
        <v>97</v>
      </c>
      <c r="K286" s="114" t="s">
        <v>93</v>
      </c>
      <c r="L286" s="73">
        <f>4*21</f>
        <v>84</v>
      </c>
      <c r="M286" s="73" t="s">
        <v>182</v>
      </c>
      <c r="N286" s="114" t="s">
        <v>99</v>
      </c>
      <c r="O286" s="102"/>
      <c r="P286" s="110"/>
      <c r="Q286" s="110"/>
      <c r="R286" s="110"/>
      <c r="S286" s="110"/>
      <c r="T286" s="102"/>
      <c r="U286" s="102"/>
      <c r="V286" s="102"/>
      <c r="W286" s="102"/>
    </row>
    <row r="287" s="37" customFormat="1" ht="31.5" spans="1:23">
      <c r="A287" s="105" t="s">
        <v>553</v>
      </c>
      <c r="B287" s="106" t="s">
        <v>554</v>
      </c>
      <c r="C287" s="106" t="s">
        <v>173</v>
      </c>
      <c r="D287" s="111" t="s">
        <v>102</v>
      </c>
      <c r="E287" s="111" t="s">
        <v>154</v>
      </c>
      <c r="F287" s="107" t="s">
        <v>555</v>
      </c>
      <c r="G287" s="107" t="s">
        <v>175</v>
      </c>
      <c r="H287" s="114" t="s">
        <v>95</v>
      </c>
      <c r="I287" s="114" t="s">
        <v>176</v>
      </c>
      <c r="J287" s="63" t="s">
        <v>97</v>
      </c>
      <c r="K287" s="114" t="s">
        <v>93</v>
      </c>
      <c r="L287" s="73">
        <f>8*21</f>
        <v>168</v>
      </c>
      <c r="M287" s="73" t="s">
        <v>556</v>
      </c>
      <c r="N287" s="114" t="s">
        <v>110</v>
      </c>
      <c r="O287" s="106" t="s">
        <v>18</v>
      </c>
      <c r="P287" s="105" t="s">
        <v>178</v>
      </c>
      <c r="Q287" s="105" t="s">
        <v>112</v>
      </c>
      <c r="R287" s="105" t="s">
        <v>161</v>
      </c>
      <c r="S287" s="105" t="s">
        <v>179</v>
      </c>
      <c r="T287" s="105" t="s">
        <v>180</v>
      </c>
      <c r="U287" s="105" t="s">
        <v>557</v>
      </c>
      <c r="V287" s="105" t="s">
        <v>116</v>
      </c>
      <c r="W287" s="105" t="s">
        <v>117</v>
      </c>
    </row>
    <row r="288" s="37" customFormat="1" ht="15.75" spans="1:23">
      <c r="A288" s="110" t="s">
        <v>558</v>
      </c>
      <c r="B288" s="102" t="s">
        <v>559</v>
      </c>
      <c r="C288" s="102" t="s">
        <v>173</v>
      </c>
      <c r="D288" s="115" t="s">
        <v>102</v>
      </c>
      <c r="E288" s="115" t="s">
        <v>103</v>
      </c>
      <c r="F288" s="108" t="s">
        <v>560</v>
      </c>
      <c r="G288" s="108" t="s">
        <v>561</v>
      </c>
      <c r="H288" s="109" t="s">
        <v>85</v>
      </c>
      <c r="I288" s="109" t="s">
        <v>183</v>
      </c>
      <c r="J288" s="63" t="s">
        <v>108</v>
      </c>
      <c r="K288" s="109" t="s">
        <v>93</v>
      </c>
      <c r="L288" s="54">
        <v>68</v>
      </c>
      <c r="M288" s="54" t="s">
        <v>89</v>
      </c>
      <c r="N288" s="109" t="s">
        <v>99</v>
      </c>
      <c r="O288" s="102" t="s">
        <v>45</v>
      </c>
      <c r="P288" s="110" t="s">
        <v>235</v>
      </c>
      <c r="Q288" s="110" t="s">
        <v>112</v>
      </c>
      <c r="R288" s="110" t="s">
        <v>144</v>
      </c>
      <c r="S288" s="110" t="s">
        <v>236</v>
      </c>
      <c r="T288" s="110" t="s">
        <v>47</v>
      </c>
      <c r="U288" s="110" t="s">
        <v>562</v>
      </c>
      <c r="V288" s="110" t="s">
        <v>148</v>
      </c>
      <c r="W288" s="110" t="s">
        <v>149</v>
      </c>
    </row>
    <row r="289" s="37" customFormat="1" ht="15.75" spans="1:23">
      <c r="A289" s="110"/>
      <c r="B289" s="102"/>
      <c r="C289" s="102"/>
      <c r="D289" s="115"/>
      <c r="E289" s="115"/>
      <c r="F289" s="108"/>
      <c r="G289" s="108"/>
      <c r="H289" s="114" t="s">
        <v>141</v>
      </c>
      <c r="I289" s="114" t="s">
        <v>142</v>
      </c>
      <c r="J289" s="63" t="s">
        <v>97</v>
      </c>
      <c r="K289" s="109" t="s">
        <v>134</v>
      </c>
      <c r="L289" s="54">
        <v>20</v>
      </c>
      <c r="M289" s="54" t="s">
        <v>98</v>
      </c>
      <c r="N289" s="109" t="s">
        <v>99</v>
      </c>
      <c r="O289" s="102"/>
      <c r="P289" s="110"/>
      <c r="Q289" s="110"/>
      <c r="R289" s="110"/>
      <c r="S289" s="110"/>
      <c r="T289" s="110"/>
      <c r="U289" s="110"/>
      <c r="V289" s="110"/>
      <c r="W289" s="110"/>
    </row>
    <row r="290" s="37" customFormat="1" ht="15.75" spans="1:23">
      <c r="A290" s="110"/>
      <c r="B290" s="102"/>
      <c r="C290" s="102"/>
      <c r="D290" s="115"/>
      <c r="E290" s="115"/>
      <c r="F290" s="108"/>
      <c r="G290" s="108"/>
      <c r="H290" s="114" t="s">
        <v>91</v>
      </c>
      <c r="I290" s="114" t="s">
        <v>475</v>
      </c>
      <c r="J290" s="63" t="s">
        <v>108</v>
      </c>
      <c r="K290" s="109" t="s">
        <v>93</v>
      </c>
      <c r="L290" s="54">
        <v>40</v>
      </c>
      <c r="M290" s="54" t="s">
        <v>563</v>
      </c>
      <c r="N290" s="109" t="s">
        <v>110</v>
      </c>
      <c r="O290" s="102"/>
      <c r="P290" s="110"/>
      <c r="Q290" s="110"/>
      <c r="R290" s="110"/>
      <c r="S290" s="110"/>
      <c r="T290" s="110"/>
      <c r="U290" s="110"/>
      <c r="V290" s="110"/>
      <c r="W290" s="110"/>
    </row>
    <row r="291" s="37" customFormat="1" ht="15.75" spans="1:23">
      <c r="A291" s="110"/>
      <c r="B291" s="102"/>
      <c r="C291" s="102"/>
      <c r="D291" s="115"/>
      <c r="E291" s="115"/>
      <c r="F291" s="108"/>
      <c r="G291" s="108"/>
      <c r="H291" s="109" t="s">
        <v>132</v>
      </c>
      <c r="I291" s="109" t="s">
        <v>133</v>
      </c>
      <c r="J291" s="63" t="s">
        <v>108</v>
      </c>
      <c r="K291" s="109" t="s">
        <v>93</v>
      </c>
      <c r="L291" s="54">
        <v>40</v>
      </c>
      <c r="M291" s="54" t="s">
        <v>94</v>
      </c>
      <c r="N291" s="109" t="s">
        <v>110</v>
      </c>
      <c r="O291" s="102"/>
      <c r="P291" s="110"/>
      <c r="Q291" s="110"/>
      <c r="R291" s="110"/>
      <c r="S291" s="110"/>
      <c r="T291" s="110"/>
      <c r="U291" s="110"/>
      <c r="V291" s="110"/>
      <c r="W291" s="110"/>
    </row>
    <row r="292" s="37" customFormat="1" ht="15.75" spans="1:23">
      <c r="A292" s="105" t="s">
        <v>564</v>
      </c>
      <c r="B292" s="106" t="s">
        <v>565</v>
      </c>
      <c r="C292" s="106" t="s">
        <v>83</v>
      </c>
      <c r="D292" s="115" t="s">
        <v>102</v>
      </c>
      <c r="E292" s="115" t="s">
        <v>103</v>
      </c>
      <c r="F292" s="107" t="s">
        <v>566</v>
      </c>
      <c r="G292" s="107" t="s">
        <v>567</v>
      </c>
      <c r="H292" s="114" t="s">
        <v>141</v>
      </c>
      <c r="I292" s="114" t="s">
        <v>538</v>
      </c>
      <c r="J292" s="63" t="s">
        <v>108</v>
      </c>
      <c r="K292" s="114" t="s">
        <v>93</v>
      </c>
      <c r="L292" s="54">
        <v>56</v>
      </c>
      <c r="M292" s="54" t="s">
        <v>151</v>
      </c>
      <c r="N292" s="114" t="s">
        <v>110</v>
      </c>
      <c r="O292" s="106" t="s">
        <v>45</v>
      </c>
      <c r="P292" s="105" t="s">
        <v>143</v>
      </c>
      <c r="Q292" s="105" t="s">
        <v>112</v>
      </c>
      <c r="R292" s="105" t="s">
        <v>144</v>
      </c>
      <c r="S292" s="105" t="s">
        <v>145</v>
      </c>
      <c r="T292" s="105" t="s">
        <v>146</v>
      </c>
      <c r="U292" s="105" t="s">
        <v>568</v>
      </c>
      <c r="V292" s="105" t="s">
        <v>148</v>
      </c>
      <c r="W292" s="105" t="s">
        <v>149</v>
      </c>
    </row>
    <row r="293" s="37" customFormat="1" ht="15.75" spans="1:23">
      <c r="A293" s="105"/>
      <c r="B293" s="106"/>
      <c r="C293" s="106"/>
      <c r="D293" s="111"/>
      <c r="E293" s="111"/>
      <c r="F293" s="107"/>
      <c r="G293" s="107"/>
      <c r="H293" s="114" t="s">
        <v>132</v>
      </c>
      <c r="I293" s="114" t="s">
        <v>133</v>
      </c>
      <c r="J293" s="63" t="s">
        <v>108</v>
      </c>
      <c r="K293" s="114" t="s">
        <v>93</v>
      </c>
      <c r="L293" s="54">
        <v>48</v>
      </c>
      <c r="M293" s="54" t="s">
        <v>151</v>
      </c>
      <c r="N293" s="114" t="s">
        <v>110</v>
      </c>
      <c r="O293" s="106"/>
      <c r="P293" s="105"/>
      <c r="Q293" s="105"/>
      <c r="R293" s="105"/>
      <c r="S293" s="105"/>
      <c r="T293" s="105"/>
      <c r="U293" s="105"/>
      <c r="V293" s="105"/>
      <c r="W293" s="105"/>
    </row>
    <row r="294" s="37" customFormat="1" ht="15.75" spans="1:23">
      <c r="A294" s="105"/>
      <c r="B294" s="106"/>
      <c r="C294" s="106"/>
      <c r="D294" s="111"/>
      <c r="E294" s="111"/>
      <c r="F294" s="107"/>
      <c r="G294" s="107"/>
      <c r="H294" s="114" t="s">
        <v>141</v>
      </c>
      <c r="I294" s="114" t="s">
        <v>150</v>
      </c>
      <c r="J294" s="63" t="s">
        <v>108</v>
      </c>
      <c r="K294" s="114" t="s">
        <v>134</v>
      </c>
      <c r="L294" s="54">
        <v>64</v>
      </c>
      <c r="M294" s="54" t="s">
        <v>151</v>
      </c>
      <c r="N294" s="114" t="s">
        <v>110</v>
      </c>
      <c r="O294" s="106"/>
      <c r="P294" s="105"/>
      <c r="Q294" s="105"/>
      <c r="R294" s="105"/>
      <c r="S294" s="105"/>
      <c r="T294" s="105"/>
      <c r="U294" s="105"/>
      <c r="V294" s="105"/>
      <c r="W294" s="105"/>
    </row>
    <row r="295" s="37" customFormat="1" ht="15.75" spans="1:23">
      <c r="A295" s="102" t="s">
        <v>569</v>
      </c>
      <c r="B295" s="102" t="s">
        <v>570</v>
      </c>
      <c r="C295" s="102" t="s">
        <v>83</v>
      </c>
      <c r="D295" s="115" t="s">
        <v>102</v>
      </c>
      <c r="E295" s="115" t="s">
        <v>154</v>
      </c>
      <c r="F295" s="121" t="s">
        <v>571</v>
      </c>
      <c r="G295" s="121" t="s">
        <v>572</v>
      </c>
      <c r="H295" s="114" t="s">
        <v>157</v>
      </c>
      <c r="I295" s="114" t="s">
        <v>222</v>
      </c>
      <c r="J295" s="63" t="s">
        <v>108</v>
      </c>
      <c r="K295" s="114" t="s">
        <v>134</v>
      </c>
      <c r="L295" s="73">
        <f>2*21</f>
        <v>42</v>
      </c>
      <c r="M295" s="73" t="s">
        <v>159</v>
      </c>
      <c r="N295" s="114" t="s">
        <v>99</v>
      </c>
      <c r="O295" s="102" t="s">
        <v>18</v>
      </c>
      <c r="P295" s="110" t="s">
        <v>160</v>
      </c>
      <c r="Q295" s="110" t="s">
        <v>112</v>
      </c>
      <c r="R295" s="110" t="s">
        <v>161</v>
      </c>
      <c r="S295" s="110" t="s">
        <v>162</v>
      </c>
      <c r="T295" s="110" t="s">
        <v>20</v>
      </c>
      <c r="U295" s="110" t="s">
        <v>573</v>
      </c>
      <c r="V295" s="110" t="s">
        <v>116</v>
      </c>
      <c r="W295" s="110" t="s">
        <v>117</v>
      </c>
    </row>
    <row r="296" s="37" customFormat="1" ht="15.75" spans="1:23">
      <c r="A296" s="102"/>
      <c r="B296" s="102"/>
      <c r="C296" s="102"/>
      <c r="D296" s="115"/>
      <c r="E296" s="115"/>
      <c r="F296" s="121"/>
      <c r="G296" s="121"/>
      <c r="H296" s="114" t="s">
        <v>157</v>
      </c>
      <c r="I296" s="114" t="s">
        <v>158</v>
      </c>
      <c r="J296" s="63" t="s">
        <v>108</v>
      </c>
      <c r="K296" s="114" t="s">
        <v>134</v>
      </c>
      <c r="L296" s="73">
        <f>4*21</f>
        <v>84</v>
      </c>
      <c r="M296" s="73" t="s">
        <v>159</v>
      </c>
      <c r="N296" s="114" t="s">
        <v>110</v>
      </c>
      <c r="O296" s="102"/>
      <c r="P296" s="110"/>
      <c r="Q296" s="110"/>
      <c r="R296" s="110"/>
      <c r="S296" s="110"/>
      <c r="T296" s="110"/>
      <c r="U296" s="110"/>
      <c r="V296" s="110"/>
      <c r="W296" s="110"/>
    </row>
    <row r="297" s="37" customFormat="1" ht="15.75" spans="1:23">
      <c r="A297" s="102"/>
      <c r="B297" s="102"/>
      <c r="C297" s="102"/>
      <c r="D297" s="115"/>
      <c r="E297" s="115"/>
      <c r="F297" s="121"/>
      <c r="G297" s="121"/>
      <c r="H297" s="114" t="s">
        <v>167</v>
      </c>
      <c r="I297" s="114" t="s">
        <v>168</v>
      </c>
      <c r="J297" s="63" t="s">
        <v>108</v>
      </c>
      <c r="K297" s="114" t="s">
        <v>93</v>
      </c>
      <c r="L297" s="73">
        <f>2*21</f>
        <v>42</v>
      </c>
      <c r="M297" s="73" t="s">
        <v>169</v>
      </c>
      <c r="N297" s="114" t="s">
        <v>90</v>
      </c>
      <c r="O297" s="102"/>
      <c r="P297" s="110"/>
      <c r="Q297" s="110"/>
      <c r="R297" s="110"/>
      <c r="S297" s="110"/>
      <c r="T297" s="110"/>
      <c r="U297" s="110"/>
      <c r="V297" s="110"/>
      <c r="W297" s="110"/>
    </row>
    <row r="298" s="37" customFormat="1" ht="15.75" spans="1:23">
      <c r="A298" s="105" t="s">
        <v>574</v>
      </c>
      <c r="B298" s="106" t="s">
        <v>575</v>
      </c>
      <c r="C298" s="106" t="s">
        <v>83</v>
      </c>
      <c r="D298" s="115" t="s">
        <v>215</v>
      </c>
      <c r="E298" s="115" t="s">
        <v>154</v>
      </c>
      <c r="F298" s="113" t="s">
        <v>576</v>
      </c>
      <c r="G298" s="113" t="s">
        <v>577</v>
      </c>
      <c r="H298" s="114" t="s">
        <v>85</v>
      </c>
      <c r="I298" s="114" t="s">
        <v>183</v>
      </c>
      <c r="J298" s="63" t="s">
        <v>108</v>
      </c>
      <c r="K298" s="114" t="s">
        <v>93</v>
      </c>
      <c r="L298" s="54">
        <v>63</v>
      </c>
      <c r="M298" s="54" t="s">
        <v>89</v>
      </c>
      <c r="N298" s="114" t="s">
        <v>110</v>
      </c>
      <c r="O298" s="106" t="s">
        <v>42</v>
      </c>
      <c r="P298" s="113" t="s">
        <v>268</v>
      </c>
      <c r="Q298" s="105" t="s">
        <v>112</v>
      </c>
      <c r="R298" s="105" t="s">
        <v>113</v>
      </c>
      <c r="S298" s="105" t="s">
        <v>114</v>
      </c>
      <c r="T298" s="105" t="s">
        <v>44</v>
      </c>
      <c r="U298" s="105" t="s">
        <v>578</v>
      </c>
      <c r="V298" s="105" t="s">
        <v>116</v>
      </c>
      <c r="W298" s="105" t="s">
        <v>117</v>
      </c>
    </row>
    <row r="299" s="37" customFormat="1" ht="15.75" spans="1:23">
      <c r="A299" s="105"/>
      <c r="B299" s="106"/>
      <c r="C299" s="106"/>
      <c r="D299" s="115"/>
      <c r="E299" s="115"/>
      <c r="F299" s="113"/>
      <c r="G299" s="113"/>
      <c r="H299" s="114" t="s">
        <v>85</v>
      </c>
      <c r="I299" s="114" t="s">
        <v>209</v>
      </c>
      <c r="J299" s="63" t="s">
        <v>108</v>
      </c>
      <c r="K299" s="109" t="s">
        <v>93</v>
      </c>
      <c r="L299" s="54">
        <f>2*21</f>
        <v>42</v>
      </c>
      <c r="M299" s="54" t="s">
        <v>279</v>
      </c>
      <c r="N299" s="114" t="s">
        <v>99</v>
      </c>
      <c r="O299" s="106"/>
      <c r="P299" s="113"/>
      <c r="Q299" s="105"/>
      <c r="R299" s="105"/>
      <c r="S299" s="105"/>
      <c r="T299" s="105"/>
      <c r="U299" s="105"/>
      <c r="V299" s="105"/>
      <c r="W299" s="105"/>
    </row>
    <row r="300" s="37" customFormat="1" ht="31.5" spans="1:23">
      <c r="A300" s="105"/>
      <c r="B300" s="106"/>
      <c r="C300" s="106"/>
      <c r="D300" s="115"/>
      <c r="E300" s="115"/>
      <c r="F300" s="113"/>
      <c r="G300" s="113"/>
      <c r="H300" s="114" t="s">
        <v>218</v>
      </c>
      <c r="I300" s="114" t="s">
        <v>219</v>
      </c>
      <c r="J300" s="63" t="s">
        <v>108</v>
      </c>
      <c r="K300" s="109" t="s">
        <v>93</v>
      </c>
      <c r="L300" s="54">
        <v>42</v>
      </c>
      <c r="M300" s="54" t="s">
        <v>279</v>
      </c>
      <c r="N300" s="114" t="s">
        <v>99</v>
      </c>
      <c r="O300" s="106"/>
      <c r="P300" s="113"/>
      <c r="Q300" s="105"/>
      <c r="R300" s="105"/>
      <c r="S300" s="105"/>
      <c r="T300" s="105"/>
      <c r="U300" s="105"/>
      <c r="V300" s="105"/>
      <c r="W300" s="105"/>
    </row>
    <row r="301" s="37" customFormat="1" ht="15.75" spans="1:23">
      <c r="A301" s="105"/>
      <c r="B301" s="106"/>
      <c r="C301" s="106"/>
      <c r="D301" s="115"/>
      <c r="E301" s="115"/>
      <c r="F301" s="113"/>
      <c r="G301" s="113"/>
      <c r="H301" s="109" t="s">
        <v>119</v>
      </c>
      <c r="I301" s="109" t="s">
        <v>120</v>
      </c>
      <c r="J301" s="63" t="s">
        <v>108</v>
      </c>
      <c r="K301" s="109" t="s">
        <v>93</v>
      </c>
      <c r="L301" s="54">
        <f>1*21</f>
        <v>21</v>
      </c>
      <c r="M301" s="54" t="s">
        <v>98</v>
      </c>
      <c r="N301" s="109" t="s">
        <v>99</v>
      </c>
      <c r="O301" s="106"/>
      <c r="P301" s="113"/>
      <c r="Q301" s="105"/>
      <c r="R301" s="105"/>
      <c r="S301" s="105"/>
      <c r="T301" s="105"/>
      <c r="U301" s="105"/>
      <c r="V301" s="105"/>
      <c r="W301" s="105"/>
    </row>
    <row r="302" s="37" customFormat="1" ht="15.75" spans="1:23">
      <c r="A302" s="110" t="s">
        <v>579</v>
      </c>
      <c r="B302" s="102" t="s">
        <v>580</v>
      </c>
      <c r="C302" s="102" t="s">
        <v>173</v>
      </c>
      <c r="D302" s="115" t="s">
        <v>102</v>
      </c>
      <c r="E302" s="115" t="s">
        <v>103</v>
      </c>
      <c r="F302" s="108" t="s">
        <v>581</v>
      </c>
      <c r="G302" s="108" t="s">
        <v>359</v>
      </c>
      <c r="H302" s="114" t="s">
        <v>254</v>
      </c>
      <c r="I302" s="114" t="s">
        <v>360</v>
      </c>
      <c r="J302" s="63" t="s">
        <v>108</v>
      </c>
      <c r="K302" s="109" t="s">
        <v>93</v>
      </c>
      <c r="L302" s="54">
        <v>98</v>
      </c>
      <c r="M302" s="54" t="s">
        <v>279</v>
      </c>
      <c r="N302" s="109" t="s">
        <v>110</v>
      </c>
      <c r="O302" s="102" t="s">
        <v>45</v>
      </c>
      <c r="P302" s="110" t="s">
        <v>340</v>
      </c>
      <c r="Q302" s="110" t="s">
        <v>112</v>
      </c>
      <c r="R302" s="110" t="s">
        <v>144</v>
      </c>
      <c r="S302" s="110" t="s">
        <v>341</v>
      </c>
      <c r="T302" s="110" t="s">
        <v>342</v>
      </c>
      <c r="U302" s="110" t="s">
        <v>582</v>
      </c>
      <c r="V302" s="110" t="s">
        <v>148</v>
      </c>
      <c r="W302" s="110" t="s">
        <v>149</v>
      </c>
    </row>
    <row r="303" s="37" customFormat="1" ht="15.75" spans="1:23">
      <c r="A303" s="110"/>
      <c r="B303" s="102"/>
      <c r="C303" s="102"/>
      <c r="D303" s="115"/>
      <c r="E303" s="115"/>
      <c r="F303" s="108"/>
      <c r="G303" s="108"/>
      <c r="H303" s="109" t="s">
        <v>132</v>
      </c>
      <c r="I303" s="109" t="s">
        <v>133</v>
      </c>
      <c r="J303" s="63" t="s">
        <v>108</v>
      </c>
      <c r="K303" s="109" t="s">
        <v>88</v>
      </c>
      <c r="L303" s="54">
        <v>70</v>
      </c>
      <c r="M303" s="54" t="s">
        <v>234</v>
      </c>
      <c r="N303" s="109" t="s">
        <v>110</v>
      </c>
      <c r="O303" s="102"/>
      <c r="P303" s="110"/>
      <c r="Q303" s="110"/>
      <c r="R303" s="110"/>
      <c r="S303" s="110"/>
      <c r="T303" s="110"/>
      <c r="U303" s="110"/>
      <c r="V303" s="110"/>
      <c r="W303" s="110"/>
    </row>
    <row r="304" ht="15.75" customHeight="1" spans="1:23">
      <c r="A304" s="102" t="s">
        <v>583</v>
      </c>
      <c r="B304" s="102" t="s">
        <v>584</v>
      </c>
      <c r="C304" s="102" t="s">
        <v>83</v>
      </c>
      <c r="D304" s="66" t="s">
        <v>102</v>
      </c>
      <c r="E304" s="66" t="s">
        <v>103</v>
      </c>
      <c r="F304" s="108" t="s">
        <v>585</v>
      </c>
      <c r="G304" s="108" t="s">
        <v>586</v>
      </c>
      <c r="H304" s="109" t="s">
        <v>254</v>
      </c>
      <c r="I304" s="109" t="s">
        <v>255</v>
      </c>
      <c r="J304" s="63" t="s">
        <v>108</v>
      </c>
      <c r="K304" s="109" t="s">
        <v>93</v>
      </c>
      <c r="L304" s="54">
        <v>84</v>
      </c>
      <c r="M304" s="54" t="s">
        <v>135</v>
      </c>
      <c r="N304" s="109" t="s">
        <v>110</v>
      </c>
      <c r="O304" s="102" t="s">
        <v>27</v>
      </c>
      <c r="P304" s="110" t="s">
        <v>257</v>
      </c>
      <c r="Q304" s="110" t="s">
        <v>112</v>
      </c>
      <c r="R304" s="110" t="s">
        <v>128</v>
      </c>
      <c r="S304" s="110" t="s">
        <v>258</v>
      </c>
      <c r="T304" s="110" t="s">
        <v>259</v>
      </c>
      <c r="U304" s="110" t="s">
        <v>587</v>
      </c>
      <c r="V304" s="110" t="s">
        <v>588</v>
      </c>
      <c r="W304" s="110" t="s">
        <v>262</v>
      </c>
    </row>
    <row r="305" customHeight="1" spans="1:23">
      <c r="A305" s="102"/>
      <c r="B305" s="102"/>
      <c r="C305" s="102"/>
      <c r="D305" s="66"/>
      <c r="E305" s="66"/>
      <c r="F305" s="108"/>
      <c r="G305" s="108"/>
      <c r="H305" s="122" t="s">
        <v>91</v>
      </c>
      <c r="I305" s="104" t="s">
        <v>92</v>
      </c>
      <c r="J305" s="63" t="s">
        <v>87</v>
      </c>
      <c r="K305" s="104" t="s">
        <v>93</v>
      </c>
      <c r="L305" s="54">
        <v>84</v>
      </c>
      <c r="M305" s="54" t="s">
        <v>135</v>
      </c>
      <c r="N305" s="104" t="s">
        <v>90</v>
      </c>
      <c r="O305" s="102"/>
      <c r="P305" s="110"/>
      <c r="Q305" s="110"/>
      <c r="R305" s="110"/>
      <c r="S305" s="110"/>
      <c r="T305" s="110"/>
      <c r="U305" s="110"/>
      <c r="V305" s="110"/>
      <c r="W305" s="110"/>
    </row>
    <row r="306" ht="15.75" customHeight="1" spans="1:23">
      <c r="A306" s="105" t="s">
        <v>589</v>
      </c>
      <c r="B306" s="106" t="s">
        <v>590</v>
      </c>
      <c r="C306" s="106" t="s">
        <v>173</v>
      </c>
      <c r="D306" s="61" t="s">
        <v>102</v>
      </c>
      <c r="E306" s="61" t="s">
        <v>103</v>
      </c>
      <c r="F306" s="107" t="s">
        <v>591</v>
      </c>
      <c r="G306" s="107" t="s">
        <v>592</v>
      </c>
      <c r="H306" s="104" t="s">
        <v>218</v>
      </c>
      <c r="I306" s="104" t="s">
        <v>294</v>
      </c>
      <c r="J306" s="63" t="s">
        <v>108</v>
      </c>
      <c r="K306" s="76" t="s">
        <v>93</v>
      </c>
      <c r="L306" s="54">
        <v>20</v>
      </c>
      <c r="M306" s="54" t="s">
        <v>419</v>
      </c>
      <c r="N306" s="104" t="s">
        <v>110</v>
      </c>
      <c r="O306" s="106" t="s">
        <v>21</v>
      </c>
      <c r="P306" s="105" t="s">
        <v>189</v>
      </c>
      <c r="Q306" s="105" t="s">
        <v>112</v>
      </c>
      <c r="R306" s="105" t="s">
        <v>161</v>
      </c>
      <c r="S306" s="105" t="s">
        <v>190</v>
      </c>
      <c r="T306" s="105" t="s">
        <v>23</v>
      </c>
      <c r="U306" s="105" t="s">
        <v>593</v>
      </c>
      <c r="V306" s="105" t="s">
        <v>116</v>
      </c>
      <c r="W306" s="105" t="s">
        <v>117</v>
      </c>
    </row>
    <row r="307" ht="15.75" customHeight="1" spans="1:23">
      <c r="A307" s="105"/>
      <c r="B307" s="106"/>
      <c r="C307" s="106"/>
      <c r="D307" s="61" t="s">
        <v>102</v>
      </c>
      <c r="E307" s="61" t="s">
        <v>103</v>
      </c>
      <c r="F307" s="107"/>
      <c r="G307" s="107"/>
      <c r="H307" s="104" t="s">
        <v>119</v>
      </c>
      <c r="I307" s="104" t="s">
        <v>120</v>
      </c>
      <c r="J307" s="63" t="s">
        <v>108</v>
      </c>
      <c r="K307" s="76" t="s">
        <v>93</v>
      </c>
      <c r="L307" s="54">
        <v>15</v>
      </c>
      <c r="M307" s="54" t="s">
        <v>98</v>
      </c>
      <c r="N307" s="104" t="s">
        <v>99</v>
      </c>
      <c r="O307" s="106" t="s">
        <v>21</v>
      </c>
      <c r="P307" s="105" t="s">
        <v>189</v>
      </c>
      <c r="Q307" s="105" t="s">
        <v>112</v>
      </c>
      <c r="R307" s="105" t="s">
        <v>161</v>
      </c>
      <c r="S307" s="105" t="s">
        <v>190</v>
      </c>
      <c r="T307" s="105" t="s">
        <v>23</v>
      </c>
      <c r="U307" s="105" t="s">
        <v>593</v>
      </c>
      <c r="V307" s="105" t="s">
        <v>116</v>
      </c>
      <c r="W307" s="105" t="s">
        <v>117</v>
      </c>
    </row>
    <row r="308" ht="15.75" customHeight="1" spans="1:23">
      <c r="A308" s="105"/>
      <c r="B308" s="106"/>
      <c r="C308" s="106"/>
      <c r="D308" s="61" t="s">
        <v>102</v>
      </c>
      <c r="E308" s="61" t="s">
        <v>103</v>
      </c>
      <c r="F308" s="107"/>
      <c r="G308" s="107"/>
      <c r="H308" s="104" t="s">
        <v>119</v>
      </c>
      <c r="I308" s="104" t="s">
        <v>296</v>
      </c>
      <c r="J308" s="63" t="s">
        <v>108</v>
      </c>
      <c r="K308" s="76" t="s">
        <v>93</v>
      </c>
      <c r="L308" s="54">
        <v>15</v>
      </c>
      <c r="M308" s="54" t="s">
        <v>98</v>
      </c>
      <c r="N308" s="104" t="s">
        <v>99</v>
      </c>
      <c r="O308" s="106" t="s">
        <v>21</v>
      </c>
      <c r="P308" s="105" t="s">
        <v>189</v>
      </c>
      <c r="Q308" s="105" t="s">
        <v>112</v>
      </c>
      <c r="R308" s="105" t="s">
        <v>161</v>
      </c>
      <c r="S308" s="105" t="s">
        <v>190</v>
      </c>
      <c r="T308" s="105" t="s">
        <v>23</v>
      </c>
      <c r="U308" s="105" t="s">
        <v>593</v>
      </c>
      <c r="V308" s="105" t="s">
        <v>116</v>
      </c>
      <c r="W308" s="105" t="s">
        <v>117</v>
      </c>
    </row>
    <row r="309" ht="31.5" customHeight="1" spans="1:23">
      <c r="A309" s="105"/>
      <c r="B309" s="106"/>
      <c r="C309" s="106"/>
      <c r="D309" s="61" t="s">
        <v>102</v>
      </c>
      <c r="E309" s="61" t="s">
        <v>103</v>
      </c>
      <c r="F309" s="107"/>
      <c r="G309" s="107"/>
      <c r="H309" s="104" t="s">
        <v>218</v>
      </c>
      <c r="I309" s="104" t="s">
        <v>219</v>
      </c>
      <c r="J309" s="63" t="s">
        <v>108</v>
      </c>
      <c r="K309" s="76" t="s">
        <v>134</v>
      </c>
      <c r="L309" s="54">
        <v>10</v>
      </c>
      <c r="M309" s="54" t="s">
        <v>419</v>
      </c>
      <c r="N309" s="104" t="s">
        <v>110</v>
      </c>
      <c r="O309" s="106" t="s">
        <v>21</v>
      </c>
      <c r="P309" s="105" t="s">
        <v>189</v>
      </c>
      <c r="Q309" s="105" t="s">
        <v>112</v>
      </c>
      <c r="R309" s="105" t="s">
        <v>161</v>
      </c>
      <c r="S309" s="105" t="s">
        <v>190</v>
      </c>
      <c r="T309" s="105" t="s">
        <v>23</v>
      </c>
      <c r="U309" s="105" t="s">
        <v>593</v>
      </c>
      <c r="V309" s="105" t="s">
        <v>116</v>
      </c>
      <c r="W309" s="105" t="s">
        <v>117</v>
      </c>
    </row>
    <row r="310" ht="15.75" customHeight="1" spans="1:23">
      <c r="A310" s="102" t="s">
        <v>594</v>
      </c>
      <c r="B310" s="102" t="s">
        <v>595</v>
      </c>
      <c r="C310" s="102" t="s">
        <v>83</v>
      </c>
      <c r="D310" s="66" t="s">
        <v>102</v>
      </c>
      <c r="E310" s="66" t="s">
        <v>103</v>
      </c>
      <c r="F310" s="108" t="s">
        <v>596</v>
      </c>
      <c r="G310" s="108" t="s">
        <v>597</v>
      </c>
      <c r="H310" s="122" t="s">
        <v>254</v>
      </c>
      <c r="I310" s="104" t="s">
        <v>255</v>
      </c>
      <c r="J310" s="63" t="s">
        <v>108</v>
      </c>
      <c r="K310" s="104" t="s">
        <v>93</v>
      </c>
      <c r="L310" s="54">
        <v>84</v>
      </c>
      <c r="M310" s="54" t="s">
        <v>598</v>
      </c>
      <c r="N310" s="104" t="s">
        <v>110</v>
      </c>
      <c r="O310" s="102" t="s">
        <v>27</v>
      </c>
      <c r="P310" s="110" t="s">
        <v>257</v>
      </c>
      <c r="Q310" s="110" t="s">
        <v>112</v>
      </c>
      <c r="R310" s="110" t="s">
        <v>128</v>
      </c>
      <c r="S310" s="110" t="s">
        <v>258</v>
      </c>
      <c r="T310" s="110" t="s">
        <v>259</v>
      </c>
      <c r="U310" s="110" t="s">
        <v>599</v>
      </c>
      <c r="V310" s="110" t="s">
        <v>600</v>
      </c>
      <c r="W310" s="110" t="s">
        <v>601</v>
      </c>
    </row>
    <row r="311" customHeight="1" spans="1:23">
      <c r="A311" s="110"/>
      <c r="B311" s="102"/>
      <c r="C311" s="102"/>
      <c r="D311" s="66"/>
      <c r="E311" s="66"/>
      <c r="F311" s="108"/>
      <c r="G311" s="108"/>
      <c r="H311" s="109" t="s">
        <v>91</v>
      </c>
      <c r="I311" s="109" t="s">
        <v>92</v>
      </c>
      <c r="J311" s="63" t="s">
        <v>87</v>
      </c>
      <c r="K311" s="109" t="s">
        <v>93</v>
      </c>
      <c r="L311" s="54">
        <v>84</v>
      </c>
      <c r="M311" s="54" t="s">
        <v>598</v>
      </c>
      <c r="N311" s="109" t="s">
        <v>90</v>
      </c>
      <c r="O311" s="102"/>
      <c r="P311" s="110"/>
      <c r="Q311" s="110"/>
      <c r="R311" s="110"/>
      <c r="S311" s="110"/>
      <c r="T311" s="110"/>
      <c r="U311" s="110"/>
      <c r="V311" s="110"/>
      <c r="W311" s="110"/>
    </row>
    <row r="312" customHeight="1" spans="1:23">
      <c r="A312" s="123" t="s">
        <v>25</v>
      </c>
      <c r="B312" s="123" t="s">
        <v>24</v>
      </c>
      <c r="C312" s="123" t="s">
        <v>173</v>
      </c>
      <c r="D312" s="118"/>
      <c r="E312" s="118"/>
      <c r="F312" s="124" t="s">
        <v>602</v>
      </c>
      <c r="G312" s="124" t="s">
        <v>603</v>
      </c>
      <c r="H312" s="125" t="s">
        <v>85</v>
      </c>
      <c r="I312" s="125" t="s">
        <v>86</v>
      </c>
      <c r="J312" s="63" t="s">
        <v>87</v>
      </c>
      <c r="K312" s="125" t="s">
        <v>93</v>
      </c>
      <c r="L312" s="54">
        <v>3</v>
      </c>
      <c r="M312" s="54" t="s">
        <v>274</v>
      </c>
      <c r="N312" s="125" t="s">
        <v>110</v>
      </c>
      <c r="O312" s="123" t="s">
        <v>24</v>
      </c>
      <c r="P312" s="126" t="s">
        <v>275</v>
      </c>
      <c r="Q312" s="126" t="s">
        <v>112</v>
      </c>
      <c r="R312" s="126" t="s">
        <v>276</v>
      </c>
      <c r="S312" s="126" t="s">
        <v>277</v>
      </c>
      <c r="T312" s="126" t="s">
        <v>26</v>
      </c>
      <c r="U312" s="126" t="s">
        <v>604</v>
      </c>
      <c r="V312" s="126" t="s">
        <v>116</v>
      </c>
      <c r="W312" s="126" t="s">
        <v>117</v>
      </c>
    </row>
    <row r="313" customHeight="1" spans="1:23">
      <c r="A313" s="123"/>
      <c r="B313" s="123"/>
      <c r="C313" s="123"/>
      <c r="D313" s="118"/>
      <c r="E313" s="118"/>
      <c r="F313" s="124"/>
      <c r="G313" s="124"/>
      <c r="H313" s="125" t="s">
        <v>85</v>
      </c>
      <c r="I313" s="125" t="s">
        <v>267</v>
      </c>
      <c r="J313" s="63" t="s">
        <v>87</v>
      </c>
      <c r="K313" s="125" t="s">
        <v>93</v>
      </c>
      <c r="L313" s="54">
        <v>1</v>
      </c>
      <c r="M313" s="54" t="s">
        <v>274</v>
      </c>
      <c r="N313" s="125" t="s">
        <v>110</v>
      </c>
      <c r="O313" s="123"/>
      <c r="P313" s="126"/>
      <c r="Q313" s="126"/>
      <c r="R313" s="126"/>
      <c r="S313" s="126"/>
      <c r="T313" s="126"/>
      <c r="U313" s="126"/>
      <c r="V313" s="126"/>
      <c r="W313" s="126"/>
    </row>
    <row r="314" ht="15.75" customHeight="1" spans="1:23">
      <c r="A314" s="123"/>
      <c r="B314" s="123"/>
      <c r="C314" s="123"/>
      <c r="D314" s="118"/>
      <c r="E314" s="118"/>
      <c r="F314" s="124"/>
      <c r="G314" s="124"/>
      <c r="H314" s="125" t="s">
        <v>85</v>
      </c>
      <c r="I314" s="125" t="s">
        <v>209</v>
      </c>
      <c r="J314" s="63" t="s">
        <v>108</v>
      </c>
      <c r="K314" s="125" t="s">
        <v>134</v>
      </c>
      <c r="L314" s="54">
        <v>5</v>
      </c>
      <c r="M314" s="54" t="s">
        <v>279</v>
      </c>
      <c r="N314" s="125" t="s">
        <v>110</v>
      </c>
      <c r="O314" s="123"/>
      <c r="P314" s="126"/>
      <c r="Q314" s="126"/>
      <c r="R314" s="126"/>
      <c r="S314" s="126"/>
      <c r="T314" s="126"/>
      <c r="U314" s="126"/>
      <c r="V314" s="126"/>
      <c r="W314" s="126"/>
    </row>
    <row r="315" ht="15.75" customHeight="1" spans="1:23">
      <c r="A315" s="123"/>
      <c r="B315" s="123"/>
      <c r="C315" s="123"/>
      <c r="D315" s="118"/>
      <c r="E315" s="118"/>
      <c r="F315" s="124"/>
      <c r="G315" s="124"/>
      <c r="H315" s="127" t="s">
        <v>91</v>
      </c>
      <c r="I315" s="127" t="s">
        <v>209</v>
      </c>
      <c r="J315" s="63" t="s">
        <v>108</v>
      </c>
      <c r="K315" s="127" t="s">
        <v>88</v>
      </c>
      <c r="L315" s="54">
        <v>5</v>
      </c>
      <c r="M315" s="54" t="s">
        <v>279</v>
      </c>
      <c r="N315" s="125" t="s">
        <v>110</v>
      </c>
      <c r="O315" s="123"/>
      <c r="P315" s="126"/>
      <c r="Q315" s="126"/>
      <c r="R315" s="126"/>
      <c r="S315" s="126"/>
      <c r="T315" s="126"/>
      <c r="U315" s="126"/>
      <c r="V315" s="126"/>
      <c r="W315" s="126"/>
    </row>
    <row r="316" ht="15.75" customHeight="1" spans="1:23">
      <c r="A316" s="123"/>
      <c r="B316" s="123"/>
      <c r="C316" s="123"/>
      <c r="D316" s="118"/>
      <c r="E316" s="118"/>
      <c r="F316" s="124"/>
      <c r="G316" s="124"/>
      <c r="H316" s="127" t="s">
        <v>91</v>
      </c>
      <c r="I316" s="127" t="s">
        <v>183</v>
      </c>
      <c r="J316" s="63" t="s">
        <v>108</v>
      </c>
      <c r="K316" s="127" t="s">
        <v>134</v>
      </c>
      <c r="L316" s="54">
        <v>5</v>
      </c>
      <c r="M316" s="54" t="s">
        <v>280</v>
      </c>
      <c r="N316" s="125" t="s">
        <v>110</v>
      </c>
      <c r="O316" s="123"/>
      <c r="P316" s="126"/>
      <c r="Q316" s="126"/>
      <c r="R316" s="126"/>
      <c r="S316" s="126"/>
      <c r="T316" s="126"/>
      <c r="U316" s="126"/>
      <c r="V316" s="126"/>
      <c r="W316" s="126"/>
    </row>
    <row r="317" ht="15.75" customHeight="1" spans="1:23">
      <c r="A317" s="123"/>
      <c r="B317" s="123"/>
      <c r="C317" s="123"/>
      <c r="D317" s="118"/>
      <c r="E317" s="118"/>
      <c r="F317" s="124"/>
      <c r="G317" s="124"/>
      <c r="H317" s="127" t="s">
        <v>132</v>
      </c>
      <c r="I317" s="127" t="s">
        <v>133</v>
      </c>
      <c r="J317" s="63" t="s">
        <v>108</v>
      </c>
      <c r="K317" s="127" t="s">
        <v>134</v>
      </c>
      <c r="L317" s="54">
        <v>2</v>
      </c>
      <c r="M317" s="54" t="s">
        <v>280</v>
      </c>
      <c r="N317" s="125" t="s">
        <v>110</v>
      </c>
      <c r="O317" s="123"/>
      <c r="P317" s="126"/>
      <c r="Q317" s="126"/>
      <c r="R317" s="126"/>
      <c r="S317" s="126"/>
      <c r="T317" s="126"/>
      <c r="U317" s="126"/>
      <c r="V317" s="126"/>
      <c r="W317" s="126"/>
    </row>
    <row r="318" customHeight="1" spans="1:23">
      <c r="A318" s="123"/>
      <c r="B318" s="123"/>
      <c r="C318" s="123"/>
      <c r="D318" s="118"/>
      <c r="E318" s="118"/>
      <c r="F318" s="124"/>
      <c r="G318" s="124"/>
      <c r="H318" s="127" t="s">
        <v>106</v>
      </c>
      <c r="I318" s="127" t="s">
        <v>281</v>
      </c>
      <c r="J318" s="63" t="s">
        <v>87</v>
      </c>
      <c r="K318" s="127" t="s">
        <v>93</v>
      </c>
      <c r="L318" s="54">
        <v>2</v>
      </c>
      <c r="M318" s="54" t="s">
        <v>282</v>
      </c>
      <c r="N318" s="127" t="s">
        <v>110</v>
      </c>
      <c r="O318" s="123"/>
      <c r="P318" s="126"/>
      <c r="Q318" s="126"/>
      <c r="R318" s="126"/>
      <c r="S318" s="126"/>
      <c r="T318" s="126"/>
      <c r="U318" s="126"/>
      <c r="V318" s="126"/>
      <c r="W318" s="126"/>
    </row>
    <row r="319" ht="15.75" customHeight="1" spans="1:23">
      <c r="A319" s="123"/>
      <c r="B319" s="123"/>
      <c r="C319" s="123"/>
      <c r="D319" s="118"/>
      <c r="E319" s="118"/>
      <c r="F319" s="124"/>
      <c r="G319" s="124"/>
      <c r="H319" s="127" t="s">
        <v>106</v>
      </c>
      <c r="I319" s="128" t="s">
        <v>107</v>
      </c>
      <c r="J319" s="63" t="s">
        <v>108</v>
      </c>
      <c r="K319" s="128" t="s">
        <v>93</v>
      </c>
      <c r="L319" s="54">
        <v>7</v>
      </c>
      <c r="M319" s="54" t="s">
        <v>282</v>
      </c>
      <c r="N319" s="128" t="s">
        <v>110</v>
      </c>
      <c r="O319" s="123"/>
      <c r="P319" s="126"/>
      <c r="Q319" s="126"/>
      <c r="R319" s="126"/>
      <c r="S319" s="126"/>
      <c r="T319" s="126"/>
      <c r="U319" s="126"/>
      <c r="V319" s="126"/>
      <c r="W319" s="126"/>
    </row>
    <row r="320" ht="15.75" customHeight="1" spans="1:23">
      <c r="A320" s="123"/>
      <c r="B320" s="123"/>
      <c r="C320" s="123"/>
      <c r="D320" s="118"/>
      <c r="E320" s="118"/>
      <c r="F320" s="124"/>
      <c r="G320" s="124"/>
      <c r="H320" s="127" t="s">
        <v>106</v>
      </c>
      <c r="I320" s="128" t="s">
        <v>170</v>
      </c>
      <c r="J320" s="63" t="s">
        <v>108</v>
      </c>
      <c r="K320" s="128" t="s">
        <v>134</v>
      </c>
      <c r="L320" s="54">
        <v>7</v>
      </c>
      <c r="M320" s="54" t="s">
        <v>282</v>
      </c>
      <c r="N320" s="128" t="s">
        <v>110</v>
      </c>
      <c r="O320" s="123"/>
      <c r="P320" s="126"/>
      <c r="Q320" s="126"/>
      <c r="R320" s="126"/>
      <c r="S320" s="126"/>
      <c r="T320" s="126"/>
      <c r="U320" s="126"/>
      <c r="V320" s="126"/>
      <c r="W320" s="126"/>
    </row>
    <row r="321" ht="15.75" customHeight="1" spans="1:23">
      <c r="A321" s="123"/>
      <c r="B321" s="123"/>
      <c r="C321" s="123"/>
      <c r="D321" s="118"/>
      <c r="E321" s="118"/>
      <c r="F321" s="124"/>
      <c r="G321" s="124"/>
      <c r="H321" s="127" t="s">
        <v>106</v>
      </c>
      <c r="I321" s="128" t="s">
        <v>166</v>
      </c>
      <c r="J321" s="63" t="s">
        <v>108</v>
      </c>
      <c r="K321" s="128" t="s">
        <v>88</v>
      </c>
      <c r="L321" s="54">
        <v>10</v>
      </c>
      <c r="M321" s="54" t="s">
        <v>282</v>
      </c>
      <c r="N321" s="128" t="s">
        <v>110</v>
      </c>
      <c r="O321" s="123"/>
      <c r="P321" s="126"/>
      <c r="Q321" s="126"/>
      <c r="R321" s="126"/>
      <c r="S321" s="126"/>
      <c r="T321" s="126"/>
      <c r="U321" s="126"/>
      <c r="V321" s="126"/>
      <c r="W321" s="126"/>
    </row>
    <row r="322" ht="15.75" customHeight="1" spans="1:23">
      <c r="A322" s="123"/>
      <c r="B322" s="123"/>
      <c r="C322" s="123"/>
      <c r="D322" s="118"/>
      <c r="E322" s="118"/>
      <c r="F322" s="124"/>
      <c r="G322" s="124"/>
      <c r="H322" s="127" t="s">
        <v>106</v>
      </c>
      <c r="I322" s="128" t="s">
        <v>283</v>
      </c>
      <c r="J322" s="63" t="s">
        <v>108</v>
      </c>
      <c r="K322" s="128" t="s">
        <v>134</v>
      </c>
      <c r="L322" s="54">
        <v>10</v>
      </c>
      <c r="M322" s="54" t="s">
        <v>282</v>
      </c>
      <c r="N322" s="128" t="s">
        <v>110</v>
      </c>
      <c r="O322" s="123"/>
      <c r="P322" s="126"/>
      <c r="Q322" s="126"/>
      <c r="R322" s="126"/>
      <c r="S322" s="126"/>
      <c r="T322" s="126"/>
      <c r="U322" s="126"/>
      <c r="V322" s="126"/>
      <c r="W322" s="126"/>
    </row>
    <row r="323" customHeight="1" spans="1:23">
      <c r="A323" s="123"/>
      <c r="B323" s="123"/>
      <c r="C323" s="123"/>
      <c r="D323" s="118"/>
      <c r="E323" s="118"/>
      <c r="F323" s="124"/>
      <c r="G323" s="124"/>
      <c r="H323" s="127" t="s">
        <v>106</v>
      </c>
      <c r="I323" s="128" t="s">
        <v>249</v>
      </c>
      <c r="J323" s="63" t="s">
        <v>87</v>
      </c>
      <c r="K323" s="128" t="s">
        <v>93</v>
      </c>
      <c r="L323" s="54">
        <v>7</v>
      </c>
      <c r="M323" s="54" t="s">
        <v>282</v>
      </c>
      <c r="N323" s="128" t="s">
        <v>110</v>
      </c>
      <c r="O323" s="123"/>
      <c r="P323" s="126"/>
      <c r="Q323" s="126"/>
      <c r="R323" s="126"/>
      <c r="S323" s="126"/>
      <c r="T323" s="126"/>
      <c r="U323" s="126"/>
      <c r="V323" s="126"/>
      <c r="W323" s="126"/>
    </row>
    <row r="324" ht="15.75" customHeight="1" spans="1:23">
      <c r="A324" s="123"/>
      <c r="B324" s="123"/>
      <c r="C324" s="123"/>
      <c r="D324" s="118"/>
      <c r="E324" s="118"/>
      <c r="F324" s="124"/>
      <c r="G324" s="124"/>
      <c r="H324" s="127" t="s">
        <v>106</v>
      </c>
      <c r="I324" s="128" t="s">
        <v>284</v>
      </c>
      <c r="J324" s="63" t="s">
        <v>108</v>
      </c>
      <c r="K324" s="128" t="s">
        <v>88</v>
      </c>
      <c r="L324" s="54">
        <v>10</v>
      </c>
      <c r="M324" s="54" t="s">
        <v>282</v>
      </c>
      <c r="N324" s="128" t="s">
        <v>110</v>
      </c>
      <c r="O324" s="123"/>
      <c r="P324" s="126"/>
      <c r="Q324" s="126"/>
      <c r="R324" s="126"/>
      <c r="S324" s="126"/>
      <c r="T324" s="126"/>
      <c r="U324" s="126"/>
      <c r="V324" s="126"/>
      <c r="W324" s="126"/>
    </row>
    <row r="325" ht="15.75" customHeight="1" spans="1:23">
      <c r="A325" s="123"/>
      <c r="B325" s="123"/>
      <c r="C325" s="123"/>
      <c r="D325" s="118"/>
      <c r="E325" s="118"/>
      <c r="F325" s="124"/>
      <c r="G325" s="124"/>
      <c r="H325" s="127" t="s">
        <v>119</v>
      </c>
      <c r="I325" s="128" t="s">
        <v>120</v>
      </c>
      <c r="J325" s="63" t="s">
        <v>108</v>
      </c>
      <c r="K325" s="128" t="s">
        <v>93</v>
      </c>
      <c r="L325" s="54">
        <v>21</v>
      </c>
      <c r="M325" s="54" t="s">
        <v>282</v>
      </c>
      <c r="N325" s="128" t="s">
        <v>99</v>
      </c>
      <c r="O325" s="123"/>
      <c r="P325" s="126"/>
      <c r="Q325" s="126"/>
      <c r="R325" s="126"/>
      <c r="S325" s="126"/>
      <c r="T325" s="126"/>
      <c r="U325" s="126"/>
      <c r="V325" s="126"/>
      <c r="W325" s="126"/>
    </row>
    <row r="326" ht="15.75" customHeight="1" spans="1:23">
      <c r="A326" s="123"/>
      <c r="B326" s="123"/>
      <c r="C326" s="123"/>
      <c r="D326" s="118"/>
      <c r="E326" s="118"/>
      <c r="F326" s="124"/>
      <c r="G326" s="124"/>
      <c r="H326" s="127" t="s">
        <v>119</v>
      </c>
      <c r="I326" s="128" t="s">
        <v>183</v>
      </c>
      <c r="J326" s="63" t="s">
        <v>108</v>
      </c>
      <c r="K326" s="128" t="s">
        <v>93</v>
      </c>
      <c r="L326" s="54">
        <v>21</v>
      </c>
      <c r="M326" s="54" t="s">
        <v>98</v>
      </c>
      <c r="N326" s="128" t="s">
        <v>99</v>
      </c>
      <c r="O326" s="123"/>
      <c r="P326" s="126"/>
      <c r="Q326" s="126"/>
      <c r="R326" s="126"/>
      <c r="S326" s="126"/>
      <c r="T326" s="126"/>
      <c r="U326" s="126"/>
      <c r="V326" s="126"/>
      <c r="W326" s="126"/>
    </row>
    <row r="327" ht="15.75" customHeight="1" spans="1:23">
      <c r="A327" s="123"/>
      <c r="B327" s="123"/>
      <c r="C327" s="123"/>
      <c r="D327" s="118"/>
      <c r="E327" s="118"/>
      <c r="F327" s="124"/>
      <c r="G327" s="124"/>
      <c r="H327" s="127" t="s">
        <v>95</v>
      </c>
      <c r="I327" s="127" t="s">
        <v>285</v>
      </c>
      <c r="J327" s="63" t="s">
        <v>108</v>
      </c>
      <c r="K327" s="127" t="s">
        <v>134</v>
      </c>
      <c r="L327" s="54">
        <v>10</v>
      </c>
      <c r="M327" s="54" t="s">
        <v>605</v>
      </c>
      <c r="N327" s="125" t="s">
        <v>110</v>
      </c>
      <c r="O327" s="123"/>
      <c r="P327" s="126"/>
      <c r="Q327" s="126"/>
      <c r="R327" s="126"/>
      <c r="S327" s="126"/>
      <c r="T327" s="126"/>
      <c r="U327" s="126"/>
      <c r="V327" s="126"/>
      <c r="W327" s="126"/>
    </row>
    <row r="328" ht="15.75" customHeight="1" spans="1:23">
      <c r="A328" s="123"/>
      <c r="B328" s="123"/>
      <c r="C328" s="123"/>
      <c r="D328" s="118"/>
      <c r="E328" s="118"/>
      <c r="F328" s="124"/>
      <c r="G328" s="124"/>
      <c r="H328" s="127" t="s">
        <v>254</v>
      </c>
      <c r="I328" s="127" t="s">
        <v>255</v>
      </c>
      <c r="J328" s="63" t="s">
        <v>108</v>
      </c>
      <c r="K328" s="127" t="s">
        <v>134</v>
      </c>
      <c r="L328" s="54">
        <v>10</v>
      </c>
      <c r="M328" s="54" t="s">
        <v>282</v>
      </c>
      <c r="N328" s="125" t="s">
        <v>99</v>
      </c>
      <c r="O328" s="123"/>
      <c r="P328" s="126"/>
      <c r="Q328" s="126"/>
      <c r="R328" s="126"/>
      <c r="S328" s="126"/>
      <c r="T328" s="126"/>
      <c r="U328" s="126"/>
      <c r="V328" s="126"/>
      <c r="W328" s="126"/>
    </row>
    <row r="329" customHeight="1" spans="1:23">
      <c r="A329" s="123"/>
      <c r="B329" s="123"/>
      <c r="C329" s="123"/>
      <c r="D329" s="118"/>
      <c r="E329" s="118"/>
      <c r="F329" s="124"/>
      <c r="G329" s="124"/>
      <c r="H329" s="127" t="s">
        <v>254</v>
      </c>
      <c r="I329" s="127" t="s">
        <v>286</v>
      </c>
      <c r="J329" s="63" t="s">
        <v>87</v>
      </c>
      <c r="K329" s="127" t="s">
        <v>134</v>
      </c>
      <c r="L329" s="54">
        <v>8</v>
      </c>
      <c r="M329" s="54" t="s">
        <v>282</v>
      </c>
      <c r="N329" s="125" t="s">
        <v>99</v>
      </c>
      <c r="O329" s="123"/>
      <c r="P329" s="126"/>
      <c r="Q329" s="126"/>
      <c r="R329" s="126"/>
      <c r="S329" s="126"/>
      <c r="T329" s="126"/>
      <c r="U329" s="126"/>
      <c r="V329" s="126"/>
      <c r="W329" s="126"/>
    </row>
    <row r="330" ht="15.75" customHeight="1" spans="1:23">
      <c r="A330" s="123"/>
      <c r="B330" s="123"/>
      <c r="C330" s="123"/>
      <c r="D330" s="118"/>
      <c r="E330" s="118"/>
      <c r="F330" s="124"/>
      <c r="G330" s="124"/>
      <c r="H330" s="127" t="s">
        <v>95</v>
      </c>
      <c r="I330" s="127" t="s">
        <v>377</v>
      </c>
      <c r="J330" s="63" t="s">
        <v>108</v>
      </c>
      <c r="K330" s="127" t="s">
        <v>93</v>
      </c>
      <c r="L330" s="54">
        <v>2</v>
      </c>
      <c r="M330" s="54" t="s">
        <v>98</v>
      </c>
      <c r="N330" s="127" t="s">
        <v>99</v>
      </c>
      <c r="O330" s="123"/>
      <c r="P330" s="126"/>
      <c r="Q330" s="126"/>
      <c r="R330" s="126"/>
      <c r="S330" s="126"/>
      <c r="T330" s="126"/>
      <c r="U330" s="126"/>
      <c r="V330" s="126"/>
      <c r="W330" s="126"/>
    </row>
    <row r="331" ht="15.75" customHeight="1" spans="1:23">
      <c r="A331" s="123"/>
      <c r="B331" s="123"/>
      <c r="C331" s="123"/>
      <c r="D331" s="118"/>
      <c r="E331" s="118"/>
      <c r="F331" s="124"/>
      <c r="G331" s="124"/>
      <c r="H331" s="127" t="s">
        <v>95</v>
      </c>
      <c r="I331" s="127" t="s">
        <v>96</v>
      </c>
      <c r="J331" s="63" t="s">
        <v>97</v>
      </c>
      <c r="K331" s="127" t="s">
        <v>134</v>
      </c>
      <c r="L331" s="54">
        <v>3</v>
      </c>
      <c r="M331" s="54" t="s">
        <v>98</v>
      </c>
      <c r="N331" s="127" t="s">
        <v>99</v>
      </c>
      <c r="O331" s="123"/>
      <c r="P331" s="126"/>
      <c r="Q331" s="126"/>
      <c r="R331" s="126"/>
      <c r="S331" s="126"/>
      <c r="T331" s="126"/>
      <c r="U331" s="126"/>
      <c r="V331" s="126"/>
      <c r="W331" s="126"/>
    </row>
    <row r="332" ht="15.75" customHeight="1" spans="1:23">
      <c r="A332" s="123"/>
      <c r="B332" s="123"/>
      <c r="C332" s="123"/>
      <c r="D332" s="118"/>
      <c r="E332" s="118"/>
      <c r="F332" s="124"/>
      <c r="G332" s="124"/>
      <c r="H332" s="127" t="s">
        <v>157</v>
      </c>
      <c r="I332" s="127" t="s">
        <v>222</v>
      </c>
      <c r="J332" s="63" t="s">
        <v>108</v>
      </c>
      <c r="K332" s="127" t="s">
        <v>134</v>
      </c>
      <c r="L332" s="54">
        <v>4</v>
      </c>
      <c r="M332" s="54" t="s">
        <v>282</v>
      </c>
      <c r="N332" s="127" t="s">
        <v>110</v>
      </c>
      <c r="O332" s="123"/>
      <c r="P332" s="126"/>
      <c r="Q332" s="126"/>
      <c r="R332" s="126"/>
      <c r="S332" s="126"/>
      <c r="T332" s="126"/>
      <c r="U332" s="126"/>
      <c r="V332" s="126"/>
      <c r="W332" s="126"/>
    </row>
    <row r="333" ht="15.75" customHeight="1" spans="1:23">
      <c r="A333" s="123"/>
      <c r="B333" s="123"/>
      <c r="C333" s="123"/>
      <c r="D333" s="118"/>
      <c r="E333" s="118"/>
      <c r="F333" s="124"/>
      <c r="G333" s="124"/>
      <c r="H333" s="127" t="s">
        <v>157</v>
      </c>
      <c r="I333" s="127" t="s">
        <v>158</v>
      </c>
      <c r="J333" s="63" t="s">
        <v>108</v>
      </c>
      <c r="K333" s="127" t="s">
        <v>134</v>
      </c>
      <c r="L333" s="54">
        <v>5</v>
      </c>
      <c r="M333" s="54" t="s">
        <v>282</v>
      </c>
      <c r="N333" s="127" t="s">
        <v>110</v>
      </c>
      <c r="O333" s="123"/>
      <c r="P333" s="126"/>
      <c r="Q333" s="126"/>
      <c r="R333" s="126"/>
      <c r="S333" s="126"/>
      <c r="T333" s="126"/>
      <c r="U333" s="126"/>
      <c r="V333" s="126"/>
      <c r="W333" s="126"/>
    </row>
    <row r="334" ht="15.75" customHeight="1" spans="1:23">
      <c r="A334" s="123"/>
      <c r="B334" s="123"/>
      <c r="C334" s="123"/>
      <c r="D334" s="118"/>
      <c r="E334" s="118"/>
      <c r="F334" s="124"/>
      <c r="G334" s="124"/>
      <c r="H334" s="127" t="s">
        <v>119</v>
      </c>
      <c r="I334" s="127" t="s">
        <v>212</v>
      </c>
      <c r="J334" s="63" t="s">
        <v>108</v>
      </c>
      <c r="K334" s="127" t="s">
        <v>93</v>
      </c>
      <c r="L334" s="54">
        <v>5</v>
      </c>
      <c r="M334" s="54" t="s">
        <v>98</v>
      </c>
      <c r="N334" s="127" t="s">
        <v>99</v>
      </c>
      <c r="O334" s="123"/>
      <c r="P334" s="126"/>
      <c r="Q334" s="126"/>
      <c r="R334" s="126"/>
      <c r="S334" s="126"/>
      <c r="T334" s="126"/>
      <c r="U334" s="126"/>
      <c r="V334" s="126"/>
      <c r="W334" s="126"/>
    </row>
    <row r="335" ht="15.75" customHeight="1" spans="1:23">
      <c r="A335" s="123"/>
      <c r="B335" s="123"/>
      <c r="C335" s="123"/>
      <c r="D335" s="118"/>
      <c r="E335" s="118"/>
      <c r="F335" s="124"/>
      <c r="G335" s="124"/>
      <c r="H335" s="129" t="s">
        <v>119</v>
      </c>
      <c r="I335" s="129" t="s">
        <v>211</v>
      </c>
      <c r="J335" s="63" t="s">
        <v>108</v>
      </c>
      <c r="K335" s="129" t="s">
        <v>93</v>
      </c>
      <c r="L335" s="54">
        <v>5</v>
      </c>
      <c r="M335" s="54" t="s">
        <v>98</v>
      </c>
      <c r="N335" s="129" t="s">
        <v>99</v>
      </c>
      <c r="O335" s="123"/>
      <c r="P335" s="126"/>
      <c r="Q335" s="126"/>
      <c r="R335" s="126"/>
      <c r="S335" s="126"/>
      <c r="T335" s="126"/>
      <c r="U335" s="126"/>
      <c r="V335" s="126"/>
      <c r="W335" s="126"/>
    </row>
    <row r="336" ht="15.75" customHeight="1" spans="1:23">
      <c r="A336" s="105" t="s">
        <v>606</v>
      </c>
      <c r="B336" s="106" t="s">
        <v>607</v>
      </c>
      <c r="C336" s="106" t="s">
        <v>173</v>
      </c>
      <c r="D336" s="61" t="s">
        <v>102</v>
      </c>
      <c r="E336" s="61" t="s">
        <v>103</v>
      </c>
      <c r="F336" s="107" t="s">
        <v>608</v>
      </c>
      <c r="G336" s="107" t="s">
        <v>609</v>
      </c>
      <c r="H336" s="104" t="s">
        <v>218</v>
      </c>
      <c r="I336" s="104" t="s">
        <v>291</v>
      </c>
      <c r="J336" s="63" t="s">
        <v>108</v>
      </c>
      <c r="K336" s="76" t="s">
        <v>134</v>
      </c>
      <c r="L336" s="54">
        <v>10</v>
      </c>
      <c r="M336" s="54" t="s">
        <v>476</v>
      </c>
      <c r="N336" s="104" t="s">
        <v>110</v>
      </c>
      <c r="O336" s="106" t="s">
        <v>21</v>
      </c>
      <c r="P336" s="105" t="s">
        <v>477</v>
      </c>
      <c r="Q336" s="105" t="s">
        <v>112</v>
      </c>
      <c r="R336" s="105" t="s">
        <v>161</v>
      </c>
      <c r="S336" s="105" t="s">
        <v>190</v>
      </c>
      <c r="T336" s="105" t="s">
        <v>23</v>
      </c>
      <c r="U336" s="105" t="s">
        <v>610</v>
      </c>
      <c r="V336" s="105" t="s">
        <v>116</v>
      </c>
      <c r="W336" s="105" t="s">
        <v>117</v>
      </c>
    </row>
    <row r="337" customHeight="1" spans="1:23">
      <c r="A337" s="105"/>
      <c r="B337" s="106"/>
      <c r="C337" s="106"/>
      <c r="D337" s="61" t="s">
        <v>102</v>
      </c>
      <c r="E337" s="61" t="s">
        <v>103</v>
      </c>
      <c r="F337" s="107"/>
      <c r="G337" s="107"/>
      <c r="H337" s="104" t="s">
        <v>106</v>
      </c>
      <c r="I337" s="130" t="s">
        <v>249</v>
      </c>
      <c r="J337" s="63" t="s">
        <v>87</v>
      </c>
      <c r="K337" s="76" t="s">
        <v>93</v>
      </c>
      <c r="L337" s="54">
        <v>20</v>
      </c>
      <c r="M337" s="54" t="s">
        <v>476</v>
      </c>
      <c r="N337" s="131" t="s">
        <v>110</v>
      </c>
      <c r="O337" s="106" t="s">
        <v>21</v>
      </c>
      <c r="P337" s="105" t="s">
        <v>477</v>
      </c>
      <c r="Q337" s="105" t="s">
        <v>112</v>
      </c>
      <c r="R337" s="105" t="s">
        <v>161</v>
      </c>
      <c r="S337" s="105" t="s">
        <v>190</v>
      </c>
      <c r="T337" s="105" t="s">
        <v>23</v>
      </c>
      <c r="U337" s="105" t="s">
        <v>610</v>
      </c>
      <c r="V337" s="105" t="s">
        <v>116</v>
      </c>
      <c r="W337" s="105" t="s">
        <v>117</v>
      </c>
    </row>
    <row r="338" customHeight="1" spans="1:23">
      <c r="A338" s="105"/>
      <c r="B338" s="106"/>
      <c r="C338" s="106"/>
      <c r="D338" s="61" t="s">
        <v>102</v>
      </c>
      <c r="E338" s="61" t="s">
        <v>103</v>
      </c>
      <c r="F338" s="107"/>
      <c r="G338" s="107"/>
      <c r="H338" s="104" t="s">
        <v>254</v>
      </c>
      <c r="I338" s="104" t="s">
        <v>286</v>
      </c>
      <c r="J338" s="63" t="s">
        <v>87</v>
      </c>
      <c r="K338" s="76" t="s">
        <v>93</v>
      </c>
      <c r="L338" s="54">
        <v>20</v>
      </c>
      <c r="M338" s="54" t="s">
        <v>279</v>
      </c>
      <c r="N338" s="104" t="s">
        <v>99</v>
      </c>
      <c r="O338" s="106" t="s">
        <v>21</v>
      </c>
      <c r="P338" s="105" t="s">
        <v>477</v>
      </c>
      <c r="Q338" s="105" t="s">
        <v>112</v>
      </c>
      <c r="R338" s="105" t="s">
        <v>161</v>
      </c>
      <c r="S338" s="105" t="s">
        <v>190</v>
      </c>
      <c r="T338" s="105" t="s">
        <v>23</v>
      </c>
      <c r="U338" s="105" t="s">
        <v>610</v>
      </c>
      <c r="V338" s="105" t="s">
        <v>116</v>
      </c>
      <c r="W338" s="105" t="s">
        <v>117</v>
      </c>
    </row>
    <row r="339" ht="15.75" customHeight="1" spans="1:23">
      <c r="A339" s="105"/>
      <c r="B339" s="106"/>
      <c r="C339" s="106"/>
      <c r="D339" s="61" t="s">
        <v>102</v>
      </c>
      <c r="E339" s="61" t="s">
        <v>103</v>
      </c>
      <c r="F339" s="107"/>
      <c r="G339" s="107"/>
      <c r="H339" s="104" t="s">
        <v>141</v>
      </c>
      <c r="I339" s="104" t="s">
        <v>538</v>
      </c>
      <c r="J339" s="63" t="s">
        <v>108</v>
      </c>
      <c r="K339" s="76" t="s">
        <v>134</v>
      </c>
      <c r="L339" s="54">
        <v>10</v>
      </c>
      <c r="M339" s="54" t="s">
        <v>279</v>
      </c>
      <c r="N339" s="104" t="s">
        <v>99</v>
      </c>
      <c r="O339" s="106" t="s">
        <v>21</v>
      </c>
      <c r="P339" s="105" t="s">
        <v>477</v>
      </c>
      <c r="Q339" s="105" t="s">
        <v>112</v>
      </c>
      <c r="R339" s="105" t="s">
        <v>161</v>
      </c>
      <c r="S339" s="105" t="s">
        <v>190</v>
      </c>
      <c r="T339" s="105" t="s">
        <v>23</v>
      </c>
      <c r="U339" s="105" t="s">
        <v>610</v>
      </c>
      <c r="V339" s="105" t="s">
        <v>116</v>
      </c>
      <c r="W339" s="105" t="s">
        <v>117</v>
      </c>
    </row>
    <row r="340" customHeight="1" spans="1:23">
      <c r="A340" s="102" t="s">
        <v>611</v>
      </c>
      <c r="B340" s="102" t="s">
        <v>612</v>
      </c>
      <c r="C340" s="102" t="s">
        <v>173</v>
      </c>
      <c r="D340" s="115"/>
      <c r="E340" s="115"/>
      <c r="F340" s="108" t="s">
        <v>613</v>
      </c>
      <c r="G340" s="108" t="s">
        <v>524</v>
      </c>
      <c r="H340" s="63" t="s">
        <v>85</v>
      </c>
      <c r="I340" s="63" t="s">
        <v>86</v>
      </c>
      <c r="J340" s="63" t="s">
        <v>87</v>
      </c>
      <c r="K340" s="63" t="s">
        <v>93</v>
      </c>
      <c r="L340" s="54">
        <v>1</v>
      </c>
      <c r="M340" s="54" t="s">
        <v>274</v>
      </c>
      <c r="N340" s="63" t="s">
        <v>110</v>
      </c>
      <c r="O340" s="102" t="s">
        <v>24</v>
      </c>
      <c r="P340" s="108" t="s">
        <v>275</v>
      </c>
      <c r="Q340" s="110" t="s">
        <v>112</v>
      </c>
      <c r="R340" s="110" t="s">
        <v>276</v>
      </c>
      <c r="S340" s="110" t="s">
        <v>277</v>
      </c>
      <c r="T340" s="110" t="s">
        <v>26</v>
      </c>
      <c r="U340" s="110" t="s">
        <v>614</v>
      </c>
      <c r="V340" s="110" t="s">
        <v>116</v>
      </c>
      <c r="W340" s="110" t="s">
        <v>117</v>
      </c>
    </row>
    <row r="341" customHeight="1" spans="1:23">
      <c r="A341" s="102"/>
      <c r="B341" s="102"/>
      <c r="C341" s="102"/>
      <c r="D341" s="115"/>
      <c r="E341" s="115"/>
      <c r="F341" s="108"/>
      <c r="G341" s="108"/>
      <c r="H341" s="63" t="s">
        <v>85</v>
      </c>
      <c r="I341" s="63" t="s">
        <v>267</v>
      </c>
      <c r="J341" s="63" t="s">
        <v>87</v>
      </c>
      <c r="K341" s="63" t="s">
        <v>93</v>
      </c>
      <c r="L341" s="54">
        <v>1</v>
      </c>
      <c r="M341" s="54" t="s">
        <v>274</v>
      </c>
      <c r="N341" s="63" t="s">
        <v>110</v>
      </c>
      <c r="O341" s="102"/>
      <c r="P341" s="108"/>
      <c r="Q341" s="110"/>
      <c r="R341" s="110"/>
      <c r="S341" s="110"/>
      <c r="T341" s="110"/>
      <c r="U341" s="110"/>
      <c r="V341" s="110"/>
      <c r="W341" s="110"/>
    </row>
    <row r="342" ht="15.75" customHeight="1" spans="1:23">
      <c r="A342" s="102"/>
      <c r="B342" s="102"/>
      <c r="C342" s="102"/>
      <c r="D342" s="115"/>
      <c r="E342" s="115"/>
      <c r="F342" s="108"/>
      <c r="G342" s="108"/>
      <c r="H342" s="63" t="s">
        <v>85</v>
      </c>
      <c r="I342" s="63" t="s">
        <v>209</v>
      </c>
      <c r="J342" s="63" t="s">
        <v>108</v>
      </c>
      <c r="K342" s="63" t="s">
        <v>134</v>
      </c>
      <c r="L342" s="54">
        <v>2</v>
      </c>
      <c r="M342" s="54" t="s">
        <v>279</v>
      </c>
      <c r="N342" s="63" t="s">
        <v>110</v>
      </c>
      <c r="O342" s="102"/>
      <c r="P342" s="108"/>
      <c r="Q342" s="110"/>
      <c r="R342" s="110"/>
      <c r="S342" s="110"/>
      <c r="T342" s="110"/>
      <c r="U342" s="110"/>
      <c r="V342" s="110"/>
      <c r="W342" s="110"/>
    </row>
    <row r="343" ht="15.75" customHeight="1" spans="1:23">
      <c r="A343" s="102"/>
      <c r="B343" s="102"/>
      <c r="C343" s="102"/>
      <c r="D343" s="115"/>
      <c r="E343" s="115"/>
      <c r="F343" s="108"/>
      <c r="G343" s="108"/>
      <c r="H343" s="71" t="s">
        <v>91</v>
      </c>
      <c r="I343" s="71" t="s">
        <v>209</v>
      </c>
      <c r="J343" s="63" t="s">
        <v>108</v>
      </c>
      <c r="K343" s="71" t="s">
        <v>88</v>
      </c>
      <c r="L343" s="54">
        <v>2</v>
      </c>
      <c r="M343" s="54" t="s">
        <v>279</v>
      </c>
      <c r="N343" s="63" t="s">
        <v>110</v>
      </c>
      <c r="O343" s="102"/>
      <c r="P343" s="108"/>
      <c r="Q343" s="110"/>
      <c r="R343" s="110"/>
      <c r="S343" s="110"/>
      <c r="T343" s="110"/>
      <c r="U343" s="110"/>
      <c r="V343" s="110"/>
      <c r="W343" s="110"/>
    </row>
    <row r="344" ht="15.75" customHeight="1" spans="1:23">
      <c r="A344" s="102"/>
      <c r="B344" s="102"/>
      <c r="C344" s="102"/>
      <c r="D344" s="115"/>
      <c r="E344" s="115"/>
      <c r="F344" s="108"/>
      <c r="G344" s="108"/>
      <c r="H344" s="71" t="s">
        <v>91</v>
      </c>
      <c r="I344" s="71" t="s">
        <v>183</v>
      </c>
      <c r="J344" s="63" t="s">
        <v>108</v>
      </c>
      <c r="K344" s="71" t="s">
        <v>134</v>
      </c>
      <c r="L344" s="54">
        <v>10</v>
      </c>
      <c r="M344" s="54" t="s">
        <v>280</v>
      </c>
      <c r="N344" s="63" t="s">
        <v>110</v>
      </c>
      <c r="O344" s="102"/>
      <c r="P344" s="108"/>
      <c r="Q344" s="110"/>
      <c r="R344" s="110"/>
      <c r="S344" s="110"/>
      <c r="T344" s="110"/>
      <c r="U344" s="110"/>
      <c r="V344" s="110"/>
      <c r="W344" s="110"/>
    </row>
    <row r="345" ht="15.75" customHeight="1" spans="1:23">
      <c r="A345" s="102"/>
      <c r="B345" s="102"/>
      <c r="C345" s="102"/>
      <c r="D345" s="115"/>
      <c r="E345" s="115"/>
      <c r="F345" s="108"/>
      <c r="G345" s="108"/>
      <c r="H345" s="71" t="s">
        <v>132</v>
      </c>
      <c r="I345" s="71" t="s">
        <v>133</v>
      </c>
      <c r="J345" s="63" t="s">
        <v>108</v>
      </c>
      <c r="K345" s="71" t="s">
        <v>134</v>
      </c>
      <c r="L345" s="54">
        <v>10</v>
      </c>
      <c r="M345" s="54" t="s">
        <v>280</v>
      </c>
      <c r="N345" s="63" t="s">
        <v>110</v>
      </c>
      <c r="O345" s="102"/>
      <c r="P345" s="108"/>
      <c r="Q345" s="110"/>
      <c r="R345" s="110"/>
      <c r="S345" s="110"/>
      <c r="T345" s="110"/>
      <c r="U345" s="110"/>
      <c r="V345" s="110"/>
      <c r="W345" s="110"/>
    </row>
    <row r="346" customHeight="1" spans="1:23">
      <c r="A346" s="102"/>
      <c r="B346" s="102"/>
      <c r="C346" s="102"/>
      <c r="D346" s="115"/>
      <c r="E346" s="115"/>
      <c r="F346" s="108"/>
      <c r="G346" s="108"/>
      <c r="H346" s="71" t="s">
        <v>106</v>
      </c>
      <c r="I346" s="71" t="s">
        <v>281</v>
      </c>
      <c r="J346" s="63" t="s">
        <v>87</v>
      </c>
      <c r="K346" s="71" t="s">
        <v>93</v>
      </c>
      <c r="L346" s="54">
        <v>7</v>
      </c>
      <c r="M346" s="54" t="s">
        <v>282</v>
      </c>
      <c r="N346" s="71" t="s">
        <v>110</v>
      </c>
      <c r="O346" s="102"/>
      <c r="P346" s="108"/>
      <c r="Q346" s="110"/>
      <c r="R346" s="110"/>
      <c r="S346" s="110"/>
      <c r="T346" s="110"/>
      <c r="U346" s="110"/>
      <c r="V346" s="110"/>
      <c r="W346" s="110"/>
    </row>
    <row r="347" ht="15.75" customHeight="1" spans="1:23">
      <c r="A347" s="102"/>
      <c r="B347" s="102"/>
      <c r="C347" s="102"/>
      <c r="D347" s="115"/>
      <c r="E347" s="115"/>
      <c r="F347" s="108"/>
      <c r="G347" s="108"/>
      <c r="H347" s="71" t="s">
        <v>106</v>
      </c>
      <c r="I347" s="75" t="s">
        <v>107</v>
      </c>
      <c r="J347" s="63" t="s">
        <v>108</v>
      </c>
      <c r="K347" s="75" t="s">
        <v>93</v>
      </c>
      <c r="L347" s="54">
        <v>14</v>
      </c>
      <c r="M347" s="54" t="s">
        <v>282</v>
      </c>
      <c r="N347" s="75" t="s">
        <v>110</v>
      </c>
      <c r="O347" s="102"/>
      <c r="P347" s="108"/>
      <c r="Q347" s="110"/>
      <c r="R347" s="110"/>
      <c r="S347" s="110"/>
      <c r="T347" s="110"/>
      <c r="U347" s="110"/>
      <c r="V347" s="110"/>
      <c r="W347" s="110"/>
    </row>
    <row r="348" ht="15.75" customHeight="1" spans="1:23">
      <c r="A348" s="102"/>
      <c r="B348" s="102"/>
      <c r="C348" s="102"/>
      <c r="D348" s="115"/>
      <c r="E348" s="115"/>
      <c r="F348" s="108"/>
      <c r="G348" s="108"/>
      <c r="H348" s="71" t="s">
        <v>106</v>
      </c>
      <c r="I348" s="75" t="s">
        <v>283</v>
      </c>
      <c r="J348" s="63" t="s">
        <v>108</v>
      </c>
      <c r="K348" s="75" t="s">
        <v>134</v>
      </c>
      <c r="L348" s="54">
        <v>7</v>
      </c>
      <c r="M348" s="54" t="s">
        <v>282</v>
      </c>
      <c r="N348" s="75" t="s">
        <v>110</v>
      </c>
      <c r="O348" s="102"/>
      <c r="P348" s="108"/>
      <c r="Q348" s="110"/>
      <c r="R348" s="110"/>
      <c r="S348" s="110"/>
      <c r="T348" s="110"/>
      <c r="U348" s="110"/>
      <c r="V348" s="110"/>
      <c r="W348" s="110"/>
    </row>
    <row r="349" customHeight="1" spans="1:23">
      <c r="A349" s="102"/>
      <c r="B349" s="102"/>
      <c r="C349" s="102"/>
      <c r="D349" s="115"/>
      <c r="E349" s="115"/>
      <c r="F349" s="108"/>
      <c r="G349" s="108"/>
      <c r="H349" s="71" t="s">
        <v>106</v>
      </c>
      <c r="I349" s="75" t="s">
        <v>249</v>
      </c>
      <c r="J349" s="63" t="s">
        <v>87</v>
      </c>
      <c r="K349" s="75" t="s">
        <v>93</v>
      </c>
      <c r="L349" s="54">
        <v>15</v>
      </c>
      <c r="M349" s="54" t="s">
        <v>282</v>
      </c>
      <c r="N349" s="75" t="s">
        <v>110</v>
      </c>
      <c r="O349" s="102"/>
      <c r="P349" s="108"/>
      <c r="Q349" s="110"/>
      <c r="R349" s="110"/>
      <c r="S349" s="110"/>
      <c r="T349" s="110"/>
      <c r="U349" s="110"/>
      <c r="V349" s="110"/>
      <c r="W349" s="110"/>
    </row>
    <row r="350" ht="15.75" customHeight="1" spans="1:23">
      <c r="A350" s="102"/>
      <c r="B350" s="102"/>
      <c r="C350" s="102"/>
      <c r="D350" s="115"/>
      <c r="E350" s="115"/>
      <c r="F350" s="108"/>
      <c r="G350" s="108"/>
      <c r="H350" s="71" t="s">
        <v>106</v>
      </c>
      <c r="I350" s="75" t="s">
        <v>284</v>
      </c>
      <c r="J350" s="63" t="s">
        <v>108</v>
      </c>
      <c r="K350" s="75" t="s">
        <v>88</v>
      </c>
      <c r="L350" s="54">
        <v>15</v>
      </c>
      <c r="M350" s="54" t="s">
        <v>282</v>
      </c>
      <c r="N350" s="75" t="s">
        <v>110</v>
      </c>
      <c r="O350" s="102"/>
      <c r="P350" s="108"/>
      <c r="Q350" s="110"/>
      <c r="R350" s="110"/>
      <c r="S350" s="110"/>
      <c r="T350" s="110"/>
      <c r="U350" s="110"/>
      <c r="V350" s="110"/>
      <c r="W350" s="110"/>
    </row>
    <row r="351" ht="15.75" customHeight="1" spans="1:23">
      <c r="A351" s="102"/>
      <c r="B351" s="102"/>
      <c r="C351" s="102"/>
      <c r="D351" s="115"/>
      <c r="E351" s="115"/>
      <c r="F351" s="108"/>
      <c r="G351" s="108"/>
      <c r="H351" s="71" t="s">
        <v>119</v>
      </c>
      <c r="I351" s="75" t="s">
        <v>120</v>
      </c>
      <c r="J351" s="63" t="s">
        <v>108</v>
      </c>
      <c r="K351" s="75" t="s">
        <v>93</v>
      </c>
      <c r="L351" s="54">
        <v>21</v>
      </c>
      <c r="M351" s="54" t="s">
        <v>282</v>
      </c>
      <c r="N351" s="75" t="s">
        <v>99</v>
      </c>
      <c r="O351" s="102"/>
      <c r="P351" s="108"/>
      <c r="Q351" s="110"/>
      <c r="R351" s="110"/>
      <c r="S351" s="110"/>
      <c r="T351" s="110"/>
      <c r="U351" s="110"/>
      <c r="V351" s="110"/>
      <c r="W351" s="110"/>
    </row>
    <row r="352" ht="15.75" customHeight="1" spans="1:23">
      <c r="A352" s="102"/>
      <c r="B352" s="102"/>
      <c r="C352" s="102"/>
      <c r="D352" s="115"/>
      <c r="E352" s="115"/>
      <c r="F352" s="108"/>
      <c r="G352" s="108"/>
      <c r="H352" s="71" t="s">
        <v>119</v>
      </c>
      <c r="I352" s="75" t="s">
        <v>183</v>
      </c>
      <c r="J352" s="63" t="s">
        <v>108</v>
      </c>
      <c r="K352" s="75" t="s">
        <v>93</v>
      </c>
      <c r="L352" s="54">
        <v>21</v>
      </c>
      <c r="M352" s="54" t="s">
        <v>282</v>
      </c>
      <c r="N352" s="75" t="s">
        <v>99</v>
      </c>
      <c r="O352" s="102"/>
      <c r="P352" s="108"/>
      <c r="Q352" s="110"/>
      <c r="R352" s="110"/>
      <c r="S352" s="110"/>
      <c r="T352" s="110"/>
      <c r="U352" s="110"/>
      <c r="V352" s="110"/>
      <c r="W352" s="110"/>
    </row>
    <row r="353" ht="15.75" customHeight="1" spans="1:23">
      <c r="A353" s="102"/>
      <c r="B353" s="102"/>
      <c r="C353" s="102"/>
      <c r="D353" s="115"/>
      <c r="E353" s="115"/>
      <c r="F353" s="108"/>
      <c r="G353" s="108"/>
      <c r="H353" s="71" t="s">
        <v>254</v>
      </c>
      <c r="I353" s="71" t="s">
        <v>255</v>
      </c>
      <c r="J353" s="63" t="s">
        <v>108</v>
      </c>
      <c r="K353" s="71" t="s">
        <v>134</v>
      </c>
      <c r="L353" s="54">
        <v>21</v>
      </c>
      <c r="M353" s="54" t="s">
        <v>282</v>
      </c>
      <c r="N353" s="63" t="s">
        <v>99</v>
      </c>
      <c r="O353" s="102"/>
      <c r="P353" s="108"/>
      <c r="Q353" s="110"/>
      <c r="R353" s="110"/>
      <c r="S353" s="110"/>
      <c r="T353" s="110"/>
      <c r="U353" s="110"/>
      <c r="V353" s="110"/>
      <c r="W353" s="110"/>
    </row>
    <row r="354" customHeight="1" spans="1:23">
      <c r="A354" s="102"/>
      <c r="B354" s="102"/>
      <c r="C354" s="102"/>
      <c r="D354" s="115"/>
      <c r="E354" s="115"/>
      <c r="F354" s="108"/>
      <c r="G354" s="108"/>
      <c r="H354" s="71" t="s">
        <v>254</v>
      </c>
      <c r="I354" s="71" t="s">
        <v>286</v>
      </c>
      <c r="J354" s="63" t="s">
        <v>87</v>
      </c>
      <c r="K354" s="71" t="s">
        <v>134</v>
      </c>
      <c r="L354" s="54">
        <v>21</v>
      </c>
      <c r="M354" s="54" t="s">
        <v>282</v>
      </c>
      <c r="N354" s="63" t="s">
        <v>99</v>
      </c>
      <c r="O354" s="102"/>
      <c r="P354" s="108"/>
      <c r="Q354" s="110"/>
      <c r="R354" s="110"/>
      <c r="S354" s="110"/>
      <c r="T354" s="110"/>
      <c r="U354" s="110"/>
      <c r="V354" s="110"/>
      <c r="W354" s="110"/>
    </row>
    <row r="355" ht="15.75" customHeight="1" spans="1:23">
      <c r="A355" s="110" t="s">
        <v>615</v>
      </c>
      <c r="B355" s="102" t="s">
        <v>616</v>
      </c>
      <c r="C355" s="102" t="s">
        <v>83</v>
      </c>
      <c r="D355" s="115" t="s">
        <v>102</v>
      </c>
      <c r="E355" s="115" t="s">
        <v>103</v>
      </c>
      <c r="F355" s="121" t="s">
        <v>617</v>
      </c>
      <c r="G355" s="121" t="s">
        <v>618</v>
      </c>
      <c r="H355" s="114" t="s">
        <v>254</v>
      </c>
      <c r="I355" s="114" t="s">
        <v>255</v>
      </c>
      <c r="J355" s="63" t="s">
        <v>108</v>
      </c>
      <c r="K355" s="114" t="s">
        <v>93</v>
      </c>
      <c r="L355" s="54">
        <v>88</v>
      </c>
      <c r="M355" s="54" t="s">
        <v>151</v>
      </c>
      <c r="N355" s="114" t="s">
        <v>110</v>
      </c>
      <c r="O355" s="102" t="s">
        <v>45</v>
      </c>
      <c r="P355" s="110" t="s">
        <v>619</v>
      </c>
      <c r="Q355" s="110" t="s">
        <v>112</v>
      </c>
      <c r="R355" s="110" t="s">
        <v>144</v>
      </c>
      <c r="S355" s="110" t="s">
        <v>145</v>
      </c>
      <c r="T355" s="110" t="s">
        <v>146</v>
      </c>
      <c r="U355" s="110" t="s">
        <v>620</v>
      </c>
      <c r="V355" s="110" t="s">
        <v>148</v>
      </c>
      <c r="W355" s="110" t="s">
        <v>149</v>
      </c>
    </row>
    <row r="356" ht="15.75" customHeight="1" spans="1:23">
      <c r="A356" s="110"/>
      <c r="B356" s="102"/>
      <c r="C356" s="102"/>
      <c r="D356" s="115"/>
      <c r="E356" s="115"/>
      <c r="F356" s="121"/>
      <c r="G356" s="121"/>
      <c r="H356" s="132" t="s">
        <v>141</v>
      </c>
      <c r="I356" s="114" t="s">
        <v>479</v>
      </c>
      <c r="J356" s="63" t="s">
        <v>97</v>
      </c>
      <c r="K356" s="109" t="s">
        <v>134</v>
      </c>
      <c r="L356" s="54">
        <v>80</v>
      </c>
      <c r="M356" s="54" t="s">
        <v>151</v>
      </c>
      <c r="N356" s="109" t="s">
        <v>99</v>
      </c>
      <c r="O356" s="102"/>
      <c r="P356" s="110"/>
      <c r="Q356" s="110"/>
      <c r="R356" s="110"/>
      <c r="S356" s="110"/>
      <c r="T356" s="110"/>
      <c r="U356" s="110"/>
      <c r="V356" s="110"/>
      <c r="W356" s="110"/>
    </row>
    <row r="357" ht="15.75" customHeight="1" spans="1:23">
      <c r="A357" s="110" t="s">
        <v>621</v>
      </c>
      <c r="B357" s="102" t="s">
        <v>622</v>
      </c>
      <c r="C357" s="102" t="s">
        <v>173</v>
      </c>
      <c r="D357" s="115" t="s">
        <v>102</v>
      </c>
      <c r="E357" s="133" t="s">
        <v>103</v>
      </c>
      <c r="F357" s="108" t="s">
        <v>623</v>
      </c>
      <c r="G357" s="121" t="s">
        <v>624</v>
      </c>
      <c r="H357" s="114" t="s">
        <v>85</v>
      </c>
      <c r="I357" s="114" t="s">
        <v>183</v>
      </c>
      <c r="J357" s="63" t="s">
        <v>108</v>
      </c>
      <c r="K357" s="109" t="s">
        <v>93</v>
      </c>
      <c r="L357" s="54">
        <v>30</v>
      </c>
      <c r="M357" s="54" t="s">
        <v>89</v>
      </c>
      <c r="N357" s="109" t="s">
        <v>99</v>
      </c>
      <c r="O357" s="102" t="s">
        <v>45</v>
      </c>
      <c r="P357" s="110" t="s">
        <v>235</v>
      </c>
      <c r="Q357" s="110" t="s">
        <v>112</v>
      </c>
      <c r="R357" s="110" t="s">
        <v>144</v>
      </c>
      <c r="S357" s="110" t="s">
        <v>236</v>
      </c>
      <c r="T357" s="110" t="s">
        <v>47</v>
      </c>
      <c r="U357" s="110" t="s">
        <v>625</v>
      </c>
      <c r="V357" s="110" t="s">
        <v>148</v>
      </c>
      <c r="W357" s="110" t="s">
        <v>149</v>
      </c>
    </row>
    <row r="358" ht="15.75" customHeight="1" spans="1:23">
      <c r="A358" s="110"/>
      <c r="B358" s="102"/>
      <c r="C358" s="102"/>
      <c r="D358" s="115"/>
      <c r="E358" s="115"/>
      <c r="F358" s="108"/>
      <c r="G358" s="121"/>
      <c r="H358" s="114" t="s">
        <v>141</v>
      </c>
      <c r="I358" s="114" t="s">
        <v>142</v>
      </c>
      <c r="J358" s="63" t="s">
        <v>97</v>
      </c>
      <c r="K358" s="109" t="s">
        <v>93</v>
      </c>
      <c r="L358" s="54">
        <v>8</v>
      </c>
      <c r="M358" s="54" t="s">
        <v>98</v>
      </c>
      <c r="N358" s="109" t="s">
        <v>99</v>
      </c>
      <c r="O358" s="102"/>
      <c r="P358" s="110"/>
      <c r="Q358" s="110"/>
      <c r="R358" s="110"/>
      <c r="S358" s="110"/>
      <c r="T358" s="110"/>
      <c r="U358" s="110"/>
      <c r="V358" s="110"/>
      <c r="W358" s="110"/>
    </row>
    <row r="359" ht="15.75" customHeight="1" spans="1:23">
      <c r="A359" s="110"/>
      <c r="B359" s="102"/>
      <c r="C359" s="102"/>
      <c r="D359" s="115"/>
      <c r="E359" s="115"/>
      <c r="F359" s="108"/>
      <c r="G359" s="121"/>
      <c r="H359" s="114" t="s">
        <v>132</v>
      </c>
      <c r="I359" s="114" t="s">
        <v>133</v>
      </c>
      <c r="J359" s="63" t="s">
        <v>108</v>
      </c>
      <c r="K359" s="114" t="s">
        <v>93</v>
      </c>
      <c r="L359" s="54">
        <v>40</v>
      </c>
      <c r="M359" s="54" t="s">
        <v>234</v>
      </c>
      <c r="N359" s="114" t="s">
        <v>110</v>
      </c>
      <c r="O359" s="102"/>
      <c r="P359" s="110"/>
      <c r="Q359" s="110"/>
      <c r="R359" s="110"/>
      <c r="S359" s="110"/>
      <c r="T359" s="110"/>
      <c r="U359" s="110"/>
      <c r="V359" s="110"/>
      <c r="W359" s="110"/>
    </row>
    <row r="360" ht="30" customHeight="1" spans="1:23">
      <c r="A360" s="110"/>
      <c r="B360" s="102"/>
      <c r="C360" s="102"/>
      <c r="D360" s="115"/>
      <c r="E360" s="115"/>
      <c r="F360" s="108"/>
      <c r="G360" s="121"/>
      <c r="H360" s="114" t="s">
        <v>85</v>
      </c>
      <c r="I360" s="114" t="s">
        <v>209</v>
      </c>
      <c r="J360" s="63" t="s">
        <v>108</v>
      </c>
      <c r="K360" s="114" t="s">
        <v>93</v>
      </c>
      <c r="L360" s="54">
        <v>40</v>
      </c>
      <c r="M360" s="57" t="s">
        <v>448</v>
      </c>
      <c r="N360" s="114" t="s">
        <v>99</v>
      </c>
      <c r="O360" s="102"/>
      <c r="P360" s="110"/>
      <c r="Q360" s="110"/>
      <c r="R360" s="110"/>
      <c r="S360" s="110"/>
      <c r="T360" s="110"/>
      <c r="U360" s="110"/>
      <c r="V360" s="110"/>
      <c r="W360" s="110"/>
    </row>
    <row r="361" ht="30" customHeight="1" spans="1:23">
      <c r="A361" s="110"/>
      <c r="B361" s="102"/>
      <c r="C361" s="102"/>
      <c r="D361" s="115"/>
      <c r="E361" s="115"/>
      <c r="F361" s="108"/>
      <c r="G361" s="121"/>
      <c r="H361" s="114" t="s">
        <v>119</v>
      </c>
      <c r="I361" s="114" t="s">
        <v>212</v>
      </c>
      <c r="J361" s="63" t="s">
        <v>108</v>
      </c>
      <c r="K361" s="114" t="s">
        <v>88</v>
      </c>
      <c r="L361" s="54">
        <v>50</v>
      </c>
      <c r="M361" s="57" t="s">
        <v>448</v>
      </c>
      <c r="N361" s="114" t="s">
        <v>110</v>
      </c>
      <c r="O361" s="102"/>
      <c r="P361" s="110"/>
      <c r="Q361" s="110"/>
      <c r="R361" s="110"/>
      <c r="S361" s="110"/>
      <c r="T361" s="110"/>
      <c r="U361" s="110"/>
      <c r="V361" s="110"/>
      <c r="W361" s="110"/>
    </row>
    <row r="362" ht="15.75" customHeight="1" spans="1:23">
      <c r="A362" s="105" t="s">
        <v>626</v>
      </c>
      <c r="B362" s="106" t="s">
        <v>627</v>
      </c>
      <c r="C362" s="106" t="s">
        <v>173</v>
      </c>
      <c r="D362" s="112" t="s">
        <v>102</v>
      </c>
      <c r="E362" s="112" t="s">
        <v>103</v>
      </c>
      <c r="F362" s="107" t="s">
        <v>628</v>
      </c>
      <c r="G362" s="107" t="s">
        <v>629</v>
      </c>
      <c r="H362" s="114" t="s">
        <v>132</v>
      </c>
      <c r="I362" s="114" t="s">
        <v>133</v>
      </c>
      <c r="J362" s="63" t="s">
        <v>108</v>
      </c>
      <c r="K362" s="114" t="s">
        <v>93</v>
      </c>
      <c r="L362" s="54">
        <v>90</v>
      </c>
      <c r="M362" s="54" t="s">
        <v>279</v>
      </c>
      <c r="N362" s="114" t="s">
        <v>110</v>
      </c>
      <c r="O362" s="106" t="s">
        <v>45</v>
      </c>
      <c r="P362" s="105" t="s">
        <v>143</v>
      </c>
      <c r="Q362" s="105" t="s">
        <v>112</v>
      </c>
      <c r="R362" s="105" t="s">
        <v>144</v>
      </c>
      <c r="S362" s="105" t="s">
        <v>145</v>
      </c>
      <c r="T362" s="105" t="s">
        <v>146</v>
      </c>
      <c r="U362" s="105" t="s">
        <v>630</v>
      </c>
      <c r="V362" s="105" t="s">
        <v>148</v>
      </c>
      <c r="W362" s="105" t="s">
        <v>149</v>
      </c>
    </row>
    <row r="363" ht="15.75" customHeight="1" spans="1:23">
      <c r="A363" s="105"/>
      <c r="B363" s="106"/>
      <c r="C363" s="106"/>
      <c r="D363" s="111"/>
      <c r="E363" s="111"/>
      <c r="F363" s="107"/>
      <c r="G363" s="107"/>
      <c r="H363" s="114" t="s">
        <v>141</v>
      </c>
      <c r="I363" s="114" t="s">
        <v>538</v>
      </c>
      <c r="J363" s="63" t="s">
        <v>108</v>
      </c>
      <c r="K363" s="114" t="s">
        <v>93</v>
      </c>
      <c r="L363" s="54">
        <v>40</v>
      </c>
      <c r="M363" s="54" t="s">
        <v>279</v>
      </c>
      <c r="N363" s="114" t="s">
        <v>110</v>
      </c>
      <c r="O363" s="106"/>
      <c r="P363" s="105"/>
      <c r="Q363" s="105"/>
      <c r="R363" s="105"/>
      <c r="S363" s="105"/>
      <c r="T363" s="105"/>
      <c r="U363" s="105"/>
      <c r="V363" s="105"/>
      <c r="W363" s="105"/>
    </row>
    <row r="364" ht="15.75" customHeight="1" spans="1:23">
      <c r="A364" s="105"/>
      <c r="B364" s="106"/>
      <c r="C364" s="106"/>
      <c r="D364" s="111"/>
      <c r="E364" s="111"/>
      <c r="F364" s="107"/>
      <c r="G364" s="107"/>
      <c r="H364" s="114" t="s">
        <v>141</v>
      </c>
      <c r="I364" s="114" t="s">
        <v>150</v>
      </c>
      <c r="J364" s="63" t="s">
        <v>108</v>
      </c>
      <c r="K364" s="114" t="s">
        <v>134</v>
      </c>
      <c r="L364" s="54">
        <v>38</v>
      </c>
      <c r="M364" s="54" t="s">
        <v>279</v>
      </c>
      <c r="N364" s="114" t="s">
        <v>110</v>
      </c>
      <c r="O364" s="106"/>
      <c r="P364" s="105"/>
      <c r="Q364" s="105"/>
      <c r="R364" s="105"/>
      <c r="S364" s="105"/>
      <c r="T364" s="105"/>
      <c r="U364" s="105"/>
      <c r="V364" s="105"/>
      <c r="W364" s="105"/>
    </row>
    <row r="365" ht="15.75" customHeight="1" spans="1:23">
      <c r="A365" s="105" t="s">
        <v>631</v>
      </c>
      <c r="B365" s="106" t="s">
        <v>632</v>
      </c>
      <c r="C365" s="106" t="s">
        <v>83</v>
      </c>
      <c r="D365" s="112" t="s">
        <v>102</v>
      </c>
      <c r="E365" s="112" t="s">
        <v>103</v>
      </c>
      <c r="F365" s="107" t="s">
        <v>633</v>
      </c>
      <c r="G365" s="107" t="s">
        <v>634</v>
      </c>
      <c r="H365" s="114" t="s">
        <v>132</v>
      </c>
      <c r="I365" s="114" t="s">
        <v>133</v>
      </c>
      <c r="J365" s="63" t="s">
        <v>108</v>
      </c>
      <c r="K365" s="114" t="s">
        <v>93</v>
      </c>
      <c r="L365" s="54">
        <v>82</v>
      </c>
      <c r="M365" s="54" t="s">
        <v>279</v>
      </c>
      <c r="N365" s="114" t="s">
        <v>110</v>
      </c>
      <c r="O365" s="106" t="s">
        <v>45</v>
      </c>
      <c r="P365" s="105" t="s">
        <v>143</v>
      </c>
      <c r="Q365" s="105" t="s">
        <v>112</v>
      </c>
      <c r="R365" s="105" t="s">
        <v>144</v>
      </c>
      <c r="S365" s="105" t="s">
        <v>145</v>
      </c>
      <c r="T365" s="105" t="s">
        <v>146</v>
      </c>
      <c r="U365" s="105" t="s">
        <v>635</v>
      </c>
      <c r="V365" s="105" t="s">
        <v>148</v>
      </c>
      <c r="W365" s="105" t="s">
        <v>149</v>
      </c>
    </row>
    <row r="366" ht="15.75" customHeight="1" spans="1:23">
      <c r="A366" s="134"/>
      <c r="B366" s="135"/>
      <c r="C366" s="135"/>
      <c r="D366" s="136"/>
      <c r="E366" s="136"/>
      <c r="F366" s="107"/>
      <c r="G366" s="107"/>
      <c r="H366" s="109" t="s">
        <v>141</v>
      </c>
      <c r="I366" s="114" t="s">
        <v>150</v>
      </c>
      <c r="J366" s="63" t="s">
        <v>108</v>
      </c>
      <c r="K366" s="109" t="s">
        <v>134</v>
      </c>
      <c r="L366" s="54">
        <v>86</v>
      </c>
      <c r="M366" s="54" t="s">
        <v>279</v>
      </c>
      <c r="N366" s="109" t="s">
        <v>110</v>
      </c>
      <c r="O366" s="135"/>
      <c r="P366" s="134"/>
      <c r="Q366" s="134"/>
      <c r="R366" s="134"/>
      <c r="S366" s="134"/>
      <c r="T366" s="134"/>
      <c r="U366" s="134"/>
      <c r="V366" s="134"/>
      <c r="W366" s="134"/>
    </row>
    <row r="367" customHeight="1" spans="1:23">
      <c r="A367" s="126" t="s">
        <v>31</v>
      </c>
      <c r="B367" s="123" t="s">
        <v>30</v>
      </c>
      <c r="C367" s="123" t="s">
        <v>173</v>
      </c>
      <c r="D367" s="118"/>
      <c r="E367" s="118"/>
      <c r="F367" s="108" t="s">
        <v>636</v>
      </c>
      <c r="G367" s="108" t="s">
        <v>637</v>
      </c>
      <c r="H367" s="109" t="s">
        <v>85</v>
      </c>
      <c r="I367" s="109" t="s">
        <v>267</v>
      </c>
      <c r="J367" s="63" t="s">
        <v>87</v>
      </c>
      <c r="K367" s="109" t="s">
        <v>134</v>
      </c>
      <c r="L367" s="54">
        <v>10.5</v>
      </c>
      <c r="M367" s="54" t="s">
        <v>638</v>
      </c>
      <c r="N367" s="109" t="s">
        <v>90</v>
      </c>
      <c r="O367" s="123" t="s">
        <v>30</v>
      </c>
      <c r="P367" s="126" t="s">
        <v>178</v>
      </c>
      <c r="Q367" s="126" t="s">
        <v>112</v>
      </c>
      <c r="R367" s="126" t="s">
        <v>468</v>
      </c>
      <c r="S367" s="126" t="s">
        <v>469</v>
      </c>
      <c r="T367" s="126" t="s">
        <v>32</v>
      </c>
      <c r="U367" s="126" t="s">
        <v>639</v>
      </c>
      <c r="V367" s="126" t="s">
        <v>116</v>
      </c>
      <c r="W367" s="126" t="s">
        <v>117</v>
      </c>
    </row>
    <row r="368" ht="15.75" customHeight="1" spans="1:23">
      <c r="A368" s="126"/>
      <c r="B368" s="123"/>
      <c r="C368" s="123"/>
      <c r="D368" s="118"/>
      <c r="E368" s="118"/>
      <c r="F368" s="108"/>
      <c r="G368" s="108"/>
      <c r="H368" s="109" t="s">
        <v>85</v>
      </c>
      <c r="I368" s="109" t="s">
        <v>183</v>
      </c>
      <c r="J368" s="63" t="s">
        <v>108</v>
      </c>
      <c r="K368" s="109" t="s">
        <v>134</v>
      </c>
      <c r="L368" s="54">
        <v>42</v>
      </c>
      <c r="M368" s="54" t="s">
        <v>638</v>
      </c>
      <c r="N368" s="109" t="s">
        <v>99</v>
      </c>
      <c r="O368" s="123"/>
      <c r="P368" s="126"/>
      <c r="Q368" s="126"/>
      <c r="R368" s="126"/>
      <c r="S368" s="126"/>
      <c r="T368" s="126"/>
      <c r="U368" s="126"/>
      <c r="V368" s="126"/>
      <c r="W368" s="126"/>
    </row>
    <row r="369" ht="15.75" customHeight="1" spans="1:23">
      <c r="A369" s="126"/>
      <c r="B369" s="123"/>
      <c r="C369" s="123"/>
      <c r="D369" s="118"/>
      <c r="E369" s="118"/>
      <c r="F369" s="108"/>
      <c r="G369" s="108"/>
      <c r="H369" s="109" t="s">
        <v>132</v>
      </c>
      <c r="I369" s="109" t="s">
        <v>209</v>
      </c>
      <c r="J369" s="63" t="s">
        <v>108</v>
      </c>
      <c r="K369" s="109" t="s">
        <v>93</v>
      </c>
      <c r="L369" s="54">
        <v>21</v>
      </c>
      <c r="M369" s="54" t="s">
        <v>640</v>
      </c>
      <c r="N369" s="109" t="s">
        <v>110</v>
      </c>
      <c r="O369" s="123"/>
      <c r="P369" s="126"/>
      <c r="Q369" s="126"/>
      <c r="R369" s="126"/>
      <c r="S369" s="126"/>
      <c r="T369" s="126"/>
      <c r="U369" s="126"/>
      <c r="V369" s="126"/>
      <c r="W369" s="126"/>
    </row>
    <row r="370" ht="15.75" customHeight="1" spans="1:23">
      <c r="A370" s="126"/>
      <c r="B370" s="123"/>
      <c r="C370" s="123"/>
      <c r="D370" s="118"/>
      <c r="E370" s="118"/>
      <c r="F370" s="108"/>
      <c r="G370" s="108"/>
      <c r="H370" s="104" t="s">
        <v>218</v>
      </c>
      <c r="I370" s="109" t="s">
        <v>291</v>
      </c>
      <c r="J370" s="63" t="s">
        <v>108</v>
      </c>
      <c r="K370" s="109" t="s">
        <v>88</v>
      </c>
      <c r="L370" s="54">
        <v>10.5</v>
      </c>
      <c r="M370" s="54" t="s">
        <v>638</v>
      </c>
      <c r="N370" s="109" t="s">
        <v>110</v>
      </c>
      <c r="O370" s="123"/>
      <c r="P370" s="126"/>
      <c r="Q370" s="126"/>
      <c r="R370" s="126"/>
      <c r="S370" s="126"/>
      <c r="T370" s="126"/>
      <c r="U370" s="126"/>
      <c r="V370" s="126"/>
      <c r="W370" s="126"/>
    </row>
    <row r="371" ht="31.5" customHeight="1" spans="1:23">
      <c r="A371" s="126"/>
      <c r="B371" s="123"/>
      <c r="C371" s="123"/>
      <c r="D371" s="118"/>
      <c r="E371" s="118"/>
      <c r="F371" s="108"/>
      <c r="G371" s="108"/>
      <c r="H371" s="109" t="s">
        <v>218</v>
      </c>
      <c r="I371" s="109" t="s">
        <v>219</v>
      </c>
      <c r="J371" s="63" t="s">
        <v>108</v>
      </c>
      <c r="K371" s="109" t="s">
        <v>88</v>
      </c>
      <c r="L371" s="54">
        <v>10.5</v>
      </c>
      <c r="M371" s="54" t="s">
        <v>638</v>
      </c>
      <c r="N371" s="109" t="s">
        <v>110</v>
      </c>
      <c r="O371" s="123"/>
      <c r="P371" s="126"/>
      <c r="Q371" s="126"/>
      <c r="R371" s="126"/>
      <c r="S371" s="126"/>
      <c r="T371" s="126"/>
      <c r="U371" s="126"/>
      <c r="V371" s="126"/>
      <c r="W371" s="126"/>
    </row>
    <row r="372" ht="15.75" customHeight="1" spans="1:23">
      <c r="A372" s="126"/>
      <c r="B372" s="123"/>
      <c r="C372" s="123"/>
      <c r="D372" s="118"/>
      <c r="E372" s="118"/>
      <c r="F372" s="108"/>
      <c r="G372" s="108"/>
      <c r="H372" s="109" t="s">
        <v>119</v>
      </c>
      <c r="I372" s="109" t="s">
        <v>120</v>
      </c>
      <c r="J372" s="63" t="s">
        <v>108</v>
      </c>
      <c r="K372" s="109" t="s">
        <v>93</v>
      </c>
      <c r="L372" s="54">
        <v>21</v>
      </c>
      <c r="M372" s="54" t="s">
        <v>640</v>
      </c>
      <c r="N372" s="109" t="s">
        <v>99</v>
      </c>
      <c r="O372" s="123"/>
      <c r="P372" s="126"/>
      <c r="Q372" s="126"/>
      <c r="R372" s="126"/>
      <c r="S372" s="126"/>
      <c r="T372" s="126"/>
      <c r="U372" s="126"/>
      <c r="V372" s="126"/>
      <c r="W372" s="126"/>
    </row>
    <row r="373" ht="15.75" customHeight="1" spans="1:23">
      <c r="A373" s="126"/>
      <c r="B373" s="123"/>
      <c r="C373" s="123"/>
      <c r="D373" s="118"/>
      <c r="E373" s="118"/>
      <c r="F373" s="108"/>
      <c r="G373" s="108"/>
      <c r="H373" s="109" t="s">
        <v>119</v>
      </c>
      <c r="I373" s="109" t="s">
        <v>183</v>
      </c>
      <c r="J373" s="63" t="s">
        <v>108</v>
      </c>
      <c r="K373" s="109" t="s">
        <v>93</v>
      </c>
      <c r="L373" s="54">
        <v>21</v>
      </c>
      <c r="M373" s="54" t="s">
        <v>640</v>
      </c>
      <c r="N373" s="109" t="s">
        <v>99</v>
      </c>
      <c r="O373" s="123"/>
      <c r="P373" s="126"/>
      <c r="Q373" s="126"/>
      <c r="R373" s="126"/>
      <c r="S373" s="126"/>
      <c r="T373" s="126"/>
      <c r="U373" s="126"/>
      <c r="V373" s="126"/>
      <c r="W373" s="126"/>
    </row>
    <row r="374" ht="15.75" customHeight="1" spans="1:23">
      <c r="A374" s="126"/>
      <c r="B374" s="123"/>
      <c r="C374" s="123"/>
      <c r="D374" s="118"/>
      <c r="E374" s="118"/>
      <c r="F374" s="108"/>
      <c r="G374" s="108"/>
      <c r="H374" s="109" t="s">
        <v>157</v>
      </c>
      <c r="I374" s="109" t="s">
        <v>158</v>
      </c>
      <c r="J374" s="63" t="s">
        <v>108</v>
      </c>
      <c r="K374" s="109" t="s">
        <v>88</v>
      </c>
      <c r="L374" s="54">
        <v>10.5</v>
      </c>
      <c r="M374" s="54" t="s">
        <v>638</v>
      </c>
      <c r="N374" s="114" t="s">
        <v>110</v>
      </c>
      <c r="O374" s="123"/>
      <c r="P374" s="126"/>
      <c r="Q374" s="126"/>
      <c r="R374" s="126"/>
      <c r="S374" s="126"/>
      <c r="T374" s="126"/>
      <c r="U374" s="126"/>
      <c r="V374" s="126"/>
      <c r="W374" s="126"/>
    </row>
    <row r="375" ht="15.75" customHeight="1" spans="1:23">
      <c r="A375" s="126"/>
      <c r="B375" s="123"/>
      <c r="C375" s="123"/>
      <c r="D375" s="118"/>
      <c r="E375" s="118"/>
      <c r="F375" s="108"/>
      <c r="G375" s="108"/>
      <c r="H375" s="109" t="s">
        <v>167</v>
      </c>
      <c r="I375" s="109" t="s">
        <v>284</v>
      </c>
      <c r="J375" s="63" t="s">
        <v>108</v>
      </c>
      <c r="K375" s="109" t="s">
        <v>134</v>
      </c>
      <c r="L375" s="54">
        <v>10.5</v>
      </c>
      <c r="M375" s="54" t="s">
        <v>638</v>
      </c>
      <c r="N375" s="114" t="s">
        <v>110</v>
      </c>
      <c r="O375" s="123"/>
      <c r="P375" s="126"/>
      <c r="Q375" s="126"/>
      <c r="R375" s="126"/>
      <c r="S375" s="126"/>
      <c r="T375" s="126"/>
      <c r="U375" s="126"/>
      <c r="V375" s="126"/>
      <c r="W375" s="126"/>
    </row>
    <row r="376" ht="15.75" customHeight="1" spans="1:23">
      <c r="A376" s="126"/>
      <c r="B376" s="123"/>
      <c r="C376" s="123"/>
      <c r="D376" s="118"/>
      <c r="E376" s="118"/>
      <c r="F376" s="108"/>
      <c r="G376" s="108"/>
      <c r="H376" s="109" t="s">
        <v>91</v>
      </c>
      <c r="I376" s="109" t="s">
        <v>475</v>
      </c>
      <c r="J376" s="63" t="s">
        <v>108</v>
      </c>
      <c r="K376" s="109" t="s">
        <v>134</v>
      </c>
      <c r="L376" s="54">
        <v>10.5</v>
      </c>
      <c r="M376" s="54" t="s">
        <v>638</v>
      </c>
      <c r="N376" s="109" t="s">
        <v>90</v>
      </c>
      <c r="O376" s="123"/>
      <c r="P376" s="126"/>
      <c r="Q376" s="126"/>
      <c r="R376" s="126"/>
      <c r="S376" s="126"/>
      <c r="T376" s="126"/>
      <c r="U376" s="126"/>
      <c r="V376" s="126"/>
      <c r="W376" s="126"/>
    </row>
    <row r="377" customHeight="1" spans="1:23">
      <c r="A377" s="126"/>
      <c r="B377" s="123"/>
      <c r="C377" s="123"/>
      <c r="D377" s="118"/>
      <c r="E377" s="118"/>
      <c r="F377" s="108"/>
      <c r="G377" s="108"/>
      <c r="H377" s="109" t="s">
        <v>106</v>
      </c>
      <c r="I377" s="109" t="s">
        <v>281</v>
      </c>
      <c r="J377" s="63" t="s">
        <v>87</v>
      </c>
      <c r="K377" s="109" t="s">
        <v>93</v>
      </c>
      <c r="L377" s="54">
        <v>21</v>
      </c>
      <c r="M377" s="54" t="s">
        <v>98</v>
      </c>
      <c r="N377" s="109" t="s">
        <v>110</v>
      </c>
      <c r="O377" s="123"/>
      <c r="P377" s="126"/>
      <c r="Q377" s="126"/>
      <c r="R377" s="126"/>
      <c r="S377" s="126"/>
      <c r="T377" s="126"/>
      <c r="U377" s="126"/>
      <c r="V377" s="126"/>
      <c r="W377" s="126"/>
    </row>
    <row r="378" customHeight="1" spans="1:23">
      <c r="A378" s="126"/>
      <c r="B378" s="123"/>
      <c r="C378" s="123"/>
      <c r="D378" s="118"/>
      <c r="E378" s="118"/>
      <c r="F378" s="108"/>
      <c r="G378" s="108"/>
      <c r="H378" s="109" t="s">
        <v>106</v>
      </c>
      <c r="I378" s="109" t="s">
        <v>286</v>
      </c>
      <c r="J378" s="63" t="s">
        <v>87</v>
      </c>
      <c r="K378" s="109" t="s">
        <v>134</v>
      </c>
      <c r="L378" s="54">
        <v>21</v>
      </c>
      <c r="M378" s="54" t="s">
        <v>98</v>
      </c>
      <c r="N378" s="109" t="s">
        <v>110</v>
      </c>
      <c r="O378" s="123"/>
      <c r="P378" s="126"/>
      <c r="Q378" s="126"/>
      <c r="R378" s="126"/>
      <c r="S378" s="126"/>
      <c r="T378" s="126"/>
      <c r="U378" s="126"/>
      <c r="V378" s="126"/>
      <c r="W378" s="126"/>
    </row>
    <row r="379" ht="15.75" customHeight="1" spans="1:23">
      <c r="A379" s="102" t="s">
        <v>641</v>
      </c>
      <c r="B379" s="102" t="s">
        <v>642</v>
      </c>
      <c r="C379" s="102" t="s">
        <v>83</v>
      </c>
      <c r="D379" s="115" t="s">
        <v>102</v>
      </c>
      <c r="E379" s="115" t="s">
        <v>154</v>
      </c>
      <c r="F379" s="108" t="s">
        <v>643</v>
      </c>
      <c r="G379" s="108" t="s">
        <v>644</v>
      </c>
      <c r="H379" s="109" t="s">
        <v>218</v>
      </c>
      <c r="I379" s="109" t="s">
        <v>294</v>
      </c>
      <c r="J379" s="63" t="s">
        <v>108</v>
      </c>
      <c r="K379" s="109" t="s">
        <v>93</v>
      </c>
      <c r="L379" s="73">
        <f>3*21</f>
        <v>63</v>
      </c>
      <c r="M379" s="73" t="s">
        <v>135</v>
      </c>
      <c r="N379" s="109" t="s">
        <v>90</v>
      </c>
      <c r="O379" s="102" t="s">
        <v>18</v>
      </c>
      <c r="P379" s="110" t="s">
        <v>160</v>
      </c>
      <c r="Q379" s="110" t="s">
        <v>112</v>
      </c>
      <c r="R379" s="110" t="s">
        <v>161</v>
      </c>
      <c r="S379" s="110" t="s">
        <v>162</v>
      </c>
      <c r="T379" s="110" t="s">
        <v>20</v>
      </c>
      <c r="U379" s="110" t="s">
        <v>645</v>
      </c>
      <c r="V379" s="110" t="s">
        <v>116</v>
      </c>
      <c r="W379" s="110" t="s">
        <v>117</v>
      </c>
    </row>
    <row r="380" ht="15.75" customHeight="1" spans="1:23">
      <c r="A380" s="102"/>
      <c r="B380" s="102"/>
      <c r="C380" s="102"/>
      <c r="D380" s="115"/>
      <c r="E380" s="115"/>
      <c r="F380" s="108"/>
      <c r="G380" s="108"/>
      <c r="H380" s="114" t="s">
        <v>218</v>
      </c>
      <c r="I380" s="114" t="s">
        <v>530</v>
      </c>
      <c r="J380" s="63" t="s">
        <v>108</v>
      </c>
      <c r="K380" s="114" t="s">
        <v>134</v>
      </c>
      <c r="L380" s="73">
        <f>4*21</f>
        <v>84</v>
      </c>
      <c r="M380" s="73" t="s">
        <v>182</v>
      </c>
      <c r="N380" s="114" t="s">
        <v>90</v>
      </c>
      <c r="O380" s="102"/>
      <c r="P380" s="110"/>
      <c r="Q380" s="110"/>
      <c r="R380" s="110"/>
      <c r="S380" s="110"/>
      <c r="T380" s="110"/>
      <c r="U380" s="110"/>
      <c r="V380" s="110"/>
      <c r="W380" s="110"/>
    </row>
    <row r="381" customHeight="1" spans="1:23">
      <c r="A381" s="102"/>
      <c r="B381" s="102"/>
      <c r="C381" s="102"/>
      <c r="D381" s="115"/>
      <c r="E381" s="115"/>
      <c r="F381" s="108"/>
      <c r="G381" s="108"/>
      <c r="H381" s="114" t="s">
        <v>91</v>
      </c>
      <c r="I381" s="114" t="s">
        <v>92</v>
      </c>
      <c r="J381" s="63" t="s">
        <v>87</v>
      </c>
      <c r="K381" s="114" t="s">
        <v>93</v>
      </c>
      <c r="L381" s="73">
        <f>1*21</f>
        <v>21</v>
      </c>
      <c r="M381" s="73" t="s">
        <v>135</v>
      </c>
      <c r="N381" s="114" t="s">
        <v>90</v>
      </c>
      <c r="O381" s="102"/>
      <c r="P381" s="110"/>
      <c r="Q381" s="110"/>
      <c r="R381" s="110"/>
      <c r="S381" s="110"/>
      <c r="T381" s="110"/>
      <c r="U381" s="110"/>
      <c r="V381" s="110"/>
      <c r="W381" s="110"/>
    </row>
    <row r="382" ht="15.75" customHeight="1" spans="1:23">
      <c r="A382" s="102" t="s">
        <v>646</v>
      </c>
      <c r="B382" s="102" t="s">
        <v>647</v>
      </c>
      <c r="C382" s="102" t="s">
        <v>173</v>
      </c>
      <c r="D382" s="115" t="s">
        <v>102</v>
      </c>
      <c r="E382" s="115" t="s">
        <v>154</v>
      </c>
      <c r="F382" s="121" t="s">
        <v>648</v>
      </c>
      <c r="G382" s="121" t="s">
        <v>649</v>
      </c>
      <c r="H382" s="114" t="s">
        <v>218</v>
      </c>
      <c r="I382" s="114" t="s">
        <v>530</v>
      </c>
      <c r="J382" s="63" t="s">
        <v>108</v>
      </c>
      <c r="K382" s="114" t="s">
        <v>134</v>
      </c>
      <c r="L382" s="73">
        <f>2*21</f>
        <v>42</v>
      </c>
      <c r="M382" s="73" t="s">
        <v>182</v>
      </c>
      <c r="N382" s="114" t="s">
        <v>90</v>
      </c>
      <c r="O382" s="102" t="s">
        <v>18</v>
      </c>
      <c r="P382" s="110" t="s">
        <v>160</v>
      </c>
      <c r="Q382" s="110" t="s">
        <v>112</v>
      </c>
      <c r="R382" s="110" t="s">
        <v>161</v>
      </c>
      <c r="S382" s="110" t="s">
        <v>162</v>
      </c>
      <c r="T382" s="110" t="s">
        <v>20</v>
      </c>
      <c r="U382" s="110" t="s">
        <v>650</v>
      </c>
      <c r="V382" s="110" t="s">
        <v>116</v>
      </c>
      <c r="W382" s="110" t="s">
        <v>117</v>
      </c>
    </row>
    <row r="383" ht="15.75" customHeight="1" spans="1:23">
      <c r="A383" s="102"/>
      <c r="B383" s="102"/>
      <c r="C383" s="102"/>
      <c r="D383" s="115"/>
      <c r="E383" s="115"/>
      <c r="F383" s="121"/>
      <c r="G383" s="121"/>
      <c r="H383" s="63" t="s">
        <v>218</v>
      </c>
      <c r="I383" s="63" t="s">
        <v>294</v>
      </c>
      <c r="J383" s="63" t="s">
        <v>108</v>
      </c>
      <c r="K383" s="63" t="s">
        <v>93</v>
      </c>
      <c r="L383" s="73">
        <f>2*21</f>
        <v>42</v>
      </c>
      <c r="M383" s="73" t="s">
        <v>135</v>
      </c>
      <c r="N383" s="63" t="s">
        <v>90</v>
      </c>
      <c r="O383" s="102"/>
      <c r="P383" s="110"/>
      <c r="Q383" s="110"/>
      <c r="R383" s="110"/>
      <c r="S383" s="110"/>
      <c r="T383" s="110"/>
      <c r="U383" s="110"/>
      <c r="V383" s="110"/>
      <c r="W383" s="110"/>
    </row>
    <row r="384" ht="15.75" customHeight="1" spans="1:23">
      <c r="A384" s="102"/>
      <c r="B384" s="102"/>
      <c r="C384" s="102"/>
      <c r="D384" s="115"/>
      <c r="E384" s="115"/>
      <c r="F384" s="121"/>
      <c r="G384" s="121"/>
      <c r="H384" s="63" t="s">
        <v>157</v>
      </c>
      <c r="I384" s="63" t="s">
        <v>166</v>
      </c>
      <c r="J384" s="63" t="s">
        <v>108</v>
      </c>
      <c r="K384" s="63" t="s">
        <v>134</v>
      </c>
      <c r="L384" s="73">
        <f>4*21</f>
        <v>84</v>
      </c>
      <c r="M384" s="73" t="s">
        <v>295</v>
      </c>
      <c r="N384" s="63" t="s">
        <v>110</v>
      </c>
      <c r="O384" s="102"/>
      <c r="P384" s="110"/>
      <c r="Q384" s="110"/>
      <c r="R384" s="110"/>
      <c r="S384" s="110"/>
      <c r="T384" s="110"/>
      <c r="U384" s="110"/>
      <c r="V384" s="110"/>
      <c r="W384" s="110"/>
    </row>
    <row r="385" customHeight="1" spans="1:23">
      <c r="A385" s="102" t="s">
        <v>651</v>
      </c>
      <c r="B385" s="102" t="s">
        <v>652</v>
      </c>
      <c r="C385" s="102" t="s">
        <v>173</v>
      </c>
      <c r="D385" s="115"/>
      <c r="E385" s="115"/>
      <c r="F385" s="108" t="s">
        <v>653</v>
      </c>
      <c r="G385" s="108" t="s">
        <v>654</v>
      </c>
      <c r="H385" s="63" t="s">
        <v>85</v>
      </c>
      <c r="I385" s="63" t="s">
        <v>86</v>
      </c>
      <c r="J385" s="63" t="s">
        <v>87</v>
      </c>
      <c r="K385" s="63" t="s">
        <v>93</v>
      </c>
      <c r="L385" s="54">
        <v>3</v>
      </c>
      <c r="M385" s="54" t="s">
        <v>274</v>
      </c>
      <c r="N385" s="63" t="s">
        <v>110</v>
      </c>
      <c r="O385" s="102" t="s">
        <v>24</v>
      </c>
      <c r="P385" s="108" t="s">
        <v>275</v>
      </c>
      <c r="Q385" s="110" t="s">
        <v>112</v>
      </c>
      <c r="R385" s="110" t="s">
        <v>276</v>
      </c>
      <c r="S385" s="110" t="s">
        <v>277</v>
      </c>
      <c r="T385" s="110" t="s">
        <v>26</v>
      </c>
      <c r="U385" s="110" t="s">
        <v>655</v>
      </c>
      <c r="V385" s="110" t="s">
        <v>116</v>
      </c>
      <c r="W385" s="110" t="s">
        <v>117</v>
      </c>
    </row>
    <row r="386" customHeight="1" spans="1:23">
      <c r="A386" s="102"/>
      <c r="B386" s="102"/>
      <c r="C386" s="102"/>
      <c r="D386" s="115"/>
      <c r="E386" s="115"/>
      <c r="F386" s="108"/>
      <c r="G386" s="108"/>
      <c r="H386" s="63" t="s">
        <v>85</v>
      </c>
      <c r="I386" s="63" t="s">
        <v>267</v>
      </c>
      <c r="J386" s="63" t="s">
        <v>87</v>
      </c>
      <c r="K386" s="63" t="s">
        <v>93</v>
      </c>
      <c r="L386" s="54">
        <v>1</v>
      </c>
      <c r="M386" s="54" t="s">
        <v>274</v>
      </c>
      <c r="N386" s="63" t="s">
        <v>110</v>
      </c>
      <c r="O386" s="102"/>
      <c r="P386" s="108"/>
      <c r="Q386" s="110"/>
      <c r="R386" s="110"/>
      <c r="S386" s="110"/>
      <c r="T386" s="110"/>
      <c r="U386" s="110"/>
      <c r="V386" s="110"/>
      <c r="W386" s="110"/>
    </row>
    <row r="387" ht="15.75" customHeight="1" spans="1:23">
      <c r="A387" s="102"/>
      <c r="B387" s="102"/>
      <c r="C387" s="102"/>
      <c r="D387" s="115"/>
      <c r="E387" s="115"/>
      <c r="F387" s="108"/>
      <c r="G387" s="108"/>
      <c r="H387" s="63" t="s">
        <v>85</v>
      </c>
      <c r="I387" s="63" t="s">
        <v>209</v>
      </c>
      <c r="J387" s="63" t="s">
        <v>108</v>
      </c>
      <c r="K387" s="63" t="s">
        <v>134</v>
      </c>
      <c r="L387" s="54">
        <v>2</v>
      </c>
      <c r="M387" s="54" t="s">
        <v>279</v>
      </c>
      <c r="N387" s="63" t="s">
        <v>110</v>
      </c>
      <c r="O387" s="102"/>
      <c r="P387" s="108"/>
      <c r="Q387" s="110"/>
      <c r="R387" s="110"/>
      <c r="S387" s="110"/>
      <c r="T387" s="110"/>
      <c r="U387" s="110"/>
      <c r="V387" s="110"/>
      <c r="W387" s="110"/>
    </row>
    <row r="388" ht="15.75" customHeight="1" spans="1:23">
      <c r="A388" s="102"/>
      <c r="B388" s="102"/>
      <c r="C388" s="102"/>
      <c r="D388" s="115"/>
      <c r="E388" s="115"/>
      <c r="F388" s="108"/>
      <c r="G388" s="108"/>
      <c r="H388" s="71" t="s">
        <v>91</v>
      </c>
      <c r="I388" s="71" t="s">
        <v>209</v>
      </c>
      <c r="J388" s="63" t="s">
        <v>108</v>
      </c>
      <c r="K388" s="71" t="s">
        <v>88</v>
      </c>
      <c r="L388" s="54">
        <v>4</v>
      </c>
      <c r="M388" s="54" t="s">
        <v>279</v>
      </c>
      <c r="N388" s="63" t="s">
        <v>110</v>
      </c>
      <c r="O388" s="102"/>
      <c r="P388" s="108"/>
      <c r="Q388" s="110"/>
      <c r="R388" s="110"/>
      <c r="S388" s="110"/>
      <c r="T388" s="110"/>
      <c r="U388" s="110"/>
      <c r="V388" s="110"/>
      <c r="W388" s="110"/>
    </row>
    <row r="389" ht="15.75" customHeight="1" spans="1:23">
      <c r="A389" s="102"/>
      <c r="B389" s="102"/>
      <c r="C389" s="102"/>
      <c r="D389" s="115"/>
      <c r="E389" s="115"/>
      <c r="F389" s="108"/>
      <c r="G389" s="108"/>
      <c r="H389" s="71" t="s">
        <v>91</v>
      </c>
      <c r="I389" s="71" t="s">
        <v>183</v>
      </c>
      <c r="J389" s="63" t="s">
        <v>108</v>
      </c>
      <c r="K389" s="71" t="s">
        <v>134</v>
      </c>
      <c r="L389" s="54">
        <v>7</v>
      </c>
      <c r="M389" s="54" t="s">
        <v>280</v>
      </c>
      <c r="N389" s="63" t="s">
        <v>110</v>
      </c>
      <c r="O389" s="102"/>
      <c r="P389" s="108"/>
      <c r="Q389" s="110"/>
      <c r="R389" s="110"/>
      <c r="S389" s="110"/>
      <c r="T389" s="110"/>
      <c r="U389" s="110"/>
      <c r="V389" s="110"/>
      <c r="W389" s="110"/>
    </row>
    <row r="390" ht="15.75" customHeight="1" spans="1:23">
      <c r="A390" s="102"/>
      <c r="B390" s="102"/>
      <c r="C390" s="102"/>
      <c r="D390" s="115"/>
      <c r="E390" s="115"/>
      <c r="F390" s="108"/>
      <c r="G390" s="108"/>
      <c r="H390" s="71" t="s">
        <v>132</v>
      </c>
      <c r="I390" s="71" t="s">
        <v>133</v>
      </c>
      <c r="J390" s="63" t="s">
        <v>108</v>
      </c>
      <c r="K390" s="71" t="s">
        <v>134</v>
      </c>
      <c r="L390" s="54">
        <v>3</v>
      </c>
      <c r="M390" s="54" t="s">
        <v>280</v>
      </c>
      <c r="N390" s="63" t="s">
        <v>110</v>
      </c>
      <c r="O390" s="102"/>
      <c r="P390" s="108"/>
      <c r="Q390" s="110"/>
      <c r="R390" s="110"/>
      <c r="S390" s="110"/>
      <c r="T390" s="110"/>
      <c r="U390" s="110"/>
      <c r="V390" s="110"/>
      <c r="W390" s="110"/>
    </row>
    <row r="391" customHeight="1" spans="1:23">
      <c r="A391" s="102"/>
      <c r="B391" s="102"/>
      <c r="C391" s="102"/>
      <c r="D391" s="115"/>
      <c r="E391" s="115"/>
      <c r="F391" s="108"/>
      <c r="G391" s="108"/>
      <c r="H391" s="71" t="s">
        <v>106</v>
      </c>
      <c r="I391" s="71" t="s">
        <v>281</v>
      </c>
      <c r="J391" s="63" t="s">
        <v>87</v>
      </c>
      <c r="K391" s="71" t="s">
        <v>93</v>
      </c>
      <c r="L391" s="54">
        <v>2</v>
      </c>
      <c r="M391" s="54" t="s">
        <v>282</v>
      </c>
      <c r="N391" s="71" t="s">
        <v>110</v>
      </c>
      <c r="O391" s="102"/>
      <c r="P391" s="108"/>
      <c r="Q391" s="110"/>
      <c r="R391" s="110"/>
      <c r="S391" s="110"/>
      <c r="T391" s="110"/>
      <c r="U391" s="110"/>
      <c r="V391" s="110"/>
      <c r="W391" s="110"/>
    </row>
    <row r="392" ht="15.75" customHeight="1" spans="1:23">
      <c r="A392" s="102"/>
      <c r="B392" s="102"/>
      <c r="C392" s="102"/>
      <c r="D392" s="115"/>
      <c r="E392" s="115"/>
      <c r="F392" s="108"/>
      <c r="G392" s="108"/>
      <c r="H392" s="71" t="s">
        <v>106</v>
      </c>
      <c r="I392" s="75" t="s">
        <v>107</v>
      </c>
      <c r="J392" s="63" t="s">
        <v>108</v>
      </c>
      <c r="K392" s="75" t="s">
        <v>93</v>
      </c>
      <c r="L392" s="54">
        <v>7</v>
      </c>
      <c r="M392" s="54" t="s">
        <v>282</v>
      </c>
      <c r="N392" s="75" t="s">
        <v>110</v>
      </c>
      <c r="O392" s="102"/>
      <c r="P392" s="108"/>
      <c r="Q392" s="110"/>
      <c r="R392" s="110"/>
      <c r="S392" s="110"/>
      <c r="T392" s="110"/>
      <c r="U392" s="110"/>
      <c r="V392" s="110"/>
      <c r="W392" s="110"/>
    </row>
    <row r="393" ht="15.75" customHeight="1" spans="1:23">
      <c r="A393" s="102"/>
      <c r="B393" s="102"/>
      <c r="C393" s="102"/>
      <c r="D393" s="115"/>
      <c r="E393" s="115"/>
      <c r="F393" s="108"/>
      <c r="G393" s="108"/>
      <c r="H393" s="71" t="s">
        <v>106</v>
      </c>
      <c r="I393" s="75" t="s">
        <v>170</v>
      </c>
      <c r="J393" s="63" t="s">
        <v>108</v>
      </c>
      <c r="K393" s="75" t="s">
        <v>134</v>
      </c>
      <c r="L393" s="54">
        <v>7</v>
      </c>
      <c r="M393" s="54" t="s">
        <v>282</v>
      </c>
      <c r="N393" s="75" t="s">
        <v>110</v>
      </c>
      <c r="O393" s="102"/>
      <c r="P393" s="108"/>
      <c r="Q393" s="110"/>
      <c r="R393" s="110"/>
      <c r="S393" s="110"/>
      <c r="T393" s="110"/>
      <c r="U393" s="110"/>
      <c r="V393" s="110"/>
      <c r="W393" s="110"/>
    </row>
    <row r="394" ht="15.75" customHeight="1" spans="1:23">
      <c r="A394" s="102"/>
      <c r="B394" s="102"/>
      <c r="C394" s="102"/>
      <c r="D394" s="115"/>
      <c r="E394" s="115"/>
      <c r="F394" s="108"/>
      <c r="G394" s="108"/>
      <c r="H394" s="71" t="s">
        <v>106</v>
      </c>
      <c r="I394" s="75" t="s">
        <v>166</v>
      </c>
      <c r="J394" s="63" t="s">
        <v>108</v>
      </c>
      <c r="K394" s="75" t="s">
        <v>88</v>
      </c>
      <c r="L394" s="54">
        <v>10</v>
      </c>
      <c r="M394" s="54" t="s">
        <v>282</v>
      </c>
      <c r="N394" s="75" t="s">
        <v>110</v>
      </c>
      <c r="O394" s="102"/>
      <c r="P394" s="108"/>
      <c r="Q394" s="110"/>
      <c r="R394" s="110"/>
      <c r="S394" s="110"/>
      <c r="T394" s="110"/>
      <c r="U394" s="110"/>
      <c r="V394" s="110"/>
      <c r="W394" s="110"/>
    </row>
    <row r="395" ht="15.75" customHeight="1" spans="1:23">
      <c r="A395" s="102"/>
      <c r="B395" s="102"/>
      <c r="C395" s="102"/>
      <c r="D395" s="115"/>
      <c r="E395" s="115"/>
      <c r="F395" s="108"/>
      <c r="G395" s="108"/>
      <c r="H395" s="71" t="s">
        <v>106</v>
      </c>
      <c r="I395" s="75" t="s">
        <v>283</v>
      </c>
      <c r="J395" s="63" t="s">
        <v>108</v>
      </c>
      <c r="K395" s="75" t="s">
        <v>134</v>
      </c>
      <c r="L395" s="54">
        <v>10</v>
      </c>
      <c r="M395" s="54" t="s">
        <v>282</v>
      </c>
      <c r="N395" s="75" t="s">
        <v>110</v>
      </c>
      <c r="O395" s="102"/>
      <c r="P395" s="108"/>
      <c r="Q395" s="110"/>
      <c r="R395" s="110"/>
      <c r="S395" s="110"/>
      <c r="T395" s="110"/>
      <c r="U395" s="110"/>
      <c r="V395" s="110"/>
      <c r="W395" s="110"/>
    </row>
    <row r="396" customHeight="1" spans="1:23">
      <c r="A396" s="102"/>
      <c r="B396" s="102"/>
      <c r="C396" s="102"/>
      <c r="D396" s="115"/>
      <c r="E396" s="115"/>
      <c r="F396" s="108"/>
      <c r="G396" s="108"/>
      <c r="H396" s="71" t="s">
        <v>106</v>
      </c>
      <c r="I396" s="75" t="s">
        <v>249</v>
      </c>
      <c r="J396" s="63" t="s">
        <v>87</v>
      </c>
      <c r="K396" s="75" t="s">
        <v>93</v>
      </c>
      <c r="L396" s="54">
        <v>7</v>
      </c>
      <c r="M396" s="54" t="s">
        <v>282</v>
      </c>
      <c r="N396" s="75" t="s">
        <v>110</v>
      </c>
      <c r="O396" s="102"/>
      <c r="P396" s="108"/>
      <c r="Q396" s="110"/>
      <c r="R396" s="110"/>
      <c r="S396" s="110"/>
      <c r="T396" s="110"/>
      <c r="U396" s="110"/>
      <c r="V396" s="110"/>
      <c r="W396" s="110"/>
    </row>
    <row r="397" ht="15.75" customHeight="1" spans="1:23">
      <c r="A397" s="102"/>
      <c r="B397" s="102"/>
      <c r="C397" s="102"/>
      <c r="D397" s="115"/>
      <c r="E397" s="115"/>
      <c r="F397" s="108"/>
      <c r="G397" s="108"/>
      <c r="H397" s="71" t="s">
        <v>106</v>
      </c>
      <c r="I397" s="75" t="s">
        <v>284</v>
      </c>
      <c r="J397" s="63" t="s">
        <v>108</v>
      </c>
      <c r="K397" s="75" t="s">
        <v>88</v>
      </c>
      <c r="L397" s="54">
        <v>10</v>
      </c>
      <c r="M397" s="54" t="s">
        <v>282</v>
      </c>
      <c r="N397" s="75" t="s">
        <v>110</v>
      </c>
      <c r="O397" s="102"/>
      <c r="P397" s="108"/>
      <c r="Q397" s="110"/>
      <c r="R397" s="110"/>
      <c r="S397" s="110"/>
      <c r="T397" s="110"/>
      <c r="U397" s="110"/>
      <c r="V397" s="110"/>
      <c r="W397" s="110"/>
    </row>
    <row r="398" ht="15.75" customHeight="1" spans="1:23">
      <c r="A398" s="102"/>
      <c r="B398" s="102"/>
      <c r="C398" s="102"/>
      <c r="D398" s="115"/>
      <c r="E398" s="115"/>
      <c r="F398" s="108"/>
      <c r="G398" s="108"/>
      <c r="H398" s="71" t="s">
        <v>119</v>
      </c>
      <c r="I398" s="75" t="s">
        <v>120</v>
      </c>
      <c r="J398" s="63" t="s">
        <v>108</v>
      </c>
      <c r="K398" s="75" t="s">
        <v>93</v>
      </c>
      <c r="L398" s="54">
        <v>21</v>
      </c>
      <c r="M398" s="54" t="s">
        <v>282</v>
      </c>
      <c r="N398" s="75" t="s">
        <v>99</v>
      </c>
      <c r="O398" s="102"/>
      <c r="P398" s="108"/>
      <c r="Q398" s="110"/>
      <c r="R398" s="110"/>
      <c r="S398" s="110"/>
      <c r="T398" s="110"/>
      <c r="U398" s="110"/>
      <c r="V398" s="110"/>
      <c r="W398" s="110"/>
    </row>
    <row r="399" ht="15.75" customHeight="1" spans="1:23">
      <c r="A399" s="102"/>
      <c r="B399" s="102"/>
      <c r="C399" s="102"/>
      <c r="D399" s="115"/>
      <c r="E399" s="115"/>
      <c r="F399" s="108"/>
      <c r="G399" s="108"/>
      <c r="H399" s="71" t="s">
        <v>119</v>
      </c>
      <c r="I399" s="75" t="s">
        <v>183</v>
      </c>
      <c r="J399" s="63" t="s">
        <v>108</v>
      </c>
      <c r="K399" s="75" t="s">
        <v>93</v>
      </c>
      <c r="L399" s="54">
        <v>21</v>
      </c>
      <c r="M399" s="54" t="s">
        <v>98</v>
      </c>
      <c r="N399" s="75" t="s">
        <v>99</v>
      </c>
      <c r="O399" s="102"/>
      <c r="P399" s="108"/>
      <c r="Q399" s="110"/>
      <c r="R399" s="110"/>
      <c r="S399" s="110"/>
      <c r="T399" s="110"/>
      <c r="U399" s="110"/>
      <c r="V399" s="110"/>
      <c r="W399" s="110"/>
    </row>
    <row r="400" ht="15.75" customHeight="1" spans="1:23">
      <c r="A400" s="102"/>
      <c r="B400" s="102"/>
      <c r="C400" s="102"/>
      <c r="D400" s="115"/>
      <c r="E400" s="115"/>
      <c r="F400" s="108"/>
      <c r="G400" s="108"/>
      <c r="H400" s="71" t="s">
        <v>95</v>
      </c>
      <c r="I400" s="71" t="s">
        <v>285</v>
      </c>
      <c r="J400" s="63" t="s">
        <v>108</v>
      </c>
      <c r="K400" s="71" t="s">
        <v>134</v>
      </c>
      <c r="L400" s="54">
        <v>14</v>
      </c>
      <c r="M400" s="54" t="s">
        <v>98</v>
      </c>
      <c r="N400" s="63" t="s">
        <v>110</v>
      </c>
      <c r="O400" s="102"/>
      <c r="P400" s="108"/>
      <c r="Q400" s="110"/>
      <c r="R400" s="110"/>
      <c r="S400" s="110"/>
      <c r="T400" s="110"/>
      <c r="U400" s="110"/>
      <c r="V400" s="110"/>
      <c r="W400" s="110"/>
    </row>
    <row r="401" ht="15.75" customHeight="1" spans="1:23">
      <c r="A401" s="102"/>
      <c r="B401" s="102"/>
      <c r="C401" s="102"/>
      <c r="D401" s="115"/>
      <c r="E401" s="115"/>
      <c r="F401" s="108"/>
      <c r="G401" s="108"/>
      <c r="H401" s="71" t="s">
        <v>254</v>
      </c>
      <c r="I401" s="71" t="s">
        <v>255</v>
      </c>
      <c r="J401" s="63" t="s">
        <v>108</v>
      </c>
      <c r="K401" s="71" t="s">
        <v>134</v>
      </c>
      <c r="L401" s="54">
        <v>10</v>
      </c>
      <c r="M401" s="54" t="s">
        <v>282</v>
      </c>
      <c r="N401" s="63" t="s">
        <v>99</v>
      </c>
      <c r="O401" s="102"/>
      <c r="P401" s="108"/>
      <c r="Q401" s="110"/>
      <c r="R401" s="110"/>
      <c r="S401" s="110"/>
      <c r="T401" s="110"/>
      <c r="U401" s="110"/>
      <c r="V401" s="110"/>
      <c r="W401" s="110"/>
    </row>
    <row r="402" customHeight="1" spans="1:23">
      <c r="A402" s="102"/>
      <c r="B402" s="102"/>
      <c r="C402" s="102"/>
      <c r="D402" s="115"/>
      <c r="E402" s="115"/>
      <c r="F402" s="108"/>
      <c r="G402" s="108"/>
      <c r="H402" s="71" t="s">
        <v>254</v>
      </c>
      <c r="I402" s="71" t="s">
        <v>286</v>
      </c>
      <c r="J402" s="63" t="s">
        <v>87</v>
      </c>
      <c r="K402" s="71" t="s">
        <v>134</v>
      </c>
      <c r="L402" s="54">
        <v>8</v>
      </c>
      <c r="M402" s="54" t="s">
        <v>282</v>
      </c>
      <c r="N402" s="63" t="s">
        <v>99</v>
      </c>
      <c r="O402" s="102"/>
      <c r="P402" s="108"/>
      <c r="Q402" s="110"/>
      <c r="R402" s="110"/>
      <c r="S402" s="110"/>
      <c r="T402" s="110"/>
      <c r="U402" s="110"/>
      <c r="V402" s="110"/>
      <c r="W402" s="110"/>
    </row>
    <row r="403" ht="15.75" customHeight="1" spans="1:23">
      <c r="A403" s="102"/>
      <c r="B403" s="102"/>
      <c r="C403" s="102"/>
      <c r="D403" s="115"/>
      <c r="E403" s="115"/>
      <c r="F403" s="108"/>
      <c r="G403" s="108"/>
      <c r="H403" s="71" t="s">
        <v>95</v>
      </c>
      <c r="I403" s="71" t="s">
        <v>377</v>
      </c>
      <c r="J403" s="63" t="s">
        <v>108</v>
      </c>
      <c r="K403" s="71" t="s">
        <v>93</v>
      </c>
      <c r="L403" s="54">
        <v>7</v>
      </c>
      <c r="M403" s="54" t="s">
        <v>98</v>
      </c>
      <c r="N403" s="71" t="s">
        <v>99</v>
      </c>
      <c r="O403" s="102"/>
      <c r="P403" s="108"/>
      <c r="Q403" s="110"/>
      <c r="R403" s="110"/>
      <c r="S403" s="110"/>
      <c r="T403" s="110"/>
      <c r="U403" s="110"/>
      <c r="V403" s="110"/>
      <c r="W403" s="110"/>
    </row>
    <row r="404" ht="15.75" customHeight="1" spans="1:23">
      <c r="A404" s="102"/>
      <c r="B404" s="102"/>
      <c r="C404" s="102"/>
      <c r="D404" s="115"/>
      <c r="E404" s="115"/>
      <c r="F404" s="108"/>
      <c r="G404" s="108"/>
      <c r="H404" s="71" t="s">
        <v>95</v>
      </c>
      <c r="I404" s="71" t="s">
        <v>96</v>
      </c>
      <c r="J404" s="63" t="s">
        <v>97</v>
      </c>
      <c r="K404" s="71" t="s">
        <v>134</v>
      </c>
      <c r="L404" s="54">
        <v>5</v>
      </c>
      <c r="M404" s="54" t="s">
        <v>98</v>
      </c>
      <c r="N404" s="71" t="s">
        <v>99</v>
      </c>
      <c r="O404" s="102"/>
      <c r="P404" s="108"/>
      <c r="Q404" s="110"/>
      <c r="R404" s="110"/>
      <c r="S404" s="110"/>
      <c r="T404" s="110"/>
      <c r="U404" s="110"/>
      <c r="V404" s="110"/>
      <c r="W404" s="110"/>
    </row>
    <row r="405" ht="15.75" customHeight="1" spans="1:23">
      <c r="A405" s="102"/>
      <c r="B405" s="102"/>
      <c r="C405" s="102"/>
      <c r="D405" s="115"/>
      <c r="E405" s="115"/>
      <c r="F405" s="108"/>
      <c r="G405" s="108"/>
      <c r="H405" s="71" t="s">
        <v>157</v>
      </c>
      <c r="I405" s="71" t="s">
        <v>222</v>
      </c>
      <c r="J405" s="63" t="s">
        <v>108</v>
      </c>
      <c r="K405" s="71" t="s">
        <v>134</v>
      </c>
      <c r="L405" s="54">
        <v>4</v>
      </c>
      <c r="M405" s="54" t="s">
        <v>282</v>
      </c>
      <c r="N405" s="71" t="s">
        <v>110</v>
      </c>
      <c r="O405" s="102"/>
      <c r="P405" s="108"/>
      <c r="Q405" s="110"/>
      <c r="R405" s="110"/>
      <c r="S405" s="110"/>
      <c r="T405" s="110"/>
      <c r="U405" s="110"/>
      <c r="V405" s="110"/>
      <c r="W405" s="110"/>
    </row>
    <row r="406" ht="15.75" customHeight="1" spans="1:23">
      <c r="A406" s="102"/>
      <c r="B406" s="102"/>
      <c r="C406" s="102"/>
      <c r="D406" s="115"/>
      <c r="E406" s="115"/>
      <c r="F406" s="108"/>
      <c r="G406" s="108"/>
      <c r="H406" s="71" t="s">
        <v>157</v>
      </c>
      <c r="I406" s="71" t="s">
        <v>158</v>
      </c>
      <c r="J406" s="63" t="s">
        <v>108</v>
      </c>
      <c r="K406" s="71" t="s">
        <v>134</v>
      </c>
      <c r="L406" s="54">
        <v>5</v>
      </c>
      <c r="M406" s="54" t="s">
        <v>282</v>
      </c>
      <c r="N406" s="71" t="s">
        <v>110</v>
      </c>
      <c r="O406" s="102"/>
      <c r="P406" s="108"/>
      <c r="Q406" s="110"/>
      <c r="R406" s="110"/>
      <c r="S406" s="110"/>
      <c r="T406" s="110"/>
      <c r="U406" s="110"/>
      <c r="V406" s="110"/>
      <c r="W406" s="110"/>
    </row>
    <row r="407" customHeight="1" spans="1:23">
      <c r="A407" s="113" t="s">
        <v>656</v>
      </c>
      <c r="B407" s="137" t="s">
        <v>657</v>
      </c>
      <c r="C407" s="137" t="s">
        <v>83</v>
      </c>
      <c r="D407" s="138" t="s">
        <v>102</v>
      </c>
      <c r="E407" s="138" t="s">
        <v>154</v>
      </c>
      <c r="F407" s="113" t="s">
        <v>658</v>
      </c>
      <c r="G407" s="113" t="s">
        <v>659</v>
      </c>
      <c r="H407" s="139" t="s">
        <v>106</v>
      </c>
      <c r="I407" s="139" t="s">
        <v>281</v>
      </c>
      <c r="J407" s="63" t="s">
        <v>87</v>
      </c>
      <c r="K407" s="139" t="s">
        <v>93</v>
      </c>
      <c r="L407" s="77">
        <v>57.9</v>
      </c>
      <c r="M407" s="77" t="s">
        <v>660</v>
      </c>
      <c r="N407" s="139" t="s">
        <v>110</v>
      </c>
      <c r="O407" s="137" t="s">
        <v>33</v>
      </c>
      <c r="P407" s="113" t="s">
        <v>178</v>
      </c>
      <c r="Q407" s="105" t="s">
        <v>112</v>
      </c>
      <c r="R407" s="105" t="s">
        <v>661</v>
      </c>
      <c r="S407" s="105" t="s">
        <v>662</v>
      </c>
      <c r="T407" s="105" t="s">
        <v>35</v>
      </c>
      <c r="U407" s="105" t="s">
        <v>663</v>
      </c>
      <c r="V407" s="105" t="s">
        <v>116</v>
      </c>
      <c r="W407" s="105" t="s">
        <v>117</v>
      </c>
    </row>
    <row r="408" ht="31.5" customHeight="1" spans="1:23">
      <c r="A408" s="113"/>
      <c r="B408" s="137"/>
      <c r="C408" s="137"/>
      <c r="D408" s="138" t="s">
        <v>102</v>
      </c>
      <c r="E408" s="138" t="s">
        <v>154</v>
      </c>
      <c r="F408" s="113" t="s">
        <v>664</v>
      </c>
      <c r="G408" s="113"/>
      <c r="H408" s="139" t="s">
        <v>95</v>
      </c>
      <c r="I408" s="139" t="s">
        <v>193</v>
      </c>
      <c r="J408" s="63" t="s">
        <v>108</v>
      </c>
      <c r="K408" s="139" t="s">
        <v>134</v>
      </c>
      <c r="L408" s="77">
        <v>17.4</v>
      </c>
      <c r="M408" s="77" t="s">
        <v>660</v>
      </c>
      <c r="N408" s="139" t="s">
        <v>99</v>
      </c>
      <c r="O408" s="137" t="s">
        <v>33</v>
      </c>
      <c r="P408" s="113" t="s">
        <v>178</v>
      </c>
      <c r="Q408" s="105" t="s">
        <v>112</v>
      </c>
      <c r="R408" s="105" t="s">
        <v>661</v>
      </c>
      <c r="S408" s="105" t="s">
        <v>662</v>
      </c>
      <c r="T408" s="105" t="s">
        <v>35</v>
      </c>
      <c r="U408" s="105" t="s">
        <v>663</v>
      </c>
      <c r="V408" s="105" t="s">
        <v>116</v>
      </c>
      <c r="W408" s="105" t="s">
        <v>117</v>
      </c>
    </row>
    <row r="409" customHeight="1" spans="1:23">
      <c r="A409" s="113"/>
      <c r="B409" s="137"/>
      <c r="C409" s="137"/>
      <c r="D409" s="138" t="s">
        <v>102</v>
      </c>
      <c r="E409" s="138" t="s">
        <v>154</v>
      </c>
      <c r="F409" s="113" t="s">
        <v>665</v>
      </c>
      <c r="G409" s="113"/>
      <c r="H409" s="139" t="s">
        <v>106</v>
      </c>
      <c r="I409" s="139" t="s">
        <v>281</v>
      </c>
      <c r="J409" s="63" t="s">
        <v>87</v>
      </c>
      <c r="K409" s="139" t="s">
        <v>134</v>
      </c>
      <c r="L409" s="77">
        <v>17.4</v>
      </c>
      <c r="M409" s="77" t="s">
        <v>660</v>
      </c>
      <c r="N409" s="139" t="s">
        <v>110</v>
      </c>
      <c r="O409" s="137" t="s">
        <v>33</v>
      </c>
      <c r="P409" s="113" t="s">
        <v>178</v>
      </c>
      <c r="Q409" s="105" t="s">
        <v>112</v>
      </c>
      <c r="R409" s="105" t="s">
        <v>661</v>
      </c>
      <c r="S409" s="105" t="s">
        <v>662</v>
      </c>
      <c r="T409" s="105" t="s">
        <v>35</v>
      </c>
      <c r="U409" s="105" t="s">
        <v>663</v>
      </c>
      <c r="V409" s="105" t="s">
        <v>116</v>
      </c>
      <c r="W409" s="105" t="s">
        <v>117</v>
      </c>
    </row>
    <row r="410" ht="31.5" customHeight="1" spans="1:23">
      <c r="A410" s="113"/>
      <c r="B410" s="137"/>
      <c r="C410" s="137"/>
      <c r="D410" s="138" t="s">
        <v>102</v>
      </c>
      <c r="E410" s="138" t="s">
        <v>154</v>
      </c>
      <c r="F410" s="113" t="s">
        <v>666</v>
      </c>
      <c r="G410" s="113"/>
      <c r="H410" s="139" t="s">
        <v>95</v>
      </c>
      <c r="I410" s="139" t="s">
        <v>193</v>
      </c>
      <c r="J410" s="63" t="s">
        <v>108</v>
      </c>
      <c r="K410" s="139" t="s">
        <v>134</v>
      </c>
      <c r="L410" s="77">
        <v>17.4</v>
      </c>
      <c r="M410" s="77" t="s">
        <v>660</v>
      </c>
      <c r="N410" s="139" t="s">
        <v>99</v>
      </c>
      <c r="O410" s="137" t="s">
        <v>33</v>
      </c>
      <c r="P410" s="113" t="s">
        <v>178</v>
      </c>
      <c r="Q410" s="105" t="s">
        <v>112</v>
      </c>
      <c r="R410" s="105" t="s">
        <v>661</v>
      </c>
      <c r="S410" s="105" t="s">
        <v>662</v>
      </c>
      <c r="T410" s="105" t="s">
        <v>35</v>
      </c>
      <c r="U410" s="105" t="s">
        <v>663</v>
      </c>
      <c r="V410" s="105" t="s">
        <v>116</v>
      </c>
      <c r="W410" s="105" t="s">
        <v>117</v>
      </c>
    </row>
    <row r="411" ht="15.75" customHeight="1" spans="1:23">
      <c r="A411" s="113"/>
      <c r="B411" s="137"/>
      <c r="C411" s="137"/>
      <c r="D411" s="138" t="s">
        <v>102</v>
      </c>
      <c r="E411" s="138" t="s">
        <v>154</v>
      </c>
      <c r="F411" s="113" t="s">
        <v>667</v>
      </c>
      <c r="G411" s="113"/>
      <c r="H411" s="139" t="s">
        <v>95</v>
      </c>
      <c r="I411" s="139" t="s">
        <v>193</v>
      </c>
      <c r="J411" s="63" t="s">
        <v>108</v>
      </c>
      <c r="K411" s="139" t="s">
        <v>88</v>
      </c>
      <c r="L411" s="77">
        <v>5.8</v>
      </c>
      <c r="M411" s="77" t="s">
        <v>660</v>
      </c>
      <c r="N411" s="139" t="s">
        <v>99</v>
      </c>
      <c r="O411" s="137" t="s">
        <v>33</v>
      </c>
      <c r="P411" s="113" t="s">
        <v>178</v>
      </c>
      <c r="Q411" s="105" t="s">
        <v>112</v>
      </c>
      <c r="R411" s="105" t="s">
        <v>661</v>
      </c>
      <c r="S411" s="105" t="s">
        <v>662</v>
      </c>
      <c r="T411" s="105" t="s">
        <v>35</v>
      </c>
      <c r="U411" s="105" t="s">
        <v>663</v>
      </c>
      <c r="V411" s="105" t="s">
        <v>116</v>
      </c>
      <c r="W411" s="105" t="s">
        <v>117</v>
      </c>
    </row>
    <row r="412" ht="15.75" customHeight="1" spans="1:23">
      <c r="A412" s="113"/>
      <c r="B412" s="137"/>
      <c r="C412" s="137"/>
      <c r="D412" s="138" t="s">
        <v>102</v>
      </c>
      <c r="E412" s="138" t="s">
        <v>154</v>
      </c>
      <c r="F412" s="113" t="s">
        <v>668</v>
      </c>
      <c r="G412" s="113"/>
      <c r="H412" s="139" t="s">
        <v>95</v>
      </c>
      <c r="I412" s="139" t="s">
        <v>176</v>
      </c>
      <c r="J412" s="63" t="s">
        <v>97</v>
      </c>
      <c r="K412" s="139" t="s">
        <v>134</v>
      </c>
      <c r="L412" s="77">
        <v>17.4</v>
      </c>
      <c r="M412" s="77" t="s">
        <v>660</v>
      </c>
      <c r="N412" s="139" t="s">
        <v>99</v>
      </c>
      <c r="O412" s="137" t="s">
        <v>33</v>
      </c>
      <c r="P412" s="113" t="s">
        <v>178</v>
      </c>
      <c r="Q412" s="105" t="s">
        <v>112</v>
      </c>
      <c r="R412" s="105" t="s">
        <v>661</v>
      </c>
      <c r="S412" s="105" t="s">
        <v>662</v>
      </c>
      <c r="T412" s="105" t="s">
        <v>35</v>
      </c>
      <c r="U412" s="105" t="s">
        <v>663</v>
      </c>
      <c r="V412" s="105" t="s">
        <v>116</v>
      </c>
      <c r="W412" s="105" t="s">
        <v>117</v>
      </c>
    </row>
    <row r="413" customHeight="1" spans="1:23">
      <c r="A413" s="113"/>
      <c r="B413" s="137"/>
      <c r="C413" s="137"/>
      <c r="D413" s="138" t="s">
        <v>102</v>
      </c>
      <c r="E413" s="138" t="s">
        <v>154</v>
      </c>
      <c r="F413" s="113" t="s">
        <v>669</v>
      </c>
      <c r="G413" s="113"/>
      <c r="H413" s="139" t="s">
        <v>91</v>
      </c>
      <c r="I413" s="139" t="s">
        <v>328</v>
      </c>
      <c r="J413" s="63" t="s">
        <v>87</v>
      </c>
      <c r="K413" s="139" t="s">
        <v>134</v>
      </c>
      <c r="L413" s="77">
        <v>17.4</v>
      </c>
      <c r="M413" s="77" t="s">
        <v>660</v>
      </c>
      <c r="N413" s="139" t="s">
        <v>99</v>
      </c>
      <c r="O413" s="137" t="s">
        <v>33</v>
      </c>
      <c r="P413" s="113" t="s">
        <v>178</v>
      </c>
      <c r="Q413" s="105" t="s">
        <v>112</v>
      </c>
      <c r="R413" s="105" t="s">
        <v>661</v>
      </c>
      <c r="S413" s="105" t="s">
        <v>662</v>
      </c>
      <c r="T413" s="105" t="s">
        <v>35</v>
      </c>
      <c r="U413" s="105" t="s">
        <v>663</v>
      </c>
      <c r="V413" s="105" t="s">
        <v>116</v>
      </c>
      <c r="W413" s="105" t="s">
        <v>117</v>
      </c>
    </row>
    <row r="414" ht="15.75" customHeight="1" spans="1:23">
      <c r="A414" s="113"/>
      <c r="B414" s="137"/>
      <c r="C414" s="137"/>
      <c r="D414" s="138" t="s">
        <v>102</v>
      </c>
      <c r="E414" s="138" t="s">
        <v>154</v>
      </c>
      <c r="F414" s="113" t="s">
        <v>670</v>
      </c>
      <c r="G414" s="113"/>
      <c r="H414" s="139" t="s">
        <v>95</v>
      </c>
      <c r="I414" s="139" t="s">
        <v>193</v>
      </c>
      <c r="J414" s="63" t="s">
        <v>108</v>
      </c>
      <c r="K414" s="139" t="s">
        <v>134</v>
      </c>
      <c r="L414" s="77">
        <v>17.3</v>
      </c>
      <c r="M414" s="77" t="s">
        <v>660</v>
      </c>
      <c r="N414" s="139" t="s">
        <v>99</v>
      </c>
      <c r="O414" s="137" t="s">
        <v>33</v>
      </c>
      <c r="P414" s="113" t="s">
        <v>178</v>
      </c>
      <c r="Q414" s="105" t="s">
        <v>112</v>
      </c>
      <c r="R414" s="105" t="s">
        <v>661</v>
      </c>
      <c r="S414" s="105" t="s">
        <v>662</v>
      </c>
      <c r="T414" s="105" t="s">
        <v>35</v>
      </c>
      <c r="U414" s="105" t="s">
        <v>663</v>
      </c>
      <c r="V414" s="105" t="s">
        <v>116</v>
      </c>
      <c r="W414" s="105" t="s">
        <v>117</v>
      </c>
    </row>
    <row r="415" customHeight="1" spans="1:23">
      <c r="A415" s="113" t="s">
        <v>671</v>
      </c>
      <c r="B415" s="137" t="s">
        <v>672</v>
      </c>
      <c r="C415" s="137" t="s">
        <v>83</v>
      </c>
      <c r="D415" s="138" t="s">
        <v>215</v>
      </c>
      <c r="E415" s="138" t="s">
        <v>154</v>
      </c>
      <c r="F415" s="113" t="s">
        <v>673</v>
      </c>
      <c r="G415" s="113" t="s">
        <v>674</v>
      </c>
      <c r="H415" s="139" t="s">
        <v>106</v>
      </c>
      <c r="I415" s="139" t="s">
        <v>281</v>
      </c>
      <c r="J415" s="63" t="s">
        <v>87</v>
      </c>
      <c r="K415" s="139" t="s">
        <v>93</v>
      </c>
      <c r="L415" s="77">
        <v>31.1</v>
      </c>
      <c r="M415" s="77" t="s">
        <v>675</v>
      </c>
      <c r="N415" s="139" t="s">
        <v>90</v>
      </c>
      <c r="O415" s="137" t="s">
        <v>33</v>
      </c>
      <c r="P415" s="113" t="s">
        <v>178</v>
      </c>
      <c r="Q415" s="105" t="s">
        <v>112</v>
      </c>
      <c r="R415" s="105" t="s">
        <v>661</v>
      </c>
      <c r="S415" s="105" t="s">
        <v>662</v>
      </c>
      <c r="T415" s="105" t="s">
        <v>35</v>
      </c>
      <c r="U415" s="105" t="s">
        <v>676</v>
      </c>
      <c r="V415" s="105" t="s">
        <v>116</v>
      </c>
      <c r="W415" s="105" t="s">
        <v>117</v>
      </c>
    </row>
    <row r="416" ht="15.75" customHeight="1" spans="1:23">
      <c r="A416" s="113"/>
      <c r="B416" s="137"/>
      <c r="C416" s="137"/>
      <c r="D416" s="138" t="s">
        <v>215</v>
      </c>
      <c r="E416" s="138" t="s">
        <v>154</v>
      </c>
      <c r="F416" s="113" t="s">
        <v>677</v>
      </c>
      <c r="G416" s="113"/>
      <c r="H416" s="139" t="s">
        <v>106</v>
      </c>
      <c r="I416" s="139" t="s">
        <v>170</v>
      </c>
      <c r="J416" s="63" t="s">
        <v>108</v>
      </c>
      <c r="K416" s="139" t="s">
        <v>93</v>
      </c>
      <c r="L416" s="77">
        <v>31.1</v>
      </c>
      <c r="M416" s="77" t="s">
        <v>675</v>
      </c>
      <c r="N416" s="139" t="s">
        <v>110</v>
      </c>
      <c r="O416" s="137" t="s">
        <v>33</v>
      </c>
      <c r="P416" s="113" t="s">
        <v>178</v>
      </c>
      <c r="Q416" s="105" t="s">
        <v>112</v>
      </c>
      <c r="R416" s="105" t="s">
        <v>661</v>
      </c>
      <c r="S416" s="105" t="s">
        <v>662</v>
      </c>
      <c r="T416" s="105" t="s">
        <v>35</v>
      </c>
      <c r="U416" s="105" t="s">
        <v>676</v>
      </c>
      <c r="V416" s="105" t="s">
        <v>116</v>
      </c>
      <c r="W416" s="105" t="s">
        <v>117</v>
      </c>
    </row>
    <row r="417" ht="31.5" customHeight="1" spans="1:23">
      <c r="A417" s="113"/>
      <c r="B417" s="137"/>
      <c r="C417" s="137"/>
      <c r="D417" s="138" t="s">
        <v>215</v>
      </c>
      <c r="E417" s="138" t="s">
        <v>154</v>
      </c>
      <c r="F417" s="113" t="s">
        <v>678</v>
      </c>
      <c r="G417" s="113"/>
      <c r="H417" s="139" t="s">
        <v>119</v>
      </c>
      <c r="I417" s="139" t="s">
        <v>120</v>
      </c>
      <c r="J417" s="63" t="s">
        <v>108</v>
      </c>
      <c r="K417" s="139" t="s">
        <v>93</v>
      </c>
      <c r="L417" s="77">
        <v>31.1</v>
      </c>
      <c r="M417" s="77" t="s">
        <v>675</v>
      </c>
      <c r="N417" s="139" t="s">
        <v>110</v>
      </c>
      <c r="O417" s="137" t="s">
        <v>33</v>
      </c>
      <c r="P417" s="113" t="s">
        <v>178</v>
      </c>
      <c r="Q417" s="105" t="s">
        <v>112</v>
      </c>
      <c r="R417" s="105" t="s">
        <v>661</v>
      </c>
      <c r="S417" s="105" t="s">
        <v>662</v>
      </c>
      <c r="T417" s="105" t="s">
        <v>35</v>
      </c>
      <c r="U417" s="105" t="s">
        <v>676</v>
      </c>
      <c r="V417" s="105" t="s">
        <v>116</v>
      </c>
      <c r="W417" s="105" t="s">
        <v>117</v>
      </c>
    </row>
    <row r="418" customHeight="1" spans="1:23">
      <c r="A418" s="113"/>
      <c r="B418" s="137"/>
      <c r="C418" s="137"/>
      <c r="D418" s="138" t="s">
        <v>215</v>
      </c>
      <c r="E418" s="138" t="s">
        <v>154</v>
      </c>
      <c r="F418" s="113" t="s">
        <v>679</v>
      </c>
      <c r="G418" s="113"/>
      <c r="H418" s="139" t="s">
        <v>254</v>
      </c>
      <c r="I418" s="139" t="s">
        <v>286</v>
      </c>
      <c r="J418" s="63" t="s">
        <v>87</v>
      </c>
      <c r="K418" s="139" t="s">
        <v>93</v>
      </c>
      <c r="L418" s="77">
        <v>31.1</v>
      </c>
      <c r="M418" s="77" t="s">
        <v>675</v>
      </c>
      <c r="N418" s="139" t="s">
        <v>90</v>
      </c>
      <c r="O418" s="137" t="s">
        <v>33</v>
      </c>
      <c r="P418" s="113" t="s">
        <v>178</v>
      </c>
      <c r="Q418" s="105" t="s">
        <v>112</v>
      </c>
      <c r="R418" s="105" t="s">
        <v>661</v>
      </c>
      <c r="S418" s="105" t="s">
        <v>662</v>
      </c>
      <c r="T418" s="105" t="s">
        <v>35</v>
      </c>
      <c r="U418" s="105" t="s">
        <v>676</v>
      </c>
      <c r="V418" s="105" t="s">
        <v>116</v>
      </c>
      <c r="W418" s="105" t="s">
        <v>117</v>
      </c>
    </row>
    <row r="419" ht="47.25" customHeight="1" spans="1:23">
      <c r="A419" s="113"/>
      <c r="B419" s="137"/>
      <c r="C419" s="137"/>
      <c r="D419" s="138" t="s">
        <v>215</v>
      </c>
      <c r="E419" s="138" t="s">
        <v>154</v>
      </c>
      <c r="F419" s="113" t="s">
        <v>680</v>
      </c>
      <c r="G419" s="113"/>
      <c r="H419" s="139" t="s">
        <v>85</v>
      </c>
      <c r="I419" s="139" t="s">
        <v>192</v>
      </c>
      <c r="J419" s="63" t="s">
        <v>108</v>
      </c>
      <c r="K419" s="139" t="s">
        <v>93</v>
      </c>
      <c r="L419" s="77">
        <v>31.1</v>
      </c>
      <c r="M419" s="77" t="s">
        <v>675</v>
      </c>
      <c r="N419" s="139" t="s">
        <v>110</v>
      </c>
      <c r="O419" s="137" t="s">
        <v>33</v>
      </c>
      <c r="P419" s="113" t="s">
        <v>178</v>
      </c>
      <c r="Q419" s="105" t="s">
        <v>112</v>
      </c>
      <c r="R419" s="105" t="s">
        <v>661</v>
      </c>
      <c r="S419" s="105" t="s">
        <v>662</v>
      </c>
      <c r="T419" s="105" t="s">
        <v>35</v>
      </c>
      <c r="U419" s="105" t="s">
        <v>676</v>
      </c>
      <c r="V419" s="105" t="s">
        <v>116</v>
      </c>
      <c r="W419" s="105" t="s">
        <v>117</v>
      </c>
    </row>
    <row r="420" ht="15.75" customHeight="1" spans="1:23">
      <c r="A420" s="113"/>
      <c r="B420" s="137"/>
      <c r="C420" s="137"/>
      <c r="D420" s="138" t="s">
        <v>215</v>
      </c>
      <c r="E420" s="138" t="s">
        <v>154</v>
      </c>
      <c r="F420" s="113" t="s">
        <v>681</v>
      </c>
      <c r="G420" s="113"/>
      <c r="H420" s="139" t="s">
        <v>119</v>
      </c>
      <c r="I420" s="139" t="s">
        <v>120</v>
      </c>
      <c r="J420" s="63" t="s">
        <v>108</v>
      </c>
      <c r="K420" s="139" t="s">
        <v>88</v>
      </c>
      <c r="L420" s="77">
        <v>3.1</v>
      </c>
      <c r="M420" s="77" t="s">
        <v>675</v>
      </c>
      <c r="N420" s="139" t="s">
        <v>110</v>
      </c>
      <c r="O420" s="137" t="s">
        <v>33</v>
      </c>
      <c r="P420" s="113" t="s">
        <v>178</v>
      </c>
      <c r="Q420" s="105" t="s">
        <v>112</v>
      </c>
      <c r="R420" s="105" t="s">
        <v>661</v>
      </c>
      <c r="S420" s="105" t="s">
        <v>662</v>
      </c>
      <c r="T420" s="105" t="s">
        <v>35</v>
      </c>
      <c r="U420" s="105" t="s">
        <v>676</v>
      </c>
      <c r="V420" s="105" t="s">
        <v>116</v>
      </c>
      <c r="W420" s="105" t="s">
        <v>117</v>
      </c>
    </row>
    <row r="421" ht="31.5" customHeight="1" spans="1:23">
      <c r="A421" s="113"/>
      <c r="B421" s="137"/>
      <c r="C421" s="137"/>
      <c r="D421" s="138" t="s">
        <v>215</v>
      </c>
      <c r="E421" s="138" t="s">
        <v>154</v>
      </c>
      <c r="F421" s="113" t="s">
        <v>682</v>
      </c>
      <c r="G421" s="113"/>
      <c r="H421" s="139" t="s">
        <v>218</v>
      </c>
      <c r="I421" s="139" t="s">
        <v>219</v>
      </c>
      <c r="J421" s="63" t="s">
        <v>108</v>
      </c>
      <c r="K421" s="139" t="s">
        <v>134</v>
      </c>
      <c r="L421" s="77">
        <v>9.4</v>
      </c>
      <c r="M421" s="77" t="s">
        <v>675</v>
      </c>
      <c r="N421" s="139" t="s">
        <v>90</v>
      </c>
      <c r="O421" s="137" t="s">
        <v>33</v>
      </c>
      <c r="P421" s="113" t="s">
        <v>178</v>
      </c>
      <c r="Q421" s="105" t="s">
        <v>112</v>
      </c>
      <c r="R421" s="105" t="s">
        <v>661</v>
      </c>
      <c r="S421" s="105" t="s">
        <v>662</v>
      </c>
      <c r="T421" s="105" t="s">
        <v>35</v>
      </c>
      <c r="U421" s="105" t="s">
        <v>676</v>
      </c>
      <c r="V421" s="105" t="s">
        <v>116</v>
      </c>
      <c r="W421" s="105" t="s">
        <v>117</v>
      </c>
    </row>
    <row r="422" ht="31.5" customHeight="1" spans="1:23">
      <c r="A422" s="113" t="s">
        <v>683</v>
      </c>
      <c r="B422" s="137" t="s">
        <v>684</v>
      </c>
      <c r="C422" s="137" t="s">
        <v>173</v>
      </c>
      <c r="D422" s="138" t="s">
        <v>102</v>
      </c>
      <c r="E422" s="138" t="s">
        <v>154</v>
      </c>
      <c r="F422" s="113" t="s">
        <v>685</v>
      </c>
      <c r="G422" s="113" t="s">
        <v>686</v>
      </c>
      <c r="H422" s="139" t="s">
        <v>132</v>
      </c>
      <c r="I422" s="139" t="s">
        <v>133</v>
      </c>
      <c r="J422" s="63" t="s">
        <v>108</v>
      </c>
      <c r="K422" s="139" t="s">
        <v>93</v>
      </c>
      <c r="L422" s="77">
        <v>62.2</v>
      </c>
      <c r="M422" s="77" t="s">
        <v>687</v>
      </c>
      <c r="N422" s="139" t="s">
        <v>90</v>
      </c>
      <c r="O422" s="137" t="s">
        <v>33</v>
      </c>
      <c r="P422" s="113" t="s">
        <v>178</v>
      </c>
      <c r="Q422" s="105" t="s">
        <v>112</v>
      </c>
      <c r="R422" s="105" t="s">
        <v>661</v>
      </c>
      <c r="S422" s="105" t="s">
        <v>662</v>
      </c>
      <c r="T422" s="105" t="s">
        <v>35</v>
      </c>
      <c r="U422" s="105" t="s">
        <v>688</v>
      </c>
      <c r="V422" s="105" t="s">
        <v>116</v>
      </c>
      <c r="W422" s="105" t="s">
        <v>117</v>
      </c>
    </row>
    <row r="423" ht="31.5" customHeight="1" spans="1:23">
      <c r="A423" s="113"/>
      <c r="B423" s="137"/>
      <c r="C423" s="137"/>
      <c r="D423" s="138" t="s">
        <v>102</v>
      </c>
      <c r="E423" s="138" t="s">
        <v>154</v>
      </c>
      <c r="F423" s="113" t="s">
        <v>689</v>
      </c>
      <c r="G423" s="113"/>
      <c r="H423" s="139" t="s">
        <v>218</v>
      </c>
      <c r="I423" s="139" t="s">
        <v>291</v>
      </c>
      <c r="J423" s="63" t="s">
        <v>108</v>
      </c>
      <c r="K423" s="139" t="s">
        <v>134</v>
      </c>
      <c r="L423" s="77">
        <v>18.7</v>
      </c>
      <c r="M423" s="77" t="s">
        <v>687</v>
      </c>
      <c r="N423" s="139" t="s">
        <v>90</v>
      </c>
      <c r="O423" s="137" t="s">
        <v>33</v>
      </c>
      <c r="P423" s="113" t="s">
        <v>178</v>
      </c>
      <c r="Q423" s="105" t="s">
        <v>112</v>
      </c>
      <c r="R423" s="105" t="s">
        <v>661</v>
      </c>
      <c r="S423" s="105" t="s">
        <v>662</v>
      </c>
      <c r="T423" s="105" t="s">
        <v>35</v>
      </c>
      <c r="U423" s="105" t="s">
        <v>688</v>
      </c>
      <c r="V423" s="105" t="s">
        <v>116</v>
      </c>
      <c r="W423" s="105" t="s">
        <v>117</v>
      </c>
    </row>
    <row r="424" ht="31.5" customHeight="1" spans="1:23">
      <c r="A424" s="113"/>
      <c r="B424" s="137"/>
      <c r="C424" s="137"/>
      <c r="D424" s="138" t="s">
        <v>102</v>
      </c>
      <c r="E424" s="138" t="s">
        <v>154</v>
      </c>
      <c r="F424" s="113" t="s">
        <v>690</v>
      </c>
      <c r="G424" s="113"/>
      <c r="H424" s="139" t="s">
        <v>218</v>
      </c>
      <c r="I424" s="139" t="s">
        <v>291</v>
      </c>
      <c r="J424" s="63" t="s">
        <v>108</v>
      </c>
      <c r="K424" s="139" t="s">
        <v>88</v>
      </c>
      <c r="L424" s="77">
        <v>6.2</v>
      </c>
      <c r="M424" s="77" t="s">
        <v>687</v>
      </c>
      <c r="N424" s="139" t="s">
        <v>110</v>
      </c>
      <c r="O424" s="137" t="s">
        <v>33</v>
      </c>
      <c r="P424" s="113" t="s">
        <v>178</v>
      </c>
      <c r="Q424" s="105" t="s">
        <v>112</v>
      </c>
      <c r="R424" s="105" t="s">
        <v>661</v>
      </c>
      <c r="S424" s="105" t="s">
        <v>662</v>
      </c>
      <c r="T424" s="105" t="s">
        <v>35</v>
      </c>
      <c r="U424" s="105" t="s">
        <v>688</v>
      </c>
      <c r="V424" s="105" t="s">
        <v>116</v>
      </c>
      <c r="W424" s="105" t="s">
        <v>117</v>
      </c>
    </row>
    <row r="425" ht="31.5" customHeight="1" spans="1:23">
      <c r="A425" s="113"/>
      <c r="B425" s="137"/>
      <c r="C425" s="137"/>
      <c r="D425" s="138" t="s">
        <v>102</v>
      </c>
      <c r="E425" s="138" t="s">
        <v>154</v>
      </c>
      <c r="F425" s="113" t="s">
        <v>691</v>
      </c>
      <c r="G425" s="113"/>
      <c r="H425" s="139" t="s">
        <v>254</v>
      </c>
      <c r="I425" s="139" t="s">
        <v>457</v>
      </c>
      <c r="J425" s="63" t="s">
        <v>108</v>
      </c>
      <c r="K425" s="139" t="s">
        <v>93</v>
      </c>
      <c r="L425" s="77">
        <v>62.2</v>
      </c>
      <c r="M425" s="77" t="s">
        <v>687</v>
      </c>
      <c r="N425" s="139" t="s">
        <v>90</v>
      </c>
      <c r="O425" s="137" t="s">
        <v>33</v>
      </c>
      <c r="P425" s="113" t="s">
        <v>178</v>
      </c>
      <c r="Q425" s="105" t="s">
        <v>112</v>
      </c>
      <c r="R425" s="105" t="s">
        <v>661</v>
      </c>
      <c r="S425" s="105" t="s">
        <v>662</v>
      </c>
      <c r="T425" s="105" t="s">
        <v>35</v>
      </c>
      <c r="U425" s="105" t="s">
        <v>688</v>
      </c>
      <c r="V425" s="105" t="s">
        <v>116</v>
      </c>
      <c r="W425" s="105" t="s">
        <v>117</v>
      </c>
    </row>
    <row r="426" ht="31.5" customHeight="1" spans="1:23">
      <c r="A426" s="113"/>
      <c r="B426" s="137"/>
      <c r="C426" s="137"/>
      <c r="D426" s="138" t="s">
        <v>102</v>
      </c>
      <c r="E426" s="138" t="s">
        <v>154</v>
      </c>
      <c r="F426" s="113" t="s">
        <v>692</v>
      </c>
      <c r="G426" s="113"/>
      <c r="H426" s="139" t="s">
        <v>95</v>
      </c>
      <c r="I426" s="139" t="s">
        <v>377</v>
      </c>
      <c r="J426" s="63" t="s">
        <v>108</v>
      </c>
      <c r="K426" s="139" t="s">
        <v>134</v>
      </c>
      <c r="L426" s="77">
        <v>18.7</v>
      </c>
      <c r="M426" s="77" t="s">
        <v>687</v>
      </c>
      <c r="N426" s="139" t="s">
        <v>110</v>
      </c>
      <c r="O426" s="137" t="s">
        <v>33</v>
      </c>
      <c r="P426" s="113" t="s">
        <v>178</v>
      </c>
      <c r="Q426" s="105" t="s">
        <v>112</v>
      </c>
      <c r="R426" s="105" t="s">
        <v>661</v>
      </c>
      <c r="S426" s="105" t="s">
        <v>662</v>
      </c>
      <c r="T426" s="105" t="s">
        <v>35</v>
      </c>
      <c r="U426" s="105" t="s">
        <v>688</v>
      </c>
      <c r="V426" s="105" t="s">
        <v>116</v>
      </c>
      <c r="W426" s="105" t="s">
        <v>117</v>
      </c>
    </row>
    <row r="427" ht="31.5" customHeight="1" spans="1:23">
      <c r="A427" s="113" t="s">
        <v>34</v>
      </c>
      <c r="B427" s="137" t="s">
        <v>33</v>
      </c>
      <c r="C427" s="137" t="s">
        <v>83</v>
      </c>
      <c r="D427" s="138" t="s">
        <v>215</v>
      </c>
      <c r="E427" s="138" t="s">
        <v>154</v>
      </c>
      <c r="F427" s="113" t="s">
        <v>693</v>
      </c>
      <c r="G427" s="113" t="s">
        <v>694</v>
      </c>
      <c r="H427" s="139" t="s">
        <v>106</v>
      </c>
      <c r="I427" s="139" t="s">
        <v>170</v>
      </c>
      <c r="J427" s="63" t="s">
        <v>108</v>
      </c>
      <c r="K427" s="139" t="s">
        <v>93</v>
      </c>
      <c r="L427" s="77">
        <v>25.8</v>
      </c>
      <c r="M427" s="77" t="s">
        <v>695</v>
      </c>
      <c r="N427" s="139" t="s">
        <v>90</v>
      </c>
      <c r="O427" s="137" t="s">
        <v>33</v>
      </c>
      <c r="P427" s="113" t="s">
        <v>178</v>
      </c>
      <c r="Q427" s="105" t="s">
        <v>112</v>
      </c>
      <c r="R427" s="105" t="s">
        <v>661</v>
      </c>
      <c r="S427" s="105" t="s">
        <v>662</v>
      </c>
      <c r="T427" s="105" t="s">
        <v>35</v>
      </c>
      <c r="U427" s="105" t="s">
        <v>696</v>
      </c>
      <c r="V427" s="105" t="s">
        <v>116</v>
      </c>
      <c r="W427" s="105" t="s">
        <v>117</v>
      </c>
    </row>
    <row r="428" ht="31.5" customHeight="1" spans="1:23">
      <c r="A428" s="113"/>
      <c r="B428" s="137"/>
      <c r="C428" s="137"/>
      <c r="D428" s="138" t="s">
        <v>215</v>
      </c>
      <c r="E428" s="138" t="s">
        <v>154</v>
      </c>
      <c r="F428" s="113" t="s">
        <v>697</v>
      </c>
      <c r="G428" s="113"/>
      <c r="H428" s="139" t="s">
        <v>85</v>
      </c>
      <c r="I428" s="139" t="s">
        <v>192</v>
      </c>
      <c r="J428" s="63" t="s">
        <v>108</v>
      </c>
      <c r="K428" s="139" t="s">
        <v>93</v>
      </c>
      <c r="L428" s="77">
        <v>25.8</v>
      </c>
      <c r="M428" s="77" t="s">
        <v>695</v>
      </c>
      <c r="N428" s="139" t="s">
        <v>90</v>
      </c>
      <c r="O428" s="137" t="s">
        <v>33</v>
      </c>
      <c r="P428" s="113" t="s">
        <v>178</v>
      </c>
      <c r="Q428" s="105" t="s">
        <v>112</v>
      </c>
      <c r="R428" s="105" t="s">
        <v>661</v>
      </c>
      <c r="S428" s="105" t="s">
        <v>662</v>
      </c>
      <c r="T428" s="105" t="s">
        <v>35</v>
      </c>
      <c r="U428" s="105" t="s">
        <v>696</v>
      </c>
      <c r="V428" s="105" t="s">
        <v>116</v>
      </c>
      <c r="W428" s="105" t="s">
        <v>117</v>
      </c>
    </row>
    <row r="429" ht="31.5" customHeight="1" spans="1:23">
      <c r="A429" s="113"/>
      <c r="B429" s="137"/>
      <c r="C429" s="137"/>
      <c r="D429" s="138" t="s">
        <v>215</v>
      </c>
      <c r="E429" s="138" t="s">
        <v>154</v>
      </c>
      <c r="F429" s="113" t="s">
        <v>698</v>
      </c>
      <c r="G429" s="113"/>
      <c r="H429" s="139" t="s">
        <v>85</v>
      </c>
      <c r="I429" s="139" t="s">
        <v>192</v>
      </c>
      <c r="J429" s="63" t="s">
        <v>108</v>
      </c>
      <c r="K429" s="139" t="s">
        <v>93</v>
      </c>
      <c r="L429" s="77">
        <v>25.8</v>
      </c>
      <c r="M429" s="77" t="s">
        <v>695</v>
      </c>
      <c r="N429" s="139" t="s">
        <v>90</v>
      </c>
      <c r="O429" s="137" t="s">
        <v>33</v>
      </c>
      <c r="P429" s="113" t="s">
        <v>178</v>
      </c>
      <c r="Q429" s="105" t="s">
        <v>112</v>
      </c>
      <c r="R429" s="105" t="s">
        <v>661</v>
      </c>
      <c r="S429" s="105" t="s">
        <v>662</v>
      </c>
      <c r="T429" s="105" t="s">
        <v>35</v>
      </c>
      <c r="U429" s="105" t="s">
        <v>696</v>
      </c>
      <c r="V429" s="105" t="s">
        <v>116</v>
      </c>
      <c r="W429" s="105" t="s">
        <v>117</v>
      </c>
    </row>
    <row r="430" ht="31.5" customHeight="1" spans="1:23">
      <c r="A430" s="113"/>
      <c r="B430" s="137"/>
      <c r="C430" s="137"/>
      <c r="D430" s="138" t="s">
        <v>215</v>
      </c>
      <c r="E430" s="138" t="s">
        <v>154</v>
      </c>
      <c r="F430" s="113" t="s">
        <v>699</v>
      </c>
      <c r="G430" s="113"/>
      <c r="H430" s="139" t="s">
        <v>95</v>
      </c>
      <c r="I430" s="139" t="s">
        <v>96</v>
      </c>
      <c r="J430" s="63" t="s">
        <v>97</v>
      </c>
      <c r="K430" s="139" t="s">
        <v>93</v>
      </c>
      <c r="L430" s="77">
        <v>25.8</v>
      </c>
      <c r="M430" s="77" t="s">
        <v>695</v>
      </c>
      <c r="N430" s="139" t="s">
        <v>110</v>
      </c>
      <c r="O430" s="137" t="s">
        <v>33</v>
      </c>
      <c r="P430" s="113" t="s">
        <v>178</v>
      </c>
      <c r="Q430" s="105" t="s">
        <v>112</v>
      </c>
      <c r="R430" s="105" t="s">
        <v>661</v>
      </c>
      <c r="S430" s="105" t="s">
        <v>662</v>
      </c>
      <c r="T430" s="105" t="s">
        <v>35</v>
      </c>
      <c r="U430" s="105" t="s">
        <v>696</v>
      </c>
      <c r="V430" s="105" t="s">
        <v>116</v>
      </c>
      <c r="W430" s="105" t="s">
        <v>117</v>
      </c>
    </row>
    <row r="431" ht="31.5" customHeight="1" spans="1:23">
      <c r="A431" s="113"/>
      <c r="B431" s="137"/>
      <c r="C431" s="137"/>
      <c r="D431" s="138" t="s">
        <v>215</v>
      </c>
      <c r="E431" s="138" t="s">
        <v>154</v>
      </c>
      <c r="F431" s="113" t="s">
        <v>700</v>
      </c>
      <c r="G431" s="113"/>
      <c r="H431" s="139" t="s">
        <v>157</v>
      </c>
      <c r="I431" s="139" t="s">
        <v>158</v>
      </c>
      <c r="J431" s="63" t="s">
        <v>108</v>
      </c>
      <c r="K431" s="139" t="s">
        <v>88</v>
      </c>
      <c r="L431" s="77">
        <v>2.6</v>
      </c>
      <c r="M431" s="77" t="s">
        <v>695</v>
      </c>
      <c r="N431" s="139" t="s">
        <v>110</v>
      </c>
      <c r="O431" s="137" t="s">
        <v>33</v>
      </c>
      <c r="P431" s="113" t="s">
        <v>178</v>
      </c>
      <c r="Q431" s="105" t="s">
        <v>112</v>
      </c>
      <c r="R431" s="105" t="s">
        <v>661</v>
      </c>
      <c r="S431" s="105" t="s">
        <v>662</v>
      </c>
      <c r="T431" s="105" t="s">
        <v>35</v>
      </c>
      <c r="U431" s="105" t="s">
        <v>696</v>
      </c>
      <c r="V431" s="105" t="s">
        <v>116</v>
      </c>
      <c r="W431" s="105" t="s">
        <v>117</v>
      </c>
    </row>
    <row r="432" ht="31.5" customHeight="1" spans="1:23">
      <c r="A432" s="113"/>
      <c r="B432" s="137"/>
      <c r="C432" s="137"/>
      <c r="D432" s="138" t="s">
        <v>215</v>
      </c>
      <c r="E432" s="138" t="s">
        <v>154</v>
      </c>
      <c r="F432" s="113" t="s">
        <v>701</v>
      </c>
      <c r="G432" s="113"/>
      <c r="H432" s="139" t="s">
        <v>141</v>
      </c>
      <c r="I432" s="139" t="s">
        <v>538</v>
      </c>
      <c r="J432" s="63" t="s">
        <v>108</v>
      </c>
      <c r="K432" s="139" t="s">
        <v>134</v>
      </c>
      <c r="L432" s="77">
        <v>7.8</v>
      </c>
      <c r="M432" s="77" t="s">
        <v>695</v>
      </c>
      <c r="N432" s="139" t="s">
        <v>110</v>
      </c>
      <c r="O432" s="137" t="s">
        <v>33</v>
      </c>
      <c r="P432" s="113" t="s">
        <v>178</v>
      </c>
      <c r="Q432" s="105" t="s">
        <v>112</v>
      </c>
      <c r="R432" s="105" t="s">
        <v>661</v>
      </c>
      <c r="S432" s="105" t="s">
        <v>662</v>
      </c>
      <c r="T432" s="105" t="s">
        <v>35</v>
      </c>
      <c r="U432" s="105" t="s">
        <v>696</v>
      </c>
      <c r="V432" s="105" t="s">
        <v>116</v>
      </c>
      <c r="W432" s="105" t="s">
        <v>117</v>
      </c>
    </row>
    <row r="433" ht="15.75" customHeight="1" spans="1:23">
      <c r="A433" s="113"/>
      <c r="B433" s="137"/>
      <c r="C433" s="137"/>
      <c r="D433" s="138" t="s">
        <v>215</v>
      </c>
      <c r="E433" s="138" t="s">
        <v>154</v>
      </c>
      <c r="F433" s="113" t="s">
        <v>702</v>
      </c>
      <c r="G433" s="113"/>
      <c r="H433" s="139" t="s">
        <v>132</v>
      </c>
      <c r="I433" s="139" t="s">
        <v>133</v>
      </c>
      <c r="J433" s="63" t="s">
        <v>108</v>
      </c>
      <c r="K433" s="139" t="s">
        <v>134</v>
      </c>
      <c r="L433" s="77">
        <v>7.8</v>
      </c>
      <c r="M433" s="77" t="s">
        <v>695</v>
      </c>
      <c r="N433" s="139" t="s">
        <v>90</v>
      </c>
      <c r="O433" s="137" t="s">
        <v>33</v>
      </c>
      <c r="P433" s="113" t="s">
        <v>178</v>
      </c>
      <c r="Q433" s="105" t="s">
        <v>112</v>
      </c>
      <c r="R433" s="105" t="s">
        <v>661</v>
      </c>
      <c r="S433" s="105" t="s">
        <v>662</v>
      </c>
      <c r="T433" s="105" t="s">
        <v>35</v>
      </c>
      <c r="U433" s="105" t="s">
        <v>696</v>
      </c>
      <c r="V433" s="105" t="s">
        <v>116</v>
      </c>
      <c r="W433" s="105" t="s">
        <v>117</v>
      </c>
    </row>
    <row r="434" customHeight="1" spans="1:23">
      <c r="A434" s="113"/>
      <c r="B434" s="137"/>
      <c r="C434" s="137"/>
      <c r="D434" s="138" t="s">
        <v>215</v>
      </c>
      <c r="E434" s="138" t="s">
        <v>154</v>
      </c>
      <c r="F434" s="113" t="s">
        <v>703</v>
      </c>
      <c r="G434" s="113"/>
      <c r="H434" s="139" t="s">
        <v>106</v>
      </c>
      <c r="I434" s="139" t="s">
        <v>281</v>
      </c>
      <c r="J434" s="63" t="s">
        <v>87</v>
      </c>
      <c r="K434" s="139" t="s">
        <v>134</v>
      </c>
      <c r="L434" s="77">
        <v>7.8</v>
      </c>
      <c r="M434" s="77" t="s">
        <v>695</v>
      </c>
      <c r="N434" s="139" t="s">
        <v>90</v>
      </c>
      <c r="O434" s="137" t="s">
        <v>33</v>
      </c>
      <c r="P434" s="113" t="s">
        <v>178</v>
      </c>
      <c r="Q434" s="105" t="s">
        <v>112</v>
      </c>
      <c r="R434" s="105" t="s">
        <v>661</v>
      </c>
      <c r="S434" s="105" t="s">
        <v>662</v>
      </c>
      <c r="T434" s="105" t="s">
        <v>35</v>
      </c>
      <c r="U434" s="105" t="s">
        <v>696</v>
      </c>
      <c r="V434" s="105" t="s">
        <v>116</v>
      </c>
      <c r="W434" s="105" t="s">
        <v>117</v>
      </c>
    </row>
    <row r="435" ht="31.5" customHeight="1" spans="1:23">
      <c r="A435" s="113"/>
      <c r="B435" s="137"/>
      <c r="C435" s="137"/>
      <c r="D435" s="138" t="s">
        <v>215</v>
      </c>
      <c r="E435" s="138" t="s">
        <v>154</v>
      </c>
      <c r="F435" s="113" t="s">
        <v>704</v>
      </c>
      <c r="G435" s="113"/>
      <c r="H435" s="139" t="s">
        <v>254</v>
      </c>
      <c r="I435" s="139" t="s">
        <v>360</v>
      </c>
      <c r="J435" s="63" t="s">
        <v>108</v>
      </c>
      <c r="K435" s="139" t="s">
        <v>88</v>
      </c>
      <c r="L435" s="77">
        <v>2.6</v>
      </c>
      <c r="M435" s="77" t="s">
        <v>695</v>
      </c>
      <c r="N435" s="139" t="s">
        <v>99</v>
      </c>
      <c r="O435" s="137" t="s">
        <v>33</v>
      </c>
      <c r="P435" s="113" t="s">
        <v>178</v>
      </c>
      <c r="Q435" s="105" t="s">
        <v>112</v>
      </c>
      <c r="R435" s="105" t="s">
        <v>661</v>
      </c>
      <c r="S435" s="105" t="s">
        <v>662</v>
      </c>
      <c r="T435" s="105" t="s">
        <v>35</v>
      </c>
      <c r="U435" s="105" t="s">
        <v>696</v>
      </c>
      <c r="V435" s="105" t="s">
        <v>116</v>
      </c>
      <c r="W435" s="105" t="s">
        <v>117</v>
      </c>
    </row>
    <row r="436" ht="31.5" customHeight="1" spans="1:23">
      <c r="A436" s="113"/>
      <c r="B436" s="137"/>
      <c r="C436" s="137"/>
      <c r="D436" s="138" t="s">
        <v>215</v>
      </c>
      <c r="E436" s="138" t="s">
        <v>154</v>
      </c>
      <c r="F436" s="113" t="s">
        <v>705</v>
      </c>
      <c r="G436" s="113"/>
      <c r="H436" s="139" t="s">
        <v>218</v>
      </c>
      <c r="I436" s="139" t="s">
        <v>219</v>
      </c>
      <c r="J436" s="63" t="s">
        <v>108</v>
      </c>
      <c r="K436" s="139" t="s">
        <v>88</v>
      </c>
      <c r="L436" s="77">
        <v>2.6</v>
      </c>
      <c r="M436" s="77" t="s">
        <v>695</v>
      </c>
      <c r="N436" s="139" t="s">
        <v>90</v>
      </c>
      <c r="O436" s="137" t="s">
        <v>33</v>
      </c>
      <c r="P436" s="113" t="s">
        <v>178</v>
      </c>
      <c r="Q436" s="105" t="s">
        <v>112</v>
      </c>
      <c r="R436" s="105" t="s">
        <v>661</v>
      </c>
      <c r="S436" s="105" t="s">
        <v>662</v>
      </c>
      <c r="T436" s="105" t="s">
        <v>35</v>
      </c>
      <c r="U436" s="105" t="s">
        <v>696</v>
      </c>
      <c r="V436" s="105" t="s">
        <v>116</v>
      </c>
      <c r="W436" s="105" t="s">
        <v>117</v>
      </c>
    </row>
    <row r="437" ht="15.75" customHeight="1" spans="1:23">
      <c r="A437" s="113"/>
      <c r="B437" s="137"/>
      <c r="C437" s="137"/>
      <c r="D437" s="138" t="s">
        <v>215</v>
      </c>
      <c r="E437" s="138" t="s">
        <v>154</v>
      </c>
      <c r="F437" s="113" t="s">
        <v>706</v>
      </c>
      <c r="G437" s="113"/>
      <c r="H437" s="139" t="s">
        <v>85</v>
      </c>
      <c r="I437" s="139" t="s">
        <v>209</v>
      </c>
      <c r="J437" s="63" t="s">
        <v>108</v>
      </c>
      <c r="K437" s="139" t="s">
        <v>134</v>
      </c>
      <c r="L437" s="77">
        <v>7.8</v>
      </c>
      <c r="M437" s="77" t="s">
        <v>695</v>
      </c>
      <c r="N437" s="139" t="s">
        <v>90</v>
      </c>
      <c r="O437" s="137" t="s">
        <v>33</v>
      </c>
      <c r="P437" s="113" t="s">
        <v>178</v>
      </c>
      <c r="Q437" s="105" t="s">
        <v>112</v>
      </c>
      <c r="R437" s="105" t="s">
        <v>661</v>
      </c>
      <c r="S437" s="105" t="s">
        <v>662</v>
      </c>
      <c r="T437" s="105" t="s">
        <v>35</v>
      </c>
      <c r="U437" s="105" t="s">
        <v>696</v>
      </c>
      <c r="V437" s="105" t="s">
        <v>116</v>
      </c>
      <c r="W437" s="105" t="s">
        <v>117</v>
      </c>
    </row>
    <row r="438" ht="31.5" customHeight="1" spans="1:23">
      <c r="A438" s="113"/>
      <c r="B438" s="137"/>
      <c r="C438" s="137"/>
      <c r="D438" s="138" t="s">
        <v>215</v>
      </c>
      <c r="E438" s="138" t="s">
        <v>154</v>
      </c>
      <c r="F438" s="113" t="s">
        <v>707</v>
      </c>
      <c r="G438" s="113"/>
      <c r="H438" s="139" t="s">
        <v>85</v>
      </c>
      <c r="I438" s="139" t="s">
        <v>183</v>
      </c>
      <c r="J438" s="63" t="s">
        <v>108</v>
      </c>
      <c r="K438" s="139" t="s">
        <v>93</v>
      </c>
      <c r="L438" s="77">
        <v>25.8</v>
      </c>
      <c r="M438" s="77" t="s">
        <v>695</v>
      </c>
      <c r="N438" s="139" t="s">
        <v>110</v>
      </c>
      <c r="O438" s="137" t="s">
        <v>33</v>
      </c>
      <c r="P438" s="113" t="s">
        <v>178</v>
      </c>
      <c r="Q438" s="105" t="s">
        <v>112</v>
      </c>
      <c r="R438" s="105" t="s">
        <v>661</v>
      </c>
      <c r="S438" s="105" t="s">
        <v>662</v>
      </c>
      <c r="T438" s="105" t="s">
        <v>35</v>
      </c>
      <c r="U438" s="105" t="s">
        <v>696</v>
      </c>
      <c r="V438" s="105" t="s">
        <v>116</v>
      </c>
      <c r="W438" s="105" t="s">
        <v>117</v>
      </c>
    </row>
    <row r="439" customHeight="1" spans="1:23">
      <c r="A439" s="113" t="s">
        <v>708</v>
      </c>
      <c r="B439" s="137" t="s">
        <v>709</v>
      </c>
      <c r="C439" s="137" t="s">
        <v>83</v>
      </c>
      <c r="D439" s="138" t="s">
        <v>102</v>
      </c>
      <c r="E439" s="138" t="s">
        <v>154</v>
      </c>
      <c r="F439" s="113" t="s">
        <v>710</v>
      </c>
      <c r="G439" s="113" t="s">
        <v>711</v>
      </c>
      <c r="H439" s="139" t="s">
        <v>106</v>
      </c>
      <c r="I439" s="139" t="s">
        <v>281</v>
      </c>
      <c r="J439" s="63" t="s">
        <v>87</v>
      </c>
      <c r="K439" s="139" t="s">
        <v>93</v>
      </c>
      <c r="L439" s="77">
        <v>38.2</v>
      </c>
      <c r="M439" s="77" t="s">
        <v>712</v>
      </c>
      <c r="N439" s="139" t="s">
        <v>90</v>
      </c>
      <c r="O439" s="137" t="s">
        <v>33</v>
      </c>
      <c r="P439" s="113" t="s">
        <v>178</v>
      </c>
      <c r="Q439" s="105" t="s">
        <v>112</v>
      </c>
      <c r="R439" s="105" t="s">
        <v>661</v>
      </c>
      <c r="S439" s="105" t="s">
        <v>662</v>
      </c>
      <c r="T439" s="105" t="s">
        <v>35</v>
      </c>
      <c r="U439" s="105" t="s">
        <v>713</v>
      </c>
      <c r="V439" s="105" t="s">
        <v>116</v>
      </c>
      <c r="W439" s="105" t="s">
        <v>117</v>
      </c>
    </row>
    <row r="440" ht="15.75" customHeight="1" spans="1:23">
      <c r="A440" s="113"/>
      <c r="B440" s="137"/>
      <c r="C440" s="137"/>
      <c r="D440" s="138" t="s">
        <v>102</v>
      </c>
      <c r="E440" s="138" t="s">
        <v>154</v>
      </c>
      <c r="F440" s="113" t="s">
        <v>714</v>
      </c>
      <c r="G440" s="113"/>
      <c r="H440" s="139" t="s">
        <v>106</v>
      </c>
      <c r="I440" s="139" t="s">
        <v>170</v>
      </c>
      <c r="J440" s="63" t="s">
        <v>108</v>
      </c>
      <c r="K440" s="139" t="s">
        <v>93</v>
      </c>
      <c r="L440" s="77">
        <v>38.2</v>
      </c>
      <c r="M440" s="77" t="s">
        <v>712</v>
      </c>
      <c r="N440" s="139" t="s">
        <v>110</v>
      </c>
      <c r="O440" s="137" t="s">
        <v>33</v>
      </c>
      <c r="P440" s="113" t="s">
        <v>178</v>
      </c>
      <c r="Q440" s="105" t="s">
        <v>112</v>
      </c>
      <c r="R440" s="105" t="s">
        <v>661</v>
      </c>
      <c r="S440" s="105" t="s">
        <v>662</v>
      </c>
      <c r="T440" s="105" t="s">
        <v>35</v>
      </c>
      <c r="U440" s="105" t="s">
        <v>713</v>
      </c>
      <c r="V440" s="105" t="s">
        <v>116</v>
      </c>
      <c r="W440" s="105" t="s">
        <v>117</v>
      </c>
    </row>
    <row r="441" ht="31.5" customHeight="1" spans="1:23">
      <c r="A441" s="113"/>
      <c r="B441" s="137"/>
      <c r="C441" s="137"/>
      <c r="D441" s="138" t="s">
        <v>102</v>
      </c>
      <c r="E441" s="138" t="s">
        <v>154</v>
      </c>
      <c r="F441" s="113" t="s">
        <v>715</v>
      </c>
      <c r="G441" s="113"/>
      <c r="H441" s="139" t="s">
        <v>106</v>
      </c>
      <c r="I441" s="139" t="s">
        <v>283</v>
      </c>
      <c r="J441" s="63" t="s">
        <v>108</v>
      </c>
      <c r="K441" s="139" t="s">
        <v>93</v>
      </c>
      <c r="L441" s="77">
        <v>38.2</v>
      </c>
      <c r="M441" s="77" t="s">
        <v>712</v>
      </c>
      <c r="N441" s="139" t="s">
        <v>110</v>
      </c>
      <c r="O441" s="137" t="s">
        <v>33</v>
      </c>
      <c r="P441" s="113" t="s">
        <v>178</v>
      </c>
      <c r="Q441" s="105" t="s">
        <v>112</v>
      </c>
      <c r="R441" s="105" t="s">
        <v>661</v>
      </c>
      <c r="S441" s="105" t="s">
        <v>662</v>
      </c>
      <c r="T441" s="105" t="s">
        <v>35</v>
      </c>
      <c r="U441" s="105" t="s">
        <v>713</v>
      </c>
      <c r="V441" s="105" t="s">
        <v>116</v>
      </c>
      <c r="W441" s="105" t="s">
        <v>117</v>
      </c>
    </row>
    <row r="442" customHeight="1" spans="1:23">
      <c r="A442" s="113"/>
      <c r="B442" s="137"/>
      <c r="C442" s="137"/>
      <c r="D442" s="138" t="s">
        <v>102</v>
      </c>
      <c r="E442" s="138" t="s">
        <v>154</v>
      </c>
      <c r="F442" s="113" t="s">
        <v>716</v>
      </c>
      <c r="G442" s="113"/>
      <c r="H442" s="139" t="s">
        <v>167</v>
      </c>
      <c r="I442" s="139" t="s">
        <v>717</v>
      </c>
      <c r="J442" s="63" t="s">
        <v>87</v>
      </c>
      <c r="K442" s="139" t="s">
        <v>93</v>
      </c>
      <c r="L442" s="77">
        <v>38.2</v>
      </c>
      <c r="M442" s="77" t="s">
        <v>712</v>
      </c>
      <c r="N442" s="139" t="s">
        <v>110</v>
      </c>
      <c r="O442" s="137" t="s">
        <v>33</v>
      </c>
      <c r="P442" s="113" t="s">
        <v>178</v>
      </c>
      <c r="Q442" s="105" t="s">
        <v>112</v>
      </c>
      <c r="R442" s="105" t="s">
        <v>661</v>
      </c>
      <c r="S442" s="105" t="s">
        <v>662</v>
      </c>
      <c r="T442" s="105" t="s">
        <v>35</v>
      </c>
      <c r="U442" s="105" t="s">
        <v>713</v>
      </c>
      <c r="V442" s="105" t="s">
        <v>116</v>
      </c>
      <c r="W442" s="105" t="s">
        <v>117</v>
      </c>
    </row>
    <row r="443" ht="31.5" customHeight="1" spans="1:23">
      <c r="A443" s="113"/>
      <c r="B443" s="137"/>
      <c r="C443" s="137"/>
      <c r="D443" s="138" t="s">
        <v>102</v>
      </c>
      <c r="E443" s="138" t="s">
        <v>154</v>
      </c>
      <c r="F443" s="113" t="s">
        <v>718</v>
      </c>
      <c r="G443" s="113"/>
      <c r="H443" s="139" t="s">
        <v>85</v>
      </c>
      <c r="I443" s="139" t="s">
        <v>183</v>
      </c>
      <c r="J443" s="63" t="s">
        <v>108</v>
      </c>
      <c r="K443" s="139" t="s">
        <v>134</v>
      </c>
      <c r="L443" s="77">
        <v>11.5</v>
      </c>
      <c r="M443" s="77" t="s">
        <v>712</v>
      </c>
      <c r="N443" s="139" t="s">
        <v>110</v>
      </c>
      <c r="O443" s="137" t="s">
        <v>33</v>
      </c>
      <c r="P443" s="113" t="s">
        <v>178</v>
      </c>
      <c r="Q443" s="105" t="s">
        <v>112</v>
      </c>
      <c r="R443" s="105" t="s">
        <v>661</v>
      </c>
      <c r="S443" s="105" t="s">
        <v>662</v>
      </c>
      <c r="T443" s="105" t="s">
        <v>35</v>
      </c>
      <c r="U443" s="105" t="s">
        <v>713</v>
      </c>
      <c r="V443" s="105" t="s">
        <v>116</v>
      </c>
      <c r="W443" s="105" t="s">
        <v>117</v>
      </c>
    </row>
    <row r="444" ht="15.75" customHeight="1" spans="1:23">
      <c r="A444" s="113"/>
      <c r="B444" s="137"/>
      <c r="C444" s="137"/>
      <c r="D444" s="138" t="s">
        <v>102</v>
      </c>
      <c r="E444" s="138" t="s">
        <v>154</v>
      </c>
      <c r="F444" s="113" t="s">
        <v>719</v>
      </c>
      <c r="G444" s="113"/>
      <c r="H444" s="139" t="s">
        <v>95</v>
      </c>
      <c r="I444" s="139" t="s">
        <v>193</v>
      </c>
      <c r="J444" s="63" t="s">
        <v>108</v>
      </c>
      <c r="K444" s="139" t="s">
        <v>88</v>
      </c>
      <c r="L444" s="77">
        <v>3.7</v>
      </c>
      <c r="M444" s="77" t="s">
        <v>712</v>
      </c>
      <c r="N444" s="139" t="s">
        <v>99</v>
      </c>
      <c r="O444" s="137" t="s">
        <v>33</v>
      </c>
      <c r="P444" s="113" t="s">
        <v>178</v>
      </c>
      <c r="Q444" s="105" t="s">
        <v>112</v>
      </c>
      <c r="R444" s="105" t="s">
        <v>661</v>
      </c>
      <c r="S444" s="105" t="s">
        <v>662</v>
      </c>
      <c r="T444" s="105" t="s">
        <v>35</v>
      </c>
      <c r="U444" s="105" t="s">
        <v>713</v>
      </c>
      <c r="V444" s="105" t="s">
        <v>116</v>
      </c>
      <c r="W444" s="105" t="s">
        <v>117</v>
      </c>
    </row>
    <row r="445" customHeight="1" spans="1:23">
      <c r="A445" s="113" t="s">
        <v>720</v>
      </c>
      <c r="B445" s="137" t="s">
        <v>721</v>
      </c>
      <c r="C445" s="137" t="s">
        <v>173</v>
      </c>
      <c r="D445" s="138" t="s">
        <v>102</v>
      </c>
      <c r="E445" s="138" t="s">
        <v>154</v>
      </c>
      <c r="F445" s="113" t="s">
        <v>722</v>
      </c>
      <c r="G445" s="113" t="s">
        <v>723</v>
      </c>
      <c r="H445" s="139" t="s">
        <v>106</v>
      </c>
      <c r="I445" s="139" t="s">
        <v>281</v>
      </c>
      <c r="J445" s="63" t="s">
        <v>87</v>
      </c>
      <c r="K445" s="139" t="s">
        <v>93</v>
      </c>
      <c r="L445" s="77">
        <v>25.5</v>
      </c>
      <c r="M445" s="77" t="s">
        <v>724</v>
      </c>
      <c r="N445" s="139" t="s">
        <v>90</v>
      </c>
      <c r="O445" s="137" t="s">
        <v>33</v>
      </c>
      <c r="P445" s="113" t="s">
        <v>178</v>
      </c>
      <c r="Q445" s="105" t="s">
        <v>112</v>
      </c>
      <c r="R445" s="105" t="s">
        <v>661</v>
      </c>
      <c r="S445" s="105" t="s">
        <v>662</v>
      </c>
      <c r="T445" s="105" t="s">
        <v>35</v>
      </c>
      <c r="U445" s="105" t="s">
        <v>725</v>
      </c>
      <c r="V445" s="105" t="s">
        <v>116</v>
      </c>
      <c r="W445" s="105" t="s">
        <v>117</v>
      </c>
    </row>
    <row r="446" ht="15.75" customHeight="1" spans="1:23">
      <c r="A446" s="113"/>
      <c r="B446" s="137"/>
      <c r="C446" s="137"/>
      <c r="D446" s="138" t="s">
        <v>102</v>
      </c>
      <c r="E446" s="138" t="s">
        <v>154</v>
      </c>
      <c r="F446" s="113" t="s">
        <v>726</v>
      </c>
      <c r="G446" s="113"/>
      <c r="H446" s="139" t="s">
        <v>106</v>
      </c>
      <c r="I446" s="139" t="s">
        <v>170</v>
      </c>
      <c r="J446" s="63" t="s">
        <v>108</v>
      </c>
      <c r="K446" s="139" t="s">
        <v>134</v>
      </c>
      <c r="L446" s="77">
        <v>7.6</v>
      </c>
      <c r="M446" s="77" t="s">
        <v>724</v>
      </c>
      <c r="N446" s="139" t="s">
        <v>110</v>
      </c>
      <c r="O446" s="137" t="s">
        <v>33</v>
      </c>
      <c r="P446" s="113" t="s">
        <v>178</v>
      </c>
      <c r="Q446" s="105" t="s">
        <v>112</v>
      </c>
      <c r="R446" s="105" t="s">
        <v>661</v>
      </c>
      <c r="S446" s="105" t="s">
        <v>662</v>
      </c>
      <c r="T446" s="105" t="s">
        <v>35</v>
      </c>
      <c r="U446" s="105" t="s">
        <v>725</v>
      </c>
      <c r="V446" s="105" t="s">
        <v>116</v>
      </c>
      <c r="W446" s="105" t="s">
        <v>117</v>
      </c>
    </row>
    <row r="447" customHeight="1" spans="1:23">
      <c r="A447" s="113"/>
      <c r="B447" s="137"/>
      <c r="C447" s="137"/>
      <c r="D447" s="138" t="s">
        <v>102</v>
      </c>
      <c r="E447" s="138" t="s">
        <v>154</v>
      </c>
      <c r="F447" s="113" t="s">
        <v>727</v>
      </c>
      <c r="G447" s="113"/>
      <c r="H447" s="139" t="s">
        <v>254</v>
      </c>
      <c r="I447" s="139" t="s">
        <v>286</v>
      </c>
      <c r="J447" s="63" t="s">
        <v>87</v>
      </c>
      <c r="K447" s="139" t="s">
        <v>93</v>
      </c>
      <c r="L447" s="77">
        <v>25.5</v>
      </c>
      <c r="M447" s="77" t="s">
        <v>724</v>
      </c>
      <c r="N447" s="139" t="s">
        <v>90</v>
      </c>
      <c r="O447" s="137" t="s">
        <v>33</v>
      </c>
      <c r="P447" s="113" t="s">
        <v>178</v>
      </c>
      <c r="Q447" s="105" t="s">
        <v>112</v>
      </c>
      <c r="R447" s="105" t="s">
        <v>661</v>
      </c>
      <c r="S447" s="105" t="s">
        <v>662</v>
      </c>
      <c r="T447" s="105" t="s">
        <v>35</v>
      </c>
      <c r="U447" s="105" t="s">
        <v>725</v>
      </c>
      <c r="V447" s="105" t="s">
        <v>116</v>
      </c>
      <c r="W447" s="105" t="s">
        <v>117</v>
      </c>
    </row>
    <row r="448" ht="31.5" customHeight="1" spans="1:23">
      <c r="A448" s="113"/>
      <c r="B448" s="137"/>
      <c r="C448" s="137"/>
      <c r="D448" s="138" t="s">
        <v>102</v>
      </c>
      <c r="E448" s="138" t="s">
        <v>154</v>
      </c>
      <c r="F448" s="113" t="s">
        <v>728</v>
      </c>
      <c r="G448" s="113"/>
      <c r="H448" s="139" t="s">
        <v>132</v>
      </c>
      <c r="I448" s="139" t="s">
        <v>133</v>
      </c>
      <c r="J448" s="63" t="s">
        <v>108</v>
      </c>
      <c r="K448" s="139" t="s">
        <v>93</v>
      </c>
      <c r="L448" s="77">
        <v>25.5</v>
      </c>
      <c r="M448" s="77" t="s">
        <v>724</v>
      </c>
      <c r="N448" s="139" t="s">
        <v>90</v>
      </c>
      <c r="O448" s="137" t="s">
        <v>33</v>
      </c>
      <c r="P448" s="113" t="s">
        <v>178</v>
      </c>
      <c r="Q448" s="105" t="s">
        <v>112</v>
      </c>
      <c r="R448" s="105" t="s">
        <v>661</v>
      </c>
      <c r="S448" s="105" t="s">
        <v>662</v>
      </c>
      <c r="T448" s="105" t="s">
        <v>35</v>
      </c>
      <c r="U448" s="105" t="s">
        <v>725</v>
      </c>
      <c r="V448" s="105" t="s">
        <v>116</v>
      </c>
      <c r="W448" s="105" t="s">
        <v>117</v>
      </c>
    </row>
    <row r="449" ht="31.5" customHeight="1" spans="1:23">
      <c r="A449" s="113"/>
      <c r="B449" s="137"/>
      <c r="C449" s="137"/>
      <c r="D449" s="138" t="s">
        <v>102</v>
      </c>
      <c r="E449" s="138" t="s">
        <v>154</v>
      </c>
      <c r="F449" s="113" t="s">
        <v>729</v>
      </c>
      <c r="G449" s="113"/>
      <c r="H449" s="139" t="s">
        <v>254</v>
      </c>
      <c r="I449" s="139" t="s">
        <v>457</v>
      </c>
      <c r="J449" s="63" t="s">
        <v>108</v>
      </c>
      <c r="K449" s="139" t="s">
        <v>93</v>
      </c>
      <c r="L449" s="77">
        <v>25.5</v>
      </c>
      <c r="M449" s="77" t="s">
        <v>724</v>
      </c>
      <c r="N449" s="139" t="s">
        <v>90</v>
      </c>
      <c r="O449" s="137" t="s">
        <v>33</v>
      </c>
      <c r="P449" s="113" t="s">
        <v>178</v>
      </c>
      <c r="Q449" s="105" t="s">
        <v>112</v>
      </c>
      <c r="R449" s="105" t="s">
        <v>661</v>
      </c>
      <c r="S449" s="105" t="s">
        <v>662</v>
      </c>
      <c r="T449" s="105" t="s">
        <v>35</v>
      </c>
      <c r="U449" s="105" t="s">
        <v>725</v>
      </c>
      <c r="V449" s="105" t="s">
        <v>116</v>
      </c>
      <c r="W449" s="105" t="s">
        <v>117</v>
      </c>
    </row>
    <row r="450" ht="31.5" customHeight="1" spans="1:23">
      <c r="A450" s="113"/>
      <c r="B450" s="137"/>
      <c r="C450" s="137"/>
      <c r="D450" s="138" t="s">
        <v>102</v>
      </c>
      <c r="E450" s="138" t="s">
        <v>154</v>
      </c>
      <c r="F450" s="113" t="s">
        <v>730</v>
      </c>
      <c r="G450" s="113"/>
      <c r="H450" s="139" t="s">
        <v>95</v>
      </c>
      <c r="I450" s="139" t="s">
        <v>377</v>
      </c>
      <c r="J450" s="63" t="s">
        <v>108</v>
      </c>
      <c r="K450" s="139" t="s">
        <v>134</v>
      </c>
      <c r="L450" s="77">
        <v>7.6</v>
      </c>
      <c r="M450" s="77" t="s">
        <v>724</v>
      </c>
      <c r="N450" s="139" t="s">
        <v>110</v>
      </c>
      <c r="O450" s="137" t="s">
        <v>33</v>
      </c>
      <c r="P450" s="113" t="s">
        <v>178</v>
      </c>
      <c r="Q450" s="105" t="s">
        <v>112</v>
      </c>
      <c r="R450" s="105" t="s">
        <v>661</v>
      </c>
      <c r="S450" s="105" t="s">
        <v>662</v>
      </c>
      <c r="T450" s="105" t="s">
        <v>35</v>
      </c>
      <c r="U450" s="105" t="s">
        <v>725</v>
      </c>
      <c r="V450" s="105" t="s">
        <v>116</v>
      </c>
      <c r="W450" s="105" t="s">
        <v>117</v>
      </c>
    </row>
    <row r="451" ht="31.5" customHeight="1" spans="1:23">
      <c r="A451" s="113"/>
      <c r="B451" s="137"/>
      <c r="C451" s="137"/>
      <c r="D451" s="138" t="s">
        <v>102</v>
      </c>
      <c r="E451" s="138" t="s">
        <v>154</v>
      </c>
      <c r="F451" s="113" t="s">
        <v>731</v>
      </c>
      <c r="G451" s="113"/>
      <c r="H451" s="139" t="s">
        <v>85</v>
      </c>
      <c r="I451" s="139" t="s">
        <v>192</v>
      </c>
      <c r="J451" s="63" t="s">
        <v>108</v>
      </c>
      <c r="K451" s="139" t="s">
        <v>93</v>
      </c>
      <c r="L451" s="77">
        <v>25.5</v>
      </c>
      <c r="M451" s="77" t="s">
        <v>724</v>
      </c>
      <c r="N451" s="139" t="s">
        <v>90</v>
      </c>
      <c r="O451" s="137" t="s">
        <v>33</v>
      </c>
      <c r="P451" s="113" t="s">
        <v>178</v>
      </c>
      <c r="Q451" s="105" t="s">
        <v>112</v>
      </c>
      <c r="R451" s="105" t="s">
        <v>661</v>
      </c>
      <c r="S451" s="105" t="s">
        <v>662</v>
      </c>
      <c r="T451" s="105" t="s">
        <v>35</v>
      </c>
      <c r="U451" s="105" t="s">
        <v>725</v>
      </c>
      <c r="V451" s="105" t="s">
        <v>116</v>
      </c>
      <c r="W451" s="105" t="s">
        <v>117</v>
      </c>
    </row>
    <row r="452" ht="31.5" customHeight="1" spans="1:23">
      <c r="A452" s="113"/>
      <c r="B452" s="137"/>
      <c r="C452" s="137"/>
      <c r="D452" s="138" t="s">
        <v>102</v>
      </c>
      <c r="E452" s="138" t="s">
        <v>154</v>
      </c>
      <c r="F452" s="113" t="s">
        <v>732</v>
      </c>
      <c r="G452" s="113"/>
      <c r="H452" s="139" t="s">
        <v>254</v>
      </c>
      <c r="I452" s="139" t="s">
        <v>457</v>
      </c>
      <c r="J452" s="63" t="s">
        <v>108</v>
      </c>
      <c r="K452" s="139" t="s">
        <v>93</v>
      </c>
      <c r="L452" s="77">
        <v>25.3</v>
      </c>
      <c r="M452" s="77" t="s">
        <v>724</v>
      </c>
      <c r="N452" s="139" t="s">
        <v>90</v>
      </c>
      <c r="O452" s="137" t="s">
        <v>33</v>
      </c>
      <c r="P452" s="113" t="s">
        <v>178</v>
      </c>
      <c r="Q452" s="105" t="s">
        <v>112</v>
      </c>
      <c r="R452" s="105" t="s">
        <v>661</v>
      </c>
      <c r="S452" s="105" t="s">
        <v>662</v>
      </c>
      <c r="T452" s="105" t="s">
        <v>35</v>
      </c>
      <c r="U452" s="105" t="s">
        <v>725</v>
      </c>
      <c r="V452" s="105" t="s">
        <v>116</v>
      </c>
      <c r="W452" s="105" t="s">
        <v>117</v>
      </c>
    </row>
    <row r="453" ht="31.5" customHeight="1" spans="1:23">
      <c r="A453" s="113" t="s">
        <v>733</v>
      </c>
      <c r="B453" s="137" t="s">
        <v>734</v>
      </c>
      <c r="C453" s="137" t="s">
        <v>173</v>
      </c>
      <c r="D453" s="138" t="s">
        <v>102</v>
      </c>
      <c r="E453" s="138" t="s">
        <v>154</v>
      </c>
      <c r="F453" s="113" t="s">
        <v>735</v>
      </c>
      <c r="G453" s="113" t="s">
        <v>736</v>
      </c>
      <c r="H453" s="139" t="s">
        <v>157</v>
      </c>
      <c r="I453" s="139" t="s">
        <v>158</v>
      </c>
      <c r="J453" s="63" t="s">
        <v>108</v>
      </c>
      <c r="K453" s="139" t="s">
        <v>93</v>
      </c>
      <c r="L453" s="77">
        <v>22.4</v>
      </c>
      <c r="M453" s="77" t="s">
        <v>279</v>
      </c>
      <c r="N453" s="139" t="s">
        <v>110</v>
      </c>
      <c r="O453" s="137" t="s">
        <v>33</v>
      </c>
      <c r="P453" s="113" t="s">
        <v>178</v>
      </c>
      <c r="Q453" s="105" t="s">
        <v>112</v>
      </c>
      <c r="R453" s="105" t="s">
        <v>661</v>
      </c>
      <c r="S453" s="105" t="s">
        <v>662</v>
      </c>
      <c r="T453" s="105" t="s">
        <v>35</v>
      </c>
      <c r="U453" s="105" t="s">
        <v>737</v>
      </c>
      <c r="V453" s="105" t="s">
        <v>304</v>
      </c>
      <c r="W453" s="105" t="s">
        <v>738</v>
      </c>
    </row>
    <row r="454" ht="31.5" customHeight="1" spans="1:23">
      <c r="A454" s="113"/>
      <c r="B454" s="137"/>
      <c r="C454" s="137"/>
      <c r="D454" s="138" t="s">
        <v>102</v>
      </c>
      <c r="E454" s="138" t="s">
        <v>154</v>
      </c>
      <c r="F454" s="113" t="s">
        <v>739</v>
      </c>
      <c r="G454" s="113"/>
      <c r="H454" s="139" t="s">
        <v>106</v>
      </c>
      <c r="I454" s="139" t="s">
        <v>170</v>
      </c>
      <c r="J454" s="63" t="s">
        <v>108</v>
      </c>
      <c r="K454" s="139" t="s">
        <v>93</v>
      </c>
      <c r="L454" s="77">
        <v>22.4</v>
      </c>
      <c r="M454" s="77" t="s">
        <v>279</v>
      </c>
      <c r="N454" s="139" t="s">
        <v>110</v>
      </c>
      <c r="O454" s="137" t="s">
        <v>33</v>
      </c>
      <c r="P454" s="113" t="s">
        <v>178</v>
      </c>
      <c r="Q454" s="105" t="s">
        <v>112</v>
      </c>
      <c r="R454" s="105" t="s">
        <v>661</v>
      </c>
      <c r="S454" s="105" t="s">
        <v>662</v>
      </c>
      <c r="T454" s="105" t="s">
        <v>35</v>
      </c>
      <c r="U454" s="105" t="s">
        <v>737</v>
      </c>
      <c r="V454" s="105" t="s">
        <v>304</v>
      </c>
      <c r="W454" s="105" t="s">
        <v>738</v>
      </c>
    </row>
    <row r="455" customHeight="1" spans="1:23">
      <c r="A455" s="113"/>
      <c r="B455" s="137"/>
      <c r="C455" s="137"/>
      <c r="D455" s="138" t="s">
        <v>102</v>
      </c>
      <c r="E455" s="138" t="s">
        <v>154</v>
      </c>
      <c r="F455" s="113" t="s">
        <v>740</v>
      </c>
      <c r="G455" s="113"/>
      <c r="H455" s="139" t="s">
        <v>254</v>
      </c>
      <c r="I455" s="139" t="s">
        <v>286</v>
      </c>
      <c r="J455" s="63" t="s">
        <v>87</v>
      </c>
      <c r="K455" s="139" t="s">
        <v>93</v>
      </c>
      <c r="L455" s="77">
        <v>22.4</v>
      </c>
      <c r="M455" s="77" t="s">
        <v>279</v>
      </c>
      <c r="N455" s="139" t="s">
        <v>110</v>
      </c>
      <c r="O455" s="137" t="s">
        <v>33</v>
      </c>
      <c r="P455" s="113" t="s">
        <v>178</v>
      </c>
      <c r="Q455" s="105" t="s">
        <v>112</v>
      </c>
      <c r="R455" s="105" t="s">
        <v>661</v>
      </c>
      <c r="S455" s="105" t="s">
        <v>662</v>
      </c>
      <c r="T455" s="105" t="s">
        <v>35</v>
      </c>
      <c r="U455" s="105" t="s">
        <v>737</v>
      </c>
      <c r="V455" s="105" t="s">
        <v>304</v>
      </c>
      <c r="W455" s="105" t="s">
        <v>738</v>
      </c>
    </row>
    <row r="456" ht="31.5" customHeight="1" spans="1:23">
      <c r="A456" s="113"/>
      <c r="B456" s="137"/>
      <c r="C456" s="137"/>
      <c r="D456" s="138" t="s">
        <v>102</v>
      </c>
      <c r="E456" s="138" t="s">
        <v>154</v>
      </c>
      <c r="F456" s="113" t="s">
        <v>741</v>
      </c>
      <c r="G456" s="113"/>
      <c r="H456" s="139" t="s">
        <v>218</v>
      </c>
      <c r="I456" s="139" t="s">
        <v>219</v>
      </c>
      <c r="J456" s="63" t="s">
        <v>108</v>
      </c>
      <c r="K456" s="139" t="s">
        <v>88</v>
      </c>
      <c r="L456" s="77">
        <v>2.2</v>
      </c>
      <c r="M456" s="77" t="s">
        <v>279</v>
      </c>
      <c r="N456" s="139" t="s">
        <v>110</v>
      </c>
      <c r="O456" s="137" t="s">
        <v>33</v>
      </c>
      <c r="P456" s="113" t="s">
        <v>178</v>
      </c>
      <c r="Q456" s="105" t="s">
        <v>112</v>
      </c>
      <c r="R456" s="105" t="s">
        <v>661</v>
      </c>
      <c r="S456" s="105" t="s">
        <v>662</v>
      </c>
      <c r="T456" s="105" t="s">
        <v>35</v>
      </c>
      <c r="U456" s="105" t="s">
        <v>737</v>
      </c>
      <c r="V456" s="105" t="s">
        <v>304</v>
      </c>
      <c r="W456" s="105" t="s">
        <v>738</v>
      </c>
    </row>
    <row r="457" ht="31.5" customHeight="1" spans="1:23">
      <c r="A457" s="113"/>
      <c r="B457" s="137"/>
      <c r="C457" s="137"/>
      <c r="D457" s="138" t="s">
        <v>102</v>
      </c>
      <c r="E457" s="138" t="s">
        <v>154</v>
      </c>
      <c r="F457" s="113" t="s">
        <v>742</v>
      </c>
      <c r="G457" s="113"/>
      <c r="H457" s="139" t="s">
        <v>119</v>
      </c>
      <c r="I457" s="139" t="s">
        <v>211</v>
      </c>
      <c r="J457" s="63" t="s">
        <v>108</v>
      </c>
      <c r="K457" s="139" t="s">
        <v>134</v>
      </c>
      <c r="L457" s="77">
        <v>6.7</v>
      </c>
      <c r="M457" s="77" t="s">
        <v>279</v>
      </c>
      <c r="N457" s="139" t="s">
        <v>99</v>
      </c>
      <c r="O457" s="137" t="s">
        <v>33</v>
      </c>
      <c r="P457" s="113" t="s">
        <v>178</v>
      </c>
      <c r="Q457" s="105" t="s">
        <v>112</v>
      </c>
      <c r="R457" s="105" t="s">
        <v>661</v>
      </c>
      <c r="S457" s="105" t="s">
        <v>662</v>
      </c>
      <c r="T457" s="105" t="s">
        <v>35</v>
      </c>
      <c r="U457" s="105" t="s">
        <v>737</v>
      </c>
      <c r="V457" s="105" t="s">
        <v>304</v>
      </c>
      <c r="W457" s="105" t="s">
        <v>738</v>
      </c>
    </row>
    <row r="458" ht="31.5" customHeight="1" spans="1:23">
      <c r="A458" s="113"/>
      <c r="B458" s="137"/>
      <c r="C458" s="137"/>
      <c r="D458" s="138" t="s">
        <v>102</v>
      </c>
      <c r="E458" s="138" t="s">
        <v>154</v>
      </c>
      <c r="F458" s="113" t="s">
        <v>743</v>
      </c>
      <c r="G458" s="113"/>
      <c r="H458" s="139" t="s">
        <v>218</v>
      </c>
      <c r="I458" s="139" t="s">
        <v>291</v>
      </c>
      <c r="J458" s="63" t="s">
        <v>108</v>
      </c>
      <c r="K458" s="139" t="s">
        <v>134</v>
      </c>
      <c r="L458" s="77">
        <v>6.7</v>
      </c>
      <c r="M458" s="77" t="s">
        <v>279</v>
      </c>
      <c r="N458" s="139" t="s">
        <v>110</v>
      </c>
      <c r="O458" s="137" t="s">
        <v>33</v>
      </c>
      <c r="P458" s="113" t="s">
        <v>178</v>
      </c>
      <c r="Q458" s="105" t="s">
        <v>112</v>
      </c>
      <c r="R458" s="105" t="s">
        <v>661</v>
      </c>
      <c r="S458" s="105" t="s">
        <v>662</v>
      </c>
      <c r="T458" s="105" t="s">
        <v>35</v>
      </c>
      <c r="U458" s="105" t="s">
        <v>737</v>
      </c>
      <c r="V458" s="105" t="s">
        <v>304</v>
      </c>
      <c r="W458" s="105" t="s">
        <v>738</v>
      </c>
    </row>
    <row r="459" ht="31.5" customHeight="1" spans="1:23">
      <c r="A459" s="113"/>
      <c r="B459" s="137"/>
      <c r="C459" s="137"/>
      <c r="D459" s="138" t="s">
        <v>102</v>
      </c>
      <c r="E459" s="138" t="s">
        <v>154</v>
      </c>
      <c r="F459" s="113" t="s">
        <v>744</v>
      </c>
      <c r="G459" s="113"/>
      <c r="H459" s="139" t="s">
        <v>85</v>
      </c>
      <c r="I459" s="139" t="s">
        <v>192</v>
      </c>
      <c r="J459" s="63" t="s">
        <v>108</v>
      </c>
      <c r="K459" s="139" t="s">
        <v>88</v>
      </c>
      <c r="L459" s="77">
        <v>2.2</v>
      </c>
      <c r="M459" s="77" t="s">
        <v>279</v>
      </c>
      <c r="N459" s="139" t="s">
        <v>99</v>
      </c>
      <c r="O459" s="137" t="s">
        <v>33</v>
      </c>
      <c r="P459" s="113" t="s">
        <v>178</v>
      </c>
      <c r="Q459" s="105" t="s">
        <v>112</v>
      </c>
      <c r="R459" s="105" t="s">
        <v>661</v>
      </c>
      <c r="S459" s="105" t="s">
        <v>662</v>
      </c>
      <c r="T459" s="105" t="s">
        <v>35</v>
      </c>
      <c r="U459" s="105" t="s">
        <v>737</v>
      </c>
      <c r="V459" s="105" t="s">
        <v>304</v>
      </c>
      <c r="W459" s="105" t="s">
        <v>738</v>
      </c>
    </row>
    <row r="460" ht="31.5" customHeight="1" spans="1:23">
      <c r="A460" s="113"/>
      <c r="B460" s="137"/>
      <c r="C460" s="137"/>
      <c r="D460" s="138" t="s">
        <v>102</v>
      </c>
      <c r="E460" s="138" t="s">
        <v>154</v>
      </c>
      <c r="F460" s="113" t="s">
        <v>745</v>
      </c>
      <c r="G460" s="113"/>
      <c r="H460" s="139" t="s">
        <v>218</v>
      </c>
      <c r="I460" s="139" t="s">
        <v>291</v>
      </c>
      <c r="J460" s="63" t="s">
        <v>108</v>
      </c>
      <c r="K460" s="139" t="s">
        <v>88</v>
      </c>
      <c r="L460" s="77">
        <v>2.2</v>
      </c>
      <c r="M460" s="77" t="s">
        <v>279</v>
      </c>
      <c r="N460" s="139" t="s">
        <v>110</v>
      </c>
      <c r="O460" s="137" t="s">
        <v>33</v>
      </c>
      <c r="P460" s="113" t="s">
        <v>178</v>
      </c>
      <c r="Q460" s="105" t="s">
        <v>112</v>
      </c>
      <c r="R460" s="105" t="s">
        <v>661</v>
      </c>
      <c r="S460" s="105" t="s">
        <v>662</v>
      </c>
      <c r="T460" s="105" t="s">
        <v>35</v>
      </c>
      <c r="U460" s="105" t="s">
        <v>737</v>
      </c>
      <c r="V460" s="105" t="s">
        <v>304</v>
      </c>
      <c r="W460" s="105" t="s">
        <v>738</v>
      </c>
    </row>
    <row r="461" ht="47.25" customHeight="1" spans="1:23">
      <c r="A461" s="113"/>
      <c r="B461" s="137"/>
      <c r="C461" s="137"/>
      <c r="D461" s="138" t="s">
        <v>102</v>
      </c>
      <c r="E461" s="138" t="s">
        <v>154</v>
      </c>
      <c r="F461" s="113" t="s">
        <v>746</v>
      </c>
      <c r="G461" s="113"/>
      <c r="H461" s="139" t="s">
        <v>254</v>
      </c>
      <c r="I461" s="139" t="s">
        <v>457</v>
      </c>
      <c r="J461" s="63" t="s">
        <v>108</v>
      </c>
      <c r="K461" s="139" t="s">
        <v>93</v>
      </c>
      <c r="L461" s="77">
        <v>22.4</v>
      </c>
      <c r="M461" s="77" t="s">
        <v>279</v>
      </c>
      <c r="N461" s="139" t="s">
        <v>110</v>
      </c>
      <c r="O461" s="137" t="s">
        <v>33</v>
      </c>
      <c r="P461" s="113" t="s">
        <v>178</v>
      </c>
      <c r="Q461" s="105" t="s">
        <v>112</v>
      </c>
      <c r="R461" s="105" t="s">
        <v>661</v>
      </c>
      <c r="S461" s="105" t="s">
        <v>662</v>
      </c>
      <c r="T461" s="105" t="s">
        <v>35</v>
      </c>
      <c r="U461" s="105" t="s">
        <v>737</v>
      </c>
      <c r="V461" s="105" t="s">
        <v>304</v>
      </c>
      <c r="W461" s="105" t="s">
        <v>738</v>
      </c>
    </row>
    <row r="462" ht="63" customHeight="1" spans="1:23">
      <c r="A462" s="113"/>
      <c r="B462" s="137"/>
      <c r="C462" s="137"/>
      <c r="D462" s="138" t="s">
        <v>102</v>
      </c>
      <c r="E462" s="138" t="s">
        <v>154</v>
      </c>
      <c r="F462" s="113" t="s">
        <v>747</v>
      </c>
      <c r="G462" s="113"/>
      <c r="H462" s="139" t="s">
        <v>95</v>
      </c>
      <c r="I462" s="139" t="s">
        <v>377</v>
      </c>
      <c r="J462" s="63" t="s">
        <v>108</v>
      </c>
      <c r="K462" s="139" t="s">
        <v>93</v>
      </c>
      <c r="L462" s="77">
        <v>22.4</v>
      </c>
      <c r="M462" s="77" t="s">
        <v>279</v>
      </c>
      <c r="N462" s="139" t="s">
        <v>110</v>
      </c>
      <c r="O462" s="137" t="s">
        <v>33</v>
      </c>
      <c r="P462" s="113" t="s">
        <v>178</v>
      </c>
      <c r="Q462" s="105" t="s">
        <v>112</v>
      </c>
      <c r="R462" s="105" t="s">
        <v>661</v>
      </c>
      <c r="S462" s="105" t="s">
        <v>662</v>
      </c>
      <c r="T462" s="105" t="s">
        <v>35</v>
      </c>
      <c r="U462" s="105" t="s">
        <v>737</v>
      </c>
      <c r="V462" s="105" t="s">
        <v>304</v>
      </c>
      <c r="W462" s="105" t="s">
        <v>738</v>
      </c>
    </row>
    <row r="463" ht="47.25" customHeight="1" spans="1:23">
      <c r="A463" s="113"/>
      <c r="B463" s="137"/>
      <c r="C463" s="137"/>
      <c r="D463" s="138" t="s">
        <v>102</v>
      </c>
      <c r="E463" s="138" t="s">
        <v>154</v>
      </c>
      <c r="F463" s="113" t="s">
        <v>748</v>
      </c>
      <c r="G463" s="113"/>
      <c r="H463" s="139" t="s">
        <v>157</v>
      </c>
      <c r="I463" s="139" t="s">
        <v>188</v>
      </c>
      <c r="J463" s="63" t="s">
        <v>108</v>
      </c>
      <c r="K463" s="139" t="s">
        <v>93</v>
      </c>
      <c r="L463" s="77">
        <v>22.4</v>
      </c>
      <c r="M463" s="77" t="s">
        <v>279</v>
      </c>
      <c r="N463" s="139" t="s">
        <v>110</v>
      </c>
      <c r="O463" s="137" t="s">
        <v>33</v>
      </c>
      <c r="P463" s="113" t="s">
        <v>178</v>
      </c>
      <c r="Q463" s="105" t="s">
        <v>112</v>
      </c>
      <c r="R463" s="105" t="s">
        <v>661</v>
      </c>
      <c r="S463" s="105" t="s">
        <v>662</v>
      </c>
      <c r="T463" s="105" t="s">
        <v>35</v>
      </c>
      <c r="U463" s="105" t="s">
        <v>737</v>
      </c>
      <c r="V463" s="105" t="s">
        <v>304</v>
      </c>
      <c r="W463" s="105" t="s">
        <v>738</v>
      </c>
    </row>
    <row r="464" ht="47.25" customHeight="1" spans="1:23">
      <c r="A464" s="113"/>
      <c r="B464" s="137"/>
      <c r="C464" s="137"/>
      <c r="D464" s="138" t="s">
        <v>102</v>
      </c>
      <c r="E464" s="138" t="s">
        <v>154</v>
      </c>
      <c r="F464" s="113" t="s">
        <v>749</v>
      </c>
      <c r="G464" s="113"/>
      <c r="H464" s="139" t="s">
        <v>95</v>
      </c>
      <c r="I464" s="139" t="s">
        <v>193</v>
      </c>
      <c r="J464" s="63" t="s">
        <v>108</v>
      </c>
      <c r="K464" s="139" t="s">
        <v>134</v>
      </c>
      <c r="L464" s="77">
        <v>6.7</v>
      </c>
      <c r="M464" s="77" t="s">
        <v>279</v>
      </c>
      <c r="N464" s="139" t="s">
        <v>99</v>
      </c>
      <c r="O464" s="137" t="s">
        <v>33</v>
      </c>
      <c r="P464" s="113" t="s">
        <v>178</v>
      </c>
      <c r="Q464" s="105" t="s">
        <v>112</v>
      </c>
      <c r="R464" s="105" t="s">
        <v>661</v>
      </c>
      <c r="S464" s="105" t="s">
        <v>662</v>
      </c>
      <c r="T464" s="105" t="s">
        <v>35</v>
      </c>
      <c r="U464" s="105" t="s">
        <v>737</v>
      </c>
      <c r="V464" s="105" t="s">
        <v>304</v>
      </c>
      <c r="W464" s="105" t="s">
        <v>738</v>
      </c>
    </row>
    <row r="465" ht="15.75" customHeight="1" spans="1:24">
      <c r="A465" s="113"/>
      <c r="B465" s="137"/>
      <c r="C465" s="137"/>
      <c r="D465" s="138" t="s">
        <v>102</v>
      </c>
      <c r="E465" s="138" t="s">
        <v>154</v>
      </c>
      <c r="F465" s="113" t="s">
        <v>750</v>
      </c>
      <c r="G465" s="113"/>
      <c r="H465" s="139" t="s">
        <v>85</v>
      </c>
      <c r="I465" s="139" t="s">
        <v>209</v>
      </c>
      <c r="J465" s="63" t="s">
        <v>108</v>
      </c>
      <c r="K465" s="139" t="s">
        <v>134</v>
      </c>
      <c r="L465" s="77">
        <v>6.9</v>
      </c>
      <c r="M465" s="77" t="s">
        <v>279</v>
      </c>
      <c r="N465" s="139" t="s">
        <v>110</v>
      </c>
      <c r="O465" s="137" t="s">
        <v>33</v>
      </c>
      <c r="P465" s="113" t="s">
        <v>178</v>
      </c>
      <c r="Q465" s="105" t="s">
        <v>112</v>
      </c>
      <c r="R465" s="105" t="s">
        <v>661</v>
      </c>
      <c r="S465" s="105" t="s">
        <v>662</v>
      </c>
      <c r="T465" s="105" t="s">
        <v>35</v>
      </c>
      <c r="U465" s="105" t="s">
        <v>737</v>
      </c>
      <c r="V465" s="105" t="s">
        <v>304</v>
      </c>
      <c r="W465" s="105" t="s">
        <v>738</v>
      </c>
    </row>
    <row r="466" s="40" customFormat="1" ht="15.75" spans="1:24">
      <c r="A466" s="140" t="s">
        <v>40</v>
      </c>
      <c r="B466" s="141" t="s">
        <v>39</v>
      </c>
      <c r="C466" s="141" t="s">
        <v>83</v>
      </c>
      <c r="D466" s="142" t="s">
        <v>102</v>
      </c>
      <c r="E466" s="142" t="s">
        <v>103</v>
      </c>
      <c r="F466" s="143" t="s">
        <v>751</v>
      </c>
      <c r="G466" s="143" t="s">
        <v>752</v>
      </c>
      <c r="H466" s="144" t="s">
        <v>85</v>
      </c>
      <c r="I466" s="144" t="s">
        <v>209</v>
      </c>
      <c r="J466" s="145" t="s">
        <v>108</v>
      </c>
      <c r="K466" s="144" t="s">
        <v>93</v>
      </c>
      <c r="L466" s="146">
        <v>12</v>
      </c>
      <c r="M466" s="146"/>
      <c r="N466" s="144" t="s">
        <v>99</v>
      </c>
      <c r="O466" s="141" t="s">
        <v>39</v>
      </c>
      <c r="P466" s="147" t="s">
        <v>143</v>
      </c>
      <c r="Q466" s="140" t="s">
        <v>112</v>
      </c>
      <c r="R466" s="140" t="s">
        <v>113</v>
      </c>
      <c r="S466" s="140" t="s">
        <v>753</v>
      </c>
      <c r="T466" s="140" t="s">
        <v>41</v>
      </c>
      <c r="U466" s="140" t="s">
        <v>754</v>
      </c>
      <c r="V466" s="140" t="s">
        <v>116</v>
      </c>
      <c r="W466" s="140" t="s">
        <v>117</v>
      </c>
    </row>
    <row r="467" s="40" customFormat="1" customHeight="1" spans="1:24">
      <c r="A467" s="140"/>
      <c r="B467" s="141"/>
      <c r="C467" s="141"/>
      <c r="D467" s="141"/>
      <c r="E467" s="141"/>
      <c r="F467" s="143"/>
      <c r="G467" s="143"/>
      <c r="H467" s="144"/>
      <c r="I467" s="144" t="s">
        <v>86</v>
      </c>
      <c r="J467" s="145" t="s">
        <v>87</v>
      </c>
      <c r="K467" s="144" t="s">
        <v>93</v>
      </c>
      <c r="L467" s="146">
        <v>2</v>
      </c>
      <c r="M467" s="146" t="s">
        <v>89</v>
      </c>
      <c r="N467" s="144" t="s">
        <v>110</v>
      </c>
      <c r="O467" s="141"/>
      <c r="P467" s="147"/>
      <c r="Q467" s="140"/>
      <c r="R467" s="140"/>
      <c r="S467" s="140"/>
      <c r="T467" s="140"/>
      <c r="U467" s="140"/>
      <c r="V467" s="140"/>
      <c r="W467" s="140"/>
    </row>
    <row r="468" s="40" customFormat="1" customHeight="1" spans="1:24">
      <c r="A468" s="140"/>
      <c r="B468" s="141"/>
      <c r="C468" s="141"/>
      <c r="D468" s="141"/>
      <c r="E468" s="141"/>
      <c r="F468" s="143"/>
      <c r="G468" s="143"/>
      <c r="H468" s="144"/>
      <c r="I468" s="144" t="s">
        <v>267</v>
      </c>
      <c r="J468" s="145" t="s">
        <v>87</v>
      </c>
      <c r="K468" s="144" t="s">
        <v>93</v>
      </c>
      <c r="L468" s="146">
        <v>4.5</v>
      </c>
      <c r="M468" s="146" t="s">
        <v>89</v>
      </c>
      <c r="N468" s="144" t="s">
        <v>110</v>
      </c>
      <c r="O468" s="141"/>
      <c r="P468" s="147"/>
      <c r="Q468" s="140"/>
      <c r="R468" s="140"/>
      <c r="S468" s="140"/>
      <c r="T468" s="140"/>
      <c r="U468" s="140"/>
      <c r="V468" s="140"/>
      <c r="W468" s="140"/>
    </row>
    <row r="469" s="40" customFormat="1" ht="15.75" spans="1:24">
      <c r="A469" s="140"/>
      <c r="B469" s="141"/>
      <c r="C469" s="141"/>
      <c r="D469" s="141"/>
      <c r="E469" s="141"/>
      <c r="F469" s="143"/>
      <c r="G469" s="143"/>
      <c r="H469" s="144"/>
      <c r="I469" s="144" t="s">
        <v>192</v>
      </c>
      <c r="J469" s="145" t="s">
        <v>108</v>
      </c>
      <c r="K469" s="144" t="s">
        <v>93</v>
      </c>
      <c r="L469" s="146">
        <v>2</v>
      </c>
      <c r="M469" s="146"/>
      <c r="N469" s="144" t="s">
        <v>99</v>
      </c>
      <c r="O469" s="141"/>
      <c r="P469" s="147"/>
      <c r="Q469" s="140"/>
      <c r="R469" s="140"/>
      <c r="S469" s="140"/>
      <c r="T469" s="140"/>
      <c r="U469" s="140"/>
      <c r="V469" s="140"/>
      <c r="W469" s="140"/>
    </row>
    <row r="470" s="40" customFormat="1" customHeight="1" spans="1:24">
      <c r="A470" s="140"/>
      <c r="B470" s="141"/>
      <c r="C470" s="141"/>
      <c r="D470" s="141"/>
      <c r="E470" s="141"/>
      <c r="F470" s="143"/>
      <c r="G470" s="143"/>
      <c r="H470" s="148" t="s">
        <v>132</v>
      </c>
      <c r="I470" s="144" t="s">
        <v>133</v>
      </c>
      <c r="J470" s="145" t="s">
        <v>87</v>
      </c>
      <c r="K470" s="144" t="s">
        <v>134</v>
      </c>
      <c r="L470" s="146">
        <v>10</v>
      </c>
      <c r="M470" s="146"/>
      <c r="N470" s="145" t="s">
        <v>99</v>
      </c>
      <c r="O470" s="141"/>
      <c r="P470" s="147"/>
      <c r="Q470" s="140"/>
      <c r="R470" s="140"/>
      <c r="S470" s="140"/>
      <c r="T470" s="140"/>
      <c r="U470" s="140"/>
      <c r="V470" s="140"/>
      <c r="W470" s="140"/>
    </row>
    <row r="471" s="40" customFormat="1" customHeight="1" spans="1:24">
      <c r="A471" s="140"/>
      <c r="B471" s="141"/>
      <c r="C471" s="141"/>
      <c r="D471" s="141"/>
      <c r="E471" s="141"/>
      <c r="F471" s="143"/>
      <c r="G471" s="143"/>
      <c r="H471" s="149"/>
      <c r="I471" s="144" t="s">
        <v>755</v>
      </c>
      <c r="J471" s="145" t="s">
        <v>87</v>
      </c>
      <c r="K471" s="144" t="s">
        <v>134</v>
      </c>
      <c r="L471" s="146">
        <v>3</v>
      </c>
      <c r="M471" s="146"/>
      <c r="N471" s="144" t="s">
        <v>99</v>
      </c>
      <c r="O471" s="141"/>
      <c r="P471" s="147"/>
      <c r="Q471" s="140"/>
      <c r="R471" s="140"/>
      <c r="S471" s="140"/>
      <c r="T471" s="140"/>
      <c r="U471" s="140"/>
      <c r="V471" s="140"/>
      <c r="W471" s="140"/>
    </row>
    <row r="472" s="40" customFormat="1" customHeight="1" spans="1:24">
      <c r="A472" s="140"/>
      <c r="B472" s="141"/>
      <c r="C472" s="141"/>
      <c r="D472" s="141"/>
      <c r="E472" s="141"/>
      <c r="F472" s="143"/>
      <c r="G472" s="143"/>
      <c r="H472" s="144" t="s">
        <v>91</v>
      </c>
      <c r="I472" s="144" t="s">
        <v>92</v>
      </c>
      <c r="J472" s="145" t="s">
        <v>87</v>
      </c>
      <c r="K472" s="144" t="s">
        <v>93</v>
      </c>
      <c r="L472" s="146">
        <v>10</v>
      </c>
      <c r="M472" s="146" t="s">
        <v>756</v>
      </c>
      <c r="N472" s="144" t="s">
        <v>99</v>
      </c>
      <c r="O472" s="141"/>
      <c r="P472" s="147"/>
      <c r="Q472" s="140"/>
      <c r="R472" s="140"/>
      <c r="S472" s="140"/>
      <c r="T472" s="140"/>
      <c r="U472" s="140"/>
      <c r="V472" s="140"/>
      <c r="W472" s="140"/>
    </row>
    <row r="473" s="40" customFormat="1" ht="15.75" spans="1:24">
      <c r="A473" s="140"/>
      <c r="B473" s="141"/>
      <c r="C473" s="141"/>
      <c r="D473" s="141"/>
      <c r="E473" s="141"/>
      <c r="F473" s="143"/>
      <c r="G473" s="143"/>
      <c r="H473" s="144"/>
      <c r="I473" s="144" t="s">
        <v>475</v>
      </c>
      <c r="J473" s="145" t="s">
        <v>108</v>
      </c>
      <c r="K473" s="144" t="s">
        <v>93</v>
      </c>
      <c r="L473" s="146">
        <v>4</v>
      </c>
      <c r="M473" s="146" t="s">
        <v>757</v>
      </c>
      <c r="N473" s="144" t="s">
        <v>99</v>
      </c>
      <c r="O473" s="141"/>
      <c r="P473" s="147"/>
      <c r="Q473" s="140"/>
      <c r="R473" s="140"/>
      <c r="S473" s="140"/>
      <c r="T473" s="140"/>
      <c r="U473" s="140"/>
      <c r="V473" s="140"/>
      <c r="W473" s="140"/>
    </row>
    <row r="474" s="40" customFormat="1" ht="15.75" spans="1:24">
      <c r="A474" s="140"/>
      <c r="B474" s="141"/>
      <c r="C474" s="141"/>
      <c r="D474" s="141"/>
      <c r="E474" s="141"/>
      <c r="F474" s="143"/>
      <c r="G474" s="143"/>
      <c r="H474" s="144" t="s">
        <v>106</v>
      </c>
      <c r="I474" s="144" t="s">
        <v>283</v>
      </c>
      <c r="J474" s="145" t="s">
        <v>108</v>
      </c>
      <c r="K474" s="144" t="s">
        <v>134</v>
      </c>
      <c r="L474" s="146">
        <v>5.5</v>
      </c>
      <c r="M474" s="146"/>
      <c r="N474" s="144" t="s">
        <v>99</v>
      </c>
      <c r="O474" s="141"/>
      <c r="P474" s="147"/>
      <c r="Q474" s="140"/>
      <c r="R474" s="140"/>
      <c r="S474" s="140"/>
      <c r="T474" s="140"/>
      <c r="U474" s="140"/>
      <c r="V474" s="140"/>
      <c r="W474" s="140"/>
    </row>
    <row r="475" s="40" customFormat="1" customHeight="1" spans="1:24">
      <c r="A475" s="140"/>
      <c r="B475" s="141"/>
      <c r="C475" s="141"/>
      <c r="D475" s="141"/>
      <c r="E475" s="141"/>
      <c r="F475" s="143"/>
      <c r="G475" s="143"/>
      <c r="H475" s="144"/>
      <c r="I475" s="144" t="s">
        <v>249</v>
      </c>
      <c r="J475" s="144" t="s">
        <v>87</v>
      </c>
      <c r="K475" s="144" t="s">
        <v>134</v>
      </c>
      <c r="L475" s="146">
        <v>1</v>
      </c>
      <c r="M475" s="146"/>
      <c r="N475" s="144" t="s">
        <v>99</v>
      </c>
      <c r="O475" s="141"/>
      <c r="P475" s="147"/>
      <c r="Q475" s="140"/>
      <c r="R475" s="140"/>
      <c r="S475" s="140"/>
      <c r="T475" s="140"/>
      <c r="U475" s="140"/>
      <c r="V475" s="140"/>
      <c r="W475" s="140"/>
    </row>
    <row r="476" s="40" customFormat="1" ht="15.75" spans="1:24">
      <c r="A476" s="140"/>
      <c r="B476" s="141"/>
      <c r="C476" s="141"/>
      <c r="D476" s="141"/>
      <c r="E476" s="141"/>
      <c r="F476" s="143"/>
      <c r="G476" s="143"/>
      <c r="H476" s="144" t="s">
        <v>132</v>
      </c>
      <c r="I476" s="144" t="s">
        <v>203</v>
      </c>
      <c r="J476" s="144" t="s">
        <v>108</v>
      </c>
      <c r="K476" s="144" t="s">
        <v>134</v>
      </c>
      <c r="L476" s="146">
        <v>5</v>
      </c>
      <c r="M476" s="146" t="s">
        <v>758</v>
      </c>
      <c r="N476" s="144" t="s">
        <v>99</v>
      </c>
      <c r="O476" s="141"/>
      <c r="P476" s="147"/>
      <c r="Q476" s="140"/>
      <c r="R476" s="140"/>
      <c r="S476" s="140"/>
      <c r="T476" s="140"/>
      <c r="U476" s="140"/>
      <c r="V476" s="140"/>
      <c r="W476" s="140"/>
    </row>
    <row r="477" s="40" customFormat="1" ht="15.75" spans="1:24">
      <c r="A477" s="140"/>
      <c r="B477" s="141"/>
      <c r="C477" s="141"/>
      <c r="D477" s="141"/>
      <c r="E477" s="141"/>
      <c r="F477" s="143"/>
      <c r="G477" s="143"/>
      <c r="H477" s="144" t="s">
        <v>141</v>
      </c>
      <c r="I477" s="144" t="s">
        <v>457</v>
      </c>
      <c r="J477" s="145" t="s">
        <v>108</v>
      </c>
      <c r="K477" s="144" t="s">
        <v>134</v>
      </c>
      <c r="L477" s="146">
        <v>40</v>
      </c>
      <c r="M477" s="146" t="s">
        <v>756</v>
      </c>
      <c r="N477" s="144" t="s">
        <v>99</v>
      </c>
      <c r="O477" s="141"/>
      <c r="P477" s="147"/>
      <c r="Q477" s="140"/>
      <c r="R477" s="140"/>
      <c r="S477" s="140"/>
      <c r="T477" s="140"/>
      <c r="U477" s="140"/>
      <c r="V477" s="140"/>
      <c r="W477" s="140"/>
    </row>
    <row r="478" s="40" customFormat="1" ht="15.75" spans="1:24">
      <c r="A478" s="140"/>
      <c r="B478" s="141"/>
      <c r="C478" s="141"/>
      <c r="D478" s="141"/>
      <c r="E478" s="141"/>
      <c r="F478" s="143"/>
      <c r="G478" s="143"/>
      <c r="H478" s="144"/>
      <c r="I478" s="144" t="s">
        <v>759</v>
      </c>
      <c r="J478" s="145" t="s">
        <v>108</v>
      </c>
      <c r="K478" s="144" t="s">
        <v>93</v>
      </c>
      <c r="L478" s="146">
        <v>20</v>
      </c>
      <c r="M478" s="146" t="s">
        <v>760</v>
      </c>
      <c r="N478" s="144" t="s">
        <v>99</v>
      </c>
      <c r="O478" s="141"/>
      <c r="P478" s="147"/>
      <c r="Q478" s="140"/>
      <c r="R478" s="140"/>
      <c r="S478" s="140"/>
      <c r="T478" s="140"/>
      <c r="U478" s="140"/>
      <c r="V478" s="140"/>
      <c r="W478" s="140"/>
      <c r="X478" s="150"/>
    </row>
    <row r="479" s="40" customFormat="1" ht="15.75" spans="1:24">
      <c r="A479" s="140"/>
      <c r="B479" s="141"/>
      <c r="C479" s="141"/>
      <c r="D479" s="141"/>
      <c r="E479" s="141"/>
      <c r="F479" s="143"/>
      <c r="G479" s="143"/>
      <c r="H479" s="144"/>
      <c r="I479" s="144" t="s">
        <v>150</v>
      </c>
      <c r="J479" s="145" t="s">
        <v>108</v>
      </c>
      <c r="K479" s="144" t="s">
        <v>93</v>
      </c>
      <c r="L479" s="146">
        <v>35</v>
      </c>
      <c r="M479" s="146"/>
      <c r="N479" s="144" t="s">
        <v>99</v>
      </c>
      <c r="O479" s="141"/>
      <c r="P479" s="147"/>
      <c r="Q479" s="140"/>
      <c r="R479" s="140"/>
      <c r="S479" s="140"/>
      <c r="T479" s="140"/>
      <c r="U479" s="140"/>
      <c r="V479" s="140"/>
      <c r="W479" s="140"/>
    </row>
    <row r="480" s="40" customFormat="1" ht="15.75" spans="1:24">
      <c r="A480" s="140"/>
      <c r="B480" s="141"/>
      <c r="C480" s="141"/>
      <c r="D480" s="141"/>
      <c r="E480" s="141"/>
      <c r="F480" s="143"/>
      <c r="G480" s="143"/>
      <c r="H480" s="144"/>
      <c r="I480" s="144" t="s">
        <v>761</v>
      </c>
      <c r="J480" s="145" t="s">
        <v>108</v>
      </c>
      <c r="K480" s="144" t="s">
        <v>93</v>
      </c>
      <c r="L480" s="146">
        <v>40</v>
      </c>
      <c r="M480" s="146" t="s">
        <v>756</v>
      </c>
      <c r="N480" s="144" t="s">
        <v>99</v>
      </c>
      <c r="O480" s="141"/>
      <c r="P480" s="147"/>
      <c r="Q480" s="140"/>
      <c r="R480" s="140"/>
      <c r="S480" s="140"/>
      <c r="T480" s="140"/>
      <c r="U480" s="140"/>
      <c r="V480" s="140"/>
      <c r="W480" s="140"/>
    </row>
    <row r="481" s="40" customFormat="1" ht="15.75" spans="1:23">
      <c r="A481" s="140"/>
      <c r="B481" s="141"/>
      <c r="C481" s="141"/>
      <c r="D481" s="141"/>
      <c r="E481" s="141"/>
      <c r="F481" s="143"/>
      <c r="G481" s="143"/>
      <c r="H481" s="144"/>
      <c r="I481" s="144" t="s">
        <v>479</v>
      </c>
      <c r="J481" s="145" t="s">
        <v>97</v>
      </c>
      <c r="K481" s="144" t="s">
        <v>134</v>
      </c>
      <c r="L481" s="146" t="s">
        <v>762</v>
      </c>
      <c r="M481" s="146"/>
      <c r="N481" s="144" t="s">
        <v>99</v>
      </c>
      <c r="O481" s="141"/>
      <c r="P481" s="147"/>
      <c r="Q481" s="140"/>
      <c r="R481" s="140"/>
      <c r="S481" s="140"/>
      <c r="T481" s="140"/>
      <c r="U481" s="140"/>
      <c r="V481" s="140"/>
      <c r="W481" s="140"/>
    </row>
    <row r="482" s="40" customFormat="1" ht="15.75" spans="1:23">
      <c r="A482" s="140"/>
      <c r="B482" s="141"/>
      <c r="C482" s="141"/>
      <c r="D482" s="141"/>
      <c r="E482" s="141"/>
      <c r="F482" s="143"/>
      <c r="G482" s="143"/>
      <c r="H482" s="144"/>
      <c r="I482" s="144" t="s">
        <v>142</v>
      </c>
      <c r="J482" s="145" t="s">
        <v>97</v>
      </c>
      <c r="K482" s="144" t="s">
        <v>93</v>
      </c>
      <c r="L482" s="146">
        <v>20</v>
      </c>
      <c r="M482" s="146"/>
      <c r="N482" s="144" t="s">
        <v>99</v>
      </c>
      <c r="O482" s="141"/>
      <c r="P482" s="147"/>
      <c r="Q482" s="140"/>
      <c r="R482" s="140"/>
      <c r="S482" s="140"/>
      <c r="T482" s="140"/>
      <c r="U482" s="140"/>
      <c r="V482" s="140"/>
      <c r="W482" s="140"/>
    </row>
    <row r="483" s="40" customFormat="1" ht="15.75" spans="1:23">
      <c r="A483" s="140"/>
      <c r="B483" s="141"/>
      <c r="C483" s="141"/>
      <c r="D483" s="141"/>
      <c r="E483" s="141"/>
      <c r="F483" s="143"/>
      <c r="G483" s="143"/>
      <c r="H483" s="144"/>
      <c r="I483" s="144" t="s">
        <v>763</v>
      </c>
      <c r="J483" s="145" t="s">
        <v>108</v>
      </c>
      <c r="K483" s="144" t="s">
        <v>134</v>
      </c>
      <c r="L483" s="146">
        <v>8</v>
      </c>
      <c r="M483" s="146" t="s">
        <v>756</v>
      </c>
      <c r="N483" s="144" t="s">
        <v>99</v>
      </c>
      <c r="O483" s="141"/>
      <c r="P483" s="147"/>
      <c r="Q483" s="140"/>
      <c r="R483" s="140"/>
      <c r="S483" s="140"/>
      <c r="T483" s="140"/>
      <c r="U483" s="140"/>
      <c r="V483" s="140"/>
      <c r="W483" s="140"/>
    </row>
    <row r="484" s="40" customFormat="1" ht="15.75" spans="1:23">
      <c r="A484" s="151" t="s">
        <v>764</v>
      </c>
      <c r="B484" s="152" t="s">
        <v>765</v>
      </c>
      <c r="C484" s="152" t="s">
        <v>173</v>
      </c>
      <c r="D484" s="153" t="s">
        <v>102</v>
      </c>
      <c r="E484" s="153" t="s">
        <v>103</v>
      </c>
      <c r="F484" s="154" t="s">
        <v>766</v>
      </c>
      <c r="G484" s="154" t="s">
        <v>767</v>
      </c>
      <c r="H484" s="155" t="s">
        <v>85</v>
      </c>
      <c r="I484" s="155" t="s">
        <v>209</v>
      </c>
      <c r="J484" s="156" t="s">
        <v>108</v>
      </c>
      <c r="K484" s="155" t="s">
        <v>93</v>
      </c>
      <c r="L484" s="157">
        <v>12</v>
      </c>
      <c r="M484" s="157"/>
      <c r="N484" s="155" t="s">
        <v>99</v>
      </c>
      <c r="O484" s="152" t="s">
        <v>39</v>
      </c>
      <c r="P484" s="158" t="s">
        <v>143</v>
      </c>
      <c r="Q484" s="151" t="s">
        <v>112</v>
      </c>
      <c r="R484" s="151" t="s">
        <v>113</v>
      </c>
      <c r="S484" s="151" t="s">
        <v>753</v>
      </c>
      <c r="T484" s="151" t="s">
        <v>41</v>
      </c>
      <c r="U484" s="151" t="s">
        <v>754</v>
      </c>
      <c r="V484" s="151" t="s">
        <v>116</v>
      </c>
      <c r="W484" s="151" t="s">
        <v>117</v>
      </c>
    </row>
    <row r="485" s="40" customFormat="1" customHeight="1" spans="1:23">
      <c r="A485" s="151"/>
      <c r="B485" s="152"/>
      <c r="C485" s="152"/>
      <c r="D485" s="152"/>
      <c r="E485" s="152"/>
      <c r="F485" s="154"/>
      <c r="G485" s="154"/>
      <c r="H485" s="155"/>
      <c r="I485" s="155" t="s">
        <v>86</v>
      </c>
      <c r="J485" s="156" t="s">
        <v>87</v>
      </c>
      <c r="K485" s="155" t="s">
        <v>93</v>
      </c>
      <c r="L485" s="157">
        <v>2</v>
      </c>
      <c r="M485" s="157" t="s">
        <v>89</v>
      </c>
      <c r="N485" s="155" t="s">
        <v>110</v>
      </c>
      <c r="O485" s="152"/>
      <c r="P485" s="158"/>
      <c r="Q485" s="151"/>
      <c r="R485" s="151"/>
      <c r="S485" s="151"/>
      <c r="T485" s="151"/>
      <c r="U485" s="151"/>
      <c r="V485" s="151"/>
      <c r="W485" s="151"/>
    </row>
    <row r="486" s="40" customFormat="1" customHeight="1" spans="1:23">
      <c r="A486" s="151"/>
      <c r="B486" s="152"/>
      <c r="C486" s="152"/>
      <c r="D486" s="152"/>
      <c r="E486" s="152"/>
      <c r="F486" s="154"/>
      <c r="G486" s="154"/>
      <c r="H486" s="155"/>
      <c r="I486" s="155" t="s">
        <v>267</v>
      </c>
      <c r="J486" s="156" t="s">
        <v>87</v>
      </c>
      <c r="K486" s="155" t="s">
        <v>93</v>
      </c>
      <c r="L486" s="157">
        <v>4.5</v>
      </c>
      <c r="M486" s="157" t="s">
        <v>89</v>
      </c>
      <c r="N486" s="155" t="s">
        <v>110</v>
      </c>
      <c r="O486" s="152"/>
      <c r="P486" s="158"/>
      <c r="Q486" s="151"/>
      <c r="R486" s="151"/>
      <c r="S486" s="151"/>
      <c r="T486" s="151"/>
      <c r="U486" s="151"/>
      <c r="V486" s="151"/>
      <c r="W486" s="151"/>
    </row>
    <row r="487" s="40" customFormat="1" ht="15.75" spans="1:23">
      <c r="A487" s="151"/>
      <c r="B487" s="152"/>
      <c r="C487" s="152"/>
      <c r="D487" s="152"/>
      <c r="E487" s="152"/>
      <c r="F487" s="154"/>
      <c r="G487" s="154"/>
      <c r="H487" s="155"/>
      <c r="I487" s="155" t="s">
        <v>192</v>
      </c>
      <c r="J487" s="156" t="s">
        <v>108</v>
      </c>
      <c r="K487" s="155" t="s">
        <v>93</v>
      </c>
      <c r="L487" s="157">
        <v>2</v>
      </c>
      <c r="M487" s="157"/>
      <c r="N487" s="155" t="s">
        <v>99</v>
      </c>
      <c r="O487" s="152"/>
      <c r="P487" s="158"/>
      <c r="Q487" s="151"/>
      <c r="R487" s="151"/>
      <c r="S487" s="151"/>
      <c r="T487" s="151"/>
      <c r="U487" s="151"/>
      <c r="V487" s="151"/>
      <c r="W487" s="151"/>
    </row>
    <row r="488" s="40" customFormat="1" customHeight="1" spans="1:23">
      <c r="A488" s="151"/>
      <c r="B488" s="152"/>
      <c r="C488" s="152"/>
      <c r="D488" s="152"/>
      <c r="E488" s="152"/>
      <c r="F488" s="154"/>
      <c r="G488" s="154"/>
      <c r="H488" s="159" t="s">
        <v>132</v>
      </c>
      <c r="I488" s="155" t="s">
        <v>133</v>
      </c>
      <c r="J488" s="156" t="s">
        <v>87</v>
      </c>
      <c r="K488" s="155" t="s">
        <v>134</v>
      </c>
      <c r="L488" s="157">
        <v>10</v>
      </c>
      <c r="M488" s="157"/>
      <c r="N488" s="155" t="s">
        <v>99</v>
      </c>
      <c r="O488" s="152"/>
      <c r="P488" s="158"/>
      <c r="Q488" s="151"/>
      <c r="R488" s="151"/>
      <c r="S488" s="151"/>
      <c r="T488" s="151"/>
      <c r="U488" s="151"/>
      <c r="V488" s="151"/>
      <c r="W488" s="151"/>
    </row>
    <row r="489" s="40" customFormat="1" customHeight="1" spans="1:23">
      <c r="A489" s="151"/>
      <c r="B489" s="152"/>
      <c r="C489" s="152"/>
      <c r="D489" s="152"/>
      <c r="E489" s="152"/>
      <c r="F489" s="154"/>
      <c r="G489" s="154"/>
      <c r="H489" s="160"/>
      <c r="I489" s="155" t="s">
        <v>755</v>
      </c>
      <c r="J489" s="156" t="s">
        <v>87</v>
      </c>
      <c r="K489" s="155" t="s">
        <v>134</v>
      </c>
      <c r="L489" s="157">
        <v>3</v>
      </c>
      <c r="M489" s="157"/>
      <c r="N489" s="155" t="s">
        <v>99</v>
      </c>
      <c r="O489" s="152"/>
      <c r="P489" s="158"/>
      <c r="Q489" s="151"/>
      <c r="R489" s="151"/>
      <c r="S489" s="151"/>
      <c r="T489" s="151"/>
      <c r="U489" s="151"/>
      <c r="V489" s="151"/>
      <c r="W489" s="151"/>
    </row>
    <row r="490" s="40" customFormat="1" customHeight="1" spans="1:23">
      <c r="A490" s="151"/>
      <c r="B490" s="152"/>
      <c r="C490" s="152"/>
      <c r="D490" s="152"/>
      <c r="E490" s="152"/>
      <c r="F490" s="154"/>
      <c r="G490" s="154"/>
      <c r="H490" s="155" t="s">
        <v>91</v>
      </c>
      <c r="I490" s="155" t="s">
        <v>92</v>
      </c>
      <c r="J490" s="156" t="s">
        <v>87</v>
      </c>
      <c r="K490" s="155" t="s">
        <v>93</v>
      </c>
      <c r="L490" s="157">
        <v>10</v>
      </c>
      <c r="M490" s="157" t="s">
        <v>756</v>
      </c>
      <c r="N490" s="155" t="s">
        <v>99</v>
      </c>
      <c r="O490" s="152"/>
      <c r="P490" s="158"/>
      <c r="Q490" s="151"/>
      <c r="R490" s="151"/>
      <c r="S490" s="151"/>
      <c r="T490" s="151"/>
      <c r="U490" s="151"/>
      <c r="V490" s="151"/>
      <c r="W490" s="151"/>
    </row>
    <row r="491" s="40" customFormat="1" ht="15.75" spans="1:23">
      <c r="A491" s="151"/>
      <c r="B491" s="152"/>
      <c r="C491" s="152"/>
      <c r="D491" s="152"/>
      <c r="E491" s="152"/>
      <c r="F491" s="154"/>
      <c r="G491" s="154"/>
      <c r="H491" s="155"/>
      <c r="I491" s="155" t="s">
        <v>475</v>
      </c>
      <c r="J491" s="156" t="s">
        <v>108</v>
      </c>
      <c r="K491" s="155" t="s">
        <v>93</v>
      </c>
      <c r="L491" s="157">
        <v>4</v>
      </c>
      <c r="M491" s="157" t="s">
        <v>757</v>
      </c>
      <c r="N491" s="155" t="s">
        <v>99</v>
      </c>
      <c r="O491" s="152"/>
      <c r="P491" s="158"/>
      <c r="Q491" s="151"/>
      <c r="R491" s="151"/>
      <c r="S491" s="151"/>
      <c r="T491" s="151"/>
      <c r="U491" s="151"/>
      <c r="V491" s="151"/>
      <c r="W491" s="151"/>
    </row>
    <row r="492" s="40" customFormat="1" ht="15.75" spans="1:23">
      <c r="A492" s="151"/>
      <c r="B492" s="152"/>
      <c r="C492" s="152"/>
      <c r="D492" s="152"/>
      <c r="E492" s="152"/>
      <c r="F492" s="154"/>
      <c r="G492" s="154"/>
      <c r="H492" s="155" t="s">
        <v>106</v>
      </c>
      <c r="I492" s="155" t="s">
        <v>283</v>
      </c>
      <c r="J492" s="156" t="s">
        <v>108</v>
      </c>
      <c r="K492" s="155" t="s">
        <v>134</v>
      </c>
      <c r="L492" s="157">
        <v>5.5</v>
      </c>
      <c r="M492" s="157"/>
      <c r="N492" s="155" t="s">
        <v>99</v>
      </c>
      <c r="O492" s="152"/>
      <c r="P492" s="158"/>
      <c r="Q492" s="151"/>
      <c r="R492" s="151"/>
      <c r="S492" s="151"/>
      <c r="T492" s="151"/>
      <c r="U492" s="151"/>
      <c r="V492" s="151"/>
      <c r="W492" s="151"/>
    </row>
    <row r="493" s="40" customFormat="1" customHeight="1" spans="1:23">
      <c r="A493" s="151"/>
      <c r="B493" s="152"/>
      <c r="C493" s="152"/>
      <c r="D493" s="152"/>
      <c r="E493" s="152"/>
      <c r="F493" s="154"/>
      <c r="G493" s="154"/>
      <c r="H493" s="155"/>
      <c r="I493" s="155" t="s">
        <v>249</v>
      </c>
      <c r="J493" s="155" t="s">
        <v>87</v>
      </c>
      <c r="K493" s="155" t="s">
        <v>134</v>
      </c>
      <c r="L493" s="157">
        <v>1</v>
      </c>
      <c r="M493" s="157"/>
      <c r="N493" s="155" t="s">
        <v>99</v>
      </c>
      <c r="O493" s="152"/>
      <c r="P493" s="158"/>
      <c r="Q493" s="151"/>
      <c r="R493" s="151"/>
      <c r="S493" s="151"/>
      <c r="T493" s="151"/>
      <c r="U493" s="151"/>
      <c r="V493" s="151"/>
      <c r="W493" s="151"/>
    </row>
    <row r="494" s="40" customFormat="1" ht="15.75" spans="1:23">
      <c r="A494" s="151"/>
      <c r="B494" s="152"/>
      <c r="C494" s="152"/>
      <c r="D494" s="152"/>
      <c r="E494" s="152"/>
      <c r="F494" s="154"/>
      <c r="G494" s="154"/>
      <c r="H494" s="155" t="s">
        <v>141</v>
      </c>
      <c r="I494" s="155" t="s">
        <v>457</v>
      </c>
      <c r="J494" s="156" t="s">
        <v>108</v>
      </c>
      <c r="K494" s="155" t="s">
        <v>134</v>
      </c>
      <c r="L494" s="157">
        <v>15</v>
      </c>
      <c r="M494" s="157" t="s">
        <v>756</v>
      </c>
      <c r="N494" s="155" t="s">
        <v>99</v>
      </c>
      <c r="O494" s="152"/>
      <c r="P494" s="158"/>
      <c r="Q494" s="151"/>
      <c r="R494" s="151"/>
      <c r="S494" s="151"/>
      <c r="T494" s="151"/>
      <c r="U494" s="151"/>
      <c r="V494" s="151"/>
      <c r="W494" s="151"/>
    </row>
    <row r="495" s="40" customFormat="1" ht="15.75" spans="1:23">
      <c r="A495" s="151"/>
      <c r="B495" s="152"/>
      <c r="C495" s="152"/>
      <c r="D495" s="152"/>
      <c r="E495" s="152"/>
      <c r="F495" s="154"/>
      <c r="G495" s="154"/>
      <c r="H495" s="155"/>
      <c r="I495" s="155" t="s">
        <v>759</v>
      </c>
      <c r="J495" s="156" t="s">
        <v>108</v>
      </c>
      <c r="K495" s="155" t="s">
        <v>93</v>
      </c>
      <c r="L495" s="157">
        <v>20</v>
      </c>
      <c r="M495" s="157" t="s">
        <v>760</v>
      </c>
      <c r="N495" s="155" t="s">
        <v>99</v>
      </c>
      <c r="O495" s="152"/>
      <c r="P495" s="158"/>
      <c r="Q495" s="151"/>
      <c r="R495" s="151"/>
      <c r="S495" s="151"/>
      <c r="T495" s="151"/>
      <c r="U495" s="151"/>
      <c r="V495" s="151"/>
      <c r="W495" s="151"/>
    </row>
    <row r="496" s="40" customFormat="1" ht="15.75" spans="1:23">
      <c r="A496" s="151"/>
      <c r="B496" s="152"/>
      <c r="C496" s="152"/>
      <c r="D496" s="152"/>
      <c r="E496" s="152"/>
      <c r="F496" s="154"/>
      <c r="G496" s="154"/>
      <c r="H496" s="155"/>
      <c r="I496" s="155" t="s">
        <v>150</v>
      </c>
      <c r="J496" s="156" t="s">
        <v>108</v>
      </c>
      <c r="K496" s="155" t="s">
        <v>93</v>
      </c>
      <c r="L496" s="157">
        <v>35</v>
      </c>
      <c r="M496" s="157"/>
      <c r="N496" s="155" t="s">
        <v>99</v>
      </c>
      <c r="O496" s="152"/>
      <c r="P496" s="158"/>
      <c r="Q496" s="151"/>
      <c r="R496" s="151"/>
      <c r="S496" s="151"/>
      <c r="T496" s="151"/>
      <c r="U496" s="151"/>
      <c r="V496" s="151"/>
      <c r="W496" s="151"/>
    </row>
    <row r="497" s="40" customFormat="1" ht="15.75" spans="1:23">
      <c r="A497" s="151"/>
      <c r="B497" s="152"/>
      <c r="C497" s="152"/>
      <c r="D497" s="152"/>
      <c r="E497" s="152"/>
      <c r="F497" s="154"/>
      <c r="G497" s="154"/>
      <c r="H497" s="155"/>
      <c r="I497" s="155" t="s">
        <v>761</v>
      </c>
      <c r="J497" s="156" t="s">
        <v>108</v>
      </c>
      <c r="K497" s="155" t="s">
        <v>93</v>
      </c>
      <c r="L497" s="157">
        <v>40</v>
      </c>
      <c r="M497" s="157" t="s">
        <v>756</v>
      </c>
      <c r="N497" s="155" t="s">
        <v>99</v>
      </c>
      <c r="O497" s="152"/>
      <c r="P497" s="158"/>
      <c r="Q497" s="151"/>
      <c r="R497" s="151"/>
      <c r="S497" s="151"/>
      <c r="T497" s="151"/>
      <c r="U497" s="151"/>
      <c r="V497" s="151"/>
      <c r="W497" s="151"/>
    </row>
    <row r="498" s="40" customFormat="1" ht="15.75" spans="1:23">
      <c r="A498" s="151"/>
      <c r="B498" s="152"/>
      <c r="C498" s="152"/>
      <c r="D498" s="152"/>
      <c r="E498" s="152"/>
      <c r="F498" s="154"/>
      <c r="G498" s="154"/>
      <c r="H498" s="155"/>
      <c r="I498" s="155" t="s">
        <v>479</v>
      </c>
      <c r="J498" s="156" t="s">
        <v>97</v>
      </c>
      <c r="K498" s="155" t="s">
        <v>134</v>
      </c>
      <c r="L498" s="157" t="s">
        <v>762</v>
      </c>
      <c r="M498" s="157"/>
      <c r="N498" s="155" t="s">
        <v>99</v>
      </c>
      <c r="O498" s="152"/>
      <c r="P498" s="158"/>
      <c r="Q498" s="151"/>
      <c r="R498" s="151"/>
      <c r="S498" s="151"/>
      <c r="T498" s="151"/>
      <c r="U498" s="151"/>
      <c r="V498" s="151"/>
      <c r="W498" s="151"/>
    </row>
    <row r="499" s="40" customFormat="1" ht="15.75" spans="1:23">
      <c r="A499" s="151"/>
      <c r="B499" s="152"/>
      <c r="C499" s="152"/>
      <c r="D499" s="152"/>
      <c r="E499" s="152"/>
      <c r="F499" s="154"/>
      <c r="G499" s="154"/>
      <c r="H499" s="155"/>
      <c r="I499" s="155" t="s">
        <v>142</v>
      </c>
      <c r="J499" s="156" t="s">
        <v>97</v>
      </c>
      <c r="K499" s="155" t="s">
        <v>93</v>
      </c>
      <c r="L499" s="157">
        <v>20</v>
      </c>
      <c r="M499" s="157"/>
      <c r="N499" s="155" t="s">
        <v>99</v>
      </c>
      <c r="O499" s="152"/>
      <c r="P499" s="158"/>
      <c r="Q499" s="151"/>
      <c r="R499" s="151"/>
      <c r="S499" s="151"/>
      <c r="T499" s="151"/>
      <c r="U499" s="151"/>
      <c r="V499" s="151"/>
      <c r="W499" s="151"/>
    </row>
    <row r="500" s="40" customFormat="1" ht="15.75" spans="1:23">
      <c r="A500" s="151"/>
      <c r="B500" s="152"/>
      <c r="C500" s="152"/>
      <c r="D500" s="152"/>
      <c r="E500" s="152"/>
      <c r="F500" s="154"/>
      <c r="G500" s="154"/>
      <c r="H500" s="155"/>
      <c r="I500" s="155" t="s">
        <v>763</v>
      </c>
      <c r="J500" s="156" t="s">
        <v>108</v>
      </c>
      <c r="K500" s="155" t="s">
        <v>134</v>
      </c>
      <c r="L500" s="157">
        <v>8</v>
      </c>
      <c r="M500" s="157" t="s">
        <v>756</v>
      </c>
      <c r="N500" s="155" t="s">
        <v>99</v>
      </c>
      <c r="O500" s="152"/>
      <c r="P500" s="158"/>
      <c r="Q500" s="151"/>
      <c r="R500" s="151"/>
      <c r="S500" s="151"/>
      <c r="T500" s="151"/>
      <c r="U500" s="151"/>
      <c r="V500" s="151"/>
      <c r="W500" s="151"/>
    </row>
    <row r="501" s="40" customFormat="1" ht="15.75" spans="1:23">
      <c r="A501" s="151" t="s">
        <v>768</v>
      </c>
      <c r="B501" s="152" t="s">
        <v>769</v>
      </c>
      <c r="C501" s="152" t="s">
        <v>83</v>
      </c>
      <c r="D501" s="153" t="s">
        <v>102</v>
      </c>
      <c r="E501" s="153" t="s">
        <v>103</v>
      </c>
      <c r="F501" s="154" t="s">
        <v>770</v>
      </c>
      <c r="G501" s="154" t="s">
        <v>771</v>
      </c>
      <c r="H501" s="155" t="s">
        <v>85</v>
      </c>
      <c r="I501" s="155" t="s">
        <v>209</v>
      </c>
      <c r="J501" s="156" t="s">
        <v>108</v>
      </c>
      <c r="K501" s="155" t="s">
        <v>93</v>
      </c>
      <c r="L501" s="157">
        <v>12</v>
      </c>
      <c r="M501" s="157"/>
      <c r="N501" s="155" t="s">
        <v>99</v>
      </c>
      <c r="O501" s="152" t="s">
        <v>39</v>
      </c>
      <c r="P501" s="158" t="s">
        <v>143</v>
      </c>
      <c r="Q501" s="151" t="s">
        <v>112</v>
      </c>
      <c r="R501" s="151" t="s">
        <v>113</v>
      </c>
      <c r="S501" s="151" t="s">
        <v>753</v>
      </c>
      <c r="T501" s="151" t="s">
        <v>41</v>
      </c>
      <c r="U501" s="151" t="s">
        <v>754</v>
      </c>
      <c r="V501" s="151" t="s">
        <v>116</v>
      </c>
      <c r="W501" s="151" t="s">
        <v>117</v>
      </c>
    </row>
    <row r="502" s="40" customFormat="1" customHeight="1" spans="1:23">
      <c r="A502" s="151"/>
      <c r="B502" s="152"/>
      <c r="C502" s="152"/>
      <c r="D502" s="152"/>
      <c r="E502" s="152"/>
      <c r="F502" s="154"/>
      <c r="G502" s="154"/>
      <c r="H502" s="155"/>
      <c r="I502" s="155" t="s">
        <v>86</v>
      </c>
      <c r="J502" s="156" t="s">
        <v>87</v>
      </c>
      <c r="K502" s="155" t="s">
        <v>93</v>
      </c>
      <c r="L502" s="157">
        <v>2</v>
      </c>
      <c r="M502" s="157" t="s">
        <v>89</v>
      </c>
      <c r="N502" s="155" t="s">
        <v>110</v>
      </c>
      <c r="O502" s="152"/>
      <c r="P502" s="158"/>
      <c r="Q502" s="151"/>
      <c r="R502" s="151"/>
      <c r="S502" s="151"/>
      <c r="T502" s="151"/>
      <c r="U502" s="151"/>
      <c r="V502" s="151"/>
      <c r="W502" s="151"/>
    </row>
    <row r="503" s="40" customFormat="1" customHeight="1" spans="1:23">
      <c r="A503" s="151"/>
      <c r="B503" s="152"/>
      <c r="C503" s="152"/>
      <c r="D503" s="152"/>
      <c r="E503" s="152"/>
      <c r="F503" s="154"/>
      <c r="G503" s="154"/>
      <c r="H503" s="155"/>
      <c r="I503" s="155" t="s">
        <v>267</v>
      </c>
      <c r="J503" s="156" t="s">
        <v>87</v>
      </c>
      <c r="K503" s="155" t="s">
        <v>93</v>
      </c>
      <c r="L503" s="157">
        <v>4.5</v>
      </c>
      <c r="M503" s="157" t="s">
        <v>89</v>
      </c>
      <c r="N503" s="155" t="s">
        <v>110</v>
      </c>
      <c r="O503" s="152"/>
      <c r="P503" s="158"/>
      <c r="Q503" s="151"/>
      <c r="R503" s="151"/>
      <c r="S503" s="151"/>
      <c r="T503" s="151"/>
      <c r="U503" s="151"/>
      <c r="V503" s="151"/>
      <c r="W503" s="151"/>
    </row>
    <row r="504" s="40" customFormat="1" ht="15.75" spans="1:23">
      <c r="A504" s="151"/>
      <c r="B504" s="152"/>
      <c r="C504" s="152"/>
      <c r="D504" s="152"/>
      <c r="E504" s="152"/>
      <c r="F504" s="154"/>
      <c r="G504" s="154"/>
      <c r="H504" s="155"/>
      <c r="I504" s="155" t="s">
        <v>192</v>
      </c>
      <c r="J504" s="156" t="s">
        <v>108</v>
      </c>
      <c r="K504" s="155" t="s">
        <v>93</v>
      </c>
      <c r="L504" s="157">
        <v>2</v>
      </c>
      <c r="M504" s="157"/>
      <c r="N504" s="155" t="s">
        <v>99</v>
      </c>
      <c r="O504" s="152"/>
      <c r="P504" s="158"/>
      <c r="Q504" s="151"/>
      <c r="R504" s="151"/>
      <c r="S504" s="151"/>
      <c r="T504" s="151"/>
      <c r="U504" s="151"/>
      <c r="V504" s="151"/>
      <c r="W504" s="151"/>
    </row>
    <row r="505" s="40" customFormat="1" customHeight="1" spans="1:23">
      <c r="A505" s="151"/>
      <c r="B505" s="152"/>
      <c r="C505" s="152"/>
      <c r="D505" s="152"/>
      <c r="E505" s="152"/>
      <c r="F505" s="154"/>
      <c r="G505" s="154"/>
      <c r="H505" s="159" t="s">
        <v>132</v>
      </c>
      <c r="I505" s="155" t="s">
        <v>133</v>
      </c>
      <c r="J505" s="156" t="s">
        <v>87</v>
      </c>
      <c r="K505" s="155" t="s">
        <v>134</v>
      </c>
      <c r="L505" s="157">
        <v>10</v>
      </c>
      <c r="M505" s="157"/>
      <c r="N505" s="155" t="s">
        <v>99</v>
      </c>
      <c r="O505" s="152"/>
      <c r="P505" s="158"/>
      <c r="Q505" s="151"/>
      <c r="R505" s="151"/>
      <c r="S505" s="151"/>
      <c r="T505" s="151"/>
      <c r="U505" s="151"/>
      <c r="V505" s="151"/>
      <c r="W505" s="151"/>
    </row>
    <row r="506" s="40" customFormat="1" customHeight="1" spans="1:23">
      <c r="A506" s="151"/>
      <c r="B506" s="152"/>
      <c r="C506" s="152"/>
      <c r="D506" s="152"/>
      <c r="E506" s="152"/>
      <c r="F506" s="154"/>
      <c r="G506" s="154"/>
      <c r="H506" s="160"/>
      <c r="I506" s="155" t="s">
        <v>755</v>
      </c>
      <c r="J506" s="156" t="s">
        <v>87</v>
      </c>
      <c r="K506" s="155" t="s">
        <v>134</v>
      </c>
      <c r="L506" s="157">
        <v>3</v>
      </c>
      <c r="M506" s="157"/>
      <c r="N506" s="155" t="s">
        <v>99</v>
      </c>
      <c r="O506" s="152"/>
      <c r="P506" s="158"/>
      <c r="Q506" s="151"/>
      <c r="R506" s="151"/>
      <c r="S506" s="151"/>
      <c r="T506" s="151"/>
      <c r="U506" s="151"/>
      <c r="V506" s="151"/>
      <c r="W506" s="151"/>
    </row>
    <row r="507" s="40" customFormat="1" customHeight="1" spans="1:23">
      <c r="A507" s="151"/>
      <c r="B507" s="152"/>
      <c r="C507" s="152"/>
      <c r="D507" s="152"/>
      <c r="E507" s="152"/>
      <c r="F507" s="154"/>
      <c r="G507" s="154"/>
      <c r="H507" s="155" t="s">
        <v>91</v>
      </c>
      <c r="I507" s="155" t="s">
        <v>92</v>
      </c>
      <c r="J507" s="156" t="s">
        <v>87</v>
      </c>
      <c r="K507" s="155" t="s">
        <v>93</v>
      </c>
      <c r="L507" s="157">
        <v>10</v>
      </c>
      <c r="M507" s="157" t="s">
        <v>756</v>
      </c>
      <c r="N507" s="155" t="s">
        <v>99</v>
      </c>
      <c r="O507" s="152"/>
      <c r="P507" s="158"/>
      <c r="Q507" s="151"/>
      <c r="R507" s="151"/>
      <c r="S507" s="151"/>
      <c r="T507" s="151"/>
      <c r="U507" s="151"/>
      <c r="V507" s="151"/>
      <c r="W507" s="151"/>
    </row>
    <row r="508" s="40" customFormat="1" ht="15.75" spans="1:23">
      <c r="A508" s="151"/>
      <c r="B508" s="152"/>
      <c r="C508" s="152"/>
      <c r="D508" s="152"/>
      <c r="E508" s="152"/>
      <c r="F508" s="154"/>
      <c r="G508" s="154"/>
      <c r="H508" s="155"/>
      <c r="I508" s="155" t="s">
        <v>475</v>
      </c>
      <c r="J508" s="156" t="s">
        <v>108</v>
      </c>
      <c r="K508" s="155" t="s">
        <v>93</v>
      </c>
      <c r="L508" s="157">
        <v>4</v>
      </c>
      <c r="M508" s="157" t="s">
        <v>757</v>
      </c>
      <c r="N508" s="155" t="s">
        <v>99</v>
      </c>
      <c r="O508" s="152"/>
      <c r="P508" s="158"/>
      <c r="Q508" s="151"/>
      <c r="R508" s="151"/>
      <c r="S508" s="151"/>
      <c r="T508" s="151"/>
      <c r="U508" s="151"/>
      <c r="V508" s="151"/>
      <c r="W508" s="151"/>
    </row>
    <row r="509" s="40" customFormat="1" ht="15.75" spans="1:23">
      <c r="A509" s="151"/>
      <c r="B509" s="152"/>
      <c r="C509" s="152"/>
      <c r="D509" s="152"/>
      <c r="E509" s="152"/>
      <c r="F509" s="154"/>
      <c r="G509" s="154"/>
      <c r="H509" s="155" t="s">
        <v>106</v>
      </c>
      <c r="I509" s="155" t="s">
        <v>283</v>
      </c>
      <c r="J509" s="156" t="s">
        <v>108</v>
      </c>
      <c r="K509" s="155" t="s">
        <v>134</v>
      </c>
      <c r="L509" s="157">
        <v>5.5</v>
      </c>
      <c r="M509" s="157"/>
      <c r="N509" s="155" t="s">
        <v>99</v>
      </c>
      <c r="O509" s="152"/>
      <c r="P509" s="158"/>
      <c r="Q509" s="151"/>
      <c r="R509" s="151"/>
      <c r="S509" s="151"/>
      <c r="T509" s="151"/>
      <c r="U509" s="151"/>
      <c r="V509" s="151"/>
      <c r="W509" s="151"/>
    </row>
    <row r="510" s="40" customFormat="1" customHeight="1" spans="1:23">
      <c r="A510" s="151"/>
      <c r="B510" s="152"/>
      <c r="C510" s="152"/>
      <c r="D510" s="152"/>
      <c r="E510" s="152"/>
      <c r="F510" s="154"/>
      <c r="G510" s="154"/>
      <c r="H510" s="155"/>
      <c r="I510" s="155" t="s">
        <v>249</v>
      </c>
      <c r="J510" s="155" t="s">
        <v>87</v>
      </c>
      <c r="K510" s="155" t="s">
        <v>134</v>
      </c>
      <c r="L510" s="157">
        <v>1</v>
      </c>
      <c r="M510" s="157"/>
      <c r="N510" s="155" t="s">
        <v>99</v>
      </c>
      <c r="O510" s="152"/>
      <c r="P510" s="158"/>
      <c r="Q510" s="151"/>
      <c r="R510" s="151"/>
      <c r="S510" s="151"/>
      <c r="T510" s="151"/>
      <c r="U510" s="151"/>
      <c r="V510" s="151"/>
      <c r="W510" s="151"/>
    </row>
    <row r="511" s="40" customFormat="1" ht="15.75" spans="1:23">
      <c r="A511" s="151"/>
      <c r="B511" s="152"/>
      <c r="C511" s="152"/>
      <c r="D511" s="152"/>
      <c r="E511" s="152"/>
      <c r="F511" s="154"/>
      <c r="G511" s="154"/>
      <c r="H511" s="155" t="s">
        <v>141</v>
      </c>
      <c r="I511" s="155" t="s">
        <v>457</v>
      </c>
      <c r="J511" s="156" t="s">
        <v>108</v>
      </c>
      <c r="K511" s="155" t="s">
        <v>134</v>
      </c>
      <c r="L511" s="157">
        <v>15</v>
      </c>
      <c r="M511" s="157" t="s">
        <v>756</v>
      </c>
      <c r="N511" s="155" t="s">
        <v>99</v>
      </c>
      <c r="O511" s="152"/>
      <c r="P511" s="158"/>
      <c r="Q511" s="151"/>
      <c r="R511" s="151"/>
      <c r="S511" s="151"/>
      <c r="T511" s="151"/>
      <c r="U511" s="151"/>
      <c r="V511" s="151"/>
      <c r="W511" s="151"/>
    </row>
    <row r="512" s="40" customFormat="1" ht="15.75" spans="1:23">
      <c r="A512" s="151"/>
      <c r="B512" s="152"/>
      <c r="C512" s="152"/>
      <c r="D512" s="152"/>
      <c r="E512" s="152"/>
      <c r="F512" s="154"/>
      <c r="G512" s="154"/>
      <c r="H512" s="155"/>
      <c r="I512" s="155" t="s">
        <v>759</v>
      </c>
      <c r="J512" s="156" t="s">
        <v>108</v>
      </c>
      <c r="K512" s="155" t="s">
        <v>93</v>
      </c>
      <c r="L512" s="157">
        <v>20</v>
      </c>
      <c r="M512" s="157" t="s">
        <v>760</v>
      </c>
      <c r="N512" s="155" t="s">
        <v>99</v>
      </c>
      <c r="O512" s="152"/>
      <c r="P512" s="158"/>
      <c r="Q512" s="151"/>
      <c r="R512" s="151"/>
      <c r="S512" s="151"/>
      <c r="T512" s="151"/>
      <c r="U512" s="151"/>
      <c r="V512" s="151"/>
      <c r="W512" s="151"/>
    </row>
    <row r="513" s="40" customFormat="1" ht="15.75" spans="1:23">
      <c r="A513" s="151"/>
      <c r="B513" s="152"/>
      <c r="C513" s="152"/>
      <c r="D513" s="152"/>
      <c r="E513" s="152"/>
      <c r="F513" s="154"/>
      <c r="G513" s="154"/>
      <c r="H513" s="155"/>
      <c r="I513" s="155" t="s">
        <v>150</v>
      </c>
      <c r="J513" s="156" t="s">
        <v>108</v>
      </c>
      <c r="K513" s="155" t="s">
        <v>93</v>
      </c>
      <c r="L513" s="157">
        <v>35</v>
      </c>
      <c r="M513" s="157"/>
      <c r="N513" s="155" t="s">
        <v>99</v>
      </c>
      <c r="O513" s="152"/>
      <c r="P513" s="158"/>
      <c r="Q513" s="151"/>
      <c r="R513" s="151"/>
      <c r="S513" s="151"/>
      <c r="T513" s="151"/>
      <c r="U513" s="151"/>
      <c r="V513" s="151"/>
      <c r="W513" s="151"/>
    </row>
    <row r="514" s="40" customFormat="1" ht="15.75" spans="1:23">
      <c r="A514" s="151"/>
      <c r="B514" s="152"/>
      <c r="C514" s="152"/>
      <c r="D514" s="152"/>
      <c r="E514" s="152"/>
      <c r="F514" s="154"/>
      <c r="G514" s="154"/>
      <c r="H514" s="155"/>
      <c r="I514" s="155" t="s">
        <v>761</v>
      </c>
      <c r="J514" s="156" t="s">
        <v>108</v>
      </c>
      <c r="K514" s="155" t="s">
        <v>93</v>
      </c>
      <c r="L514" s="157">
        <v>40</v>
      </c>
      <c r="M514" s="157" t="s">
        <v>756</v>
      </c>
      <c r="N514" s="155" t="s">
        <v>99</v>
      </c>
      <c r="O514" s="152"/>
      <c r="P514" s="158"/>
      <c r="Q514" s="151"/>
      <c r="R514" s="151"/>
      <c r="S514" s="151"/>
      <c r="T514" s="151"/>
      <c r="U514" s="151"/>
      <c r="V514" s="151"/>
      <c r="W514" s="151"/>
    </row>
    <row r="515" s="40" customFormat="1" ht="15.75" spans="1:23">
      <c r="A515" s="151"/>
      <c r="B515" s="152"/>
      <c r="C515" s="152"/>
      <c r="D515" s="152"/>
      <c r="E515" s="152"/>
      <c r="F515" s="154"/>
      <c r="G515" s="154"/>
      <c r="H515" s="155"/>
      <c r="I515" s="155" t="s">
        <v>479</v>
      </c>
      <c r="J515" s="156" t="s">
        <v>97</v>
      </c>
      <c r="K515" s="155" t="s">
        <v>134</v>
      </c>
      <c r="L515" s="157" t="s">
        <v>762</v>
      </c>
      <c r="M515" s="157"/>
      <c r="N515" s="155" t="s">
        <v>99</v>
      </c>
      <c r="O515" s="152"/>
      <c r="P515" s="158"/>
      <c r="Q515" s="151"/>
      <c r="R515" s="151"/>
      <c r="S515" s="151"/>
      <c r="T515" s="151"/>
      <c r="U515" s="151"/>
      <c r="V515" s="151"/>
      <c r="W515" s="151"/>
    </row>
    <row r="516" s="40" customFormat="1" ht="15.75" spans="1:23">
      <c r="A516" s="151"/>
      <c r="B516" s="152"/>
      <c r="C516" s="152"/>
      <c r="D516" s="152"/>
      <c r="E516" s="152"/>
      <c r="F516" s="154"/>
      <c r="G516" s="154"/>
      <c r="H516" s="155"/>
      <c r="I516" s="155" t="s">
        <v>142</v>
      </c>
      <c r="J516" s="156" t="s">
        <v>97</v>
      </c>
      <c r="K516" s="155" t="s">
        <v>93</v>
      </c>
      <c r="L516" s="157">
        <v>20</v>
      </c>
      <c r="M516" s="157"/>
      <c r="N516" s="155" t="s">
        <v>99</v>
      </c>
      <c r="O516" s="152"/>
      <c r="P516" s="158"/>
      <c r="Q516" s="151"/>
      <c r="R516" s="151"/>
      <c r="S516" s="151"/>
      <c r="T516" s="151"/>
      <c r="U516" s="151"/>
      <c r="V516" s="151"/>
      <c r="W516" s="151"/>
    </row>
    <row r="517" s="40" customFormat="1" ht="15.75" spans="1:23">
      <c r="A517" s="151"/>
      <c r="B517" s="152"/>
      <c r="C517" s="152"/>
      <c r="D517" s="152"/>
      <c r="E517" s="152"/>
      <c r="F517" s="154"/>
      <c r="G517" s="154"/>
      <c r="H517" s="155"/>
      <c r="I517" s="155" t="s">
        <v>763</v>
      </c>
      <c r="J517" s="156" t="s">
        <v>108</v>
      </c>
      <c r="K517" s="155" t="s">
        <v>134</v>
      </c>
      <c r="L517" s="157">
        <v>8</v>
      </c>
      <c r="M517" s="157" t="s">
        <v>756</v>
      </c>
      <c r="N517" s="155" t="s">
        <v>99</v>
      </c>
      <c r="O517" s="152"/>
      <c r="P517" s="158"/>
      <c r="Q517" s="151"/>
      <c r="R517" s="151"/>
      <c r="S517" s="151"/>
      <c r="T517" s="151"/>
      <c r="U517" s="151"/>
      <c r="V517" s="151"/>
      <c r="W517" s="151"/>
    </row>
    <row r="518" s="40" customFormat="1" ht="15.75" spans="1:23">
      <c r="A518" s="151" t="s">
        <v>772</v>
      </c>
      <c r="B518" s="152" t="s">
        <v>773</v>
      </c>
      <c r="C518" s="152" t="s">
        <v>173</v>
      </c>
      <c r="D518" s="153" t="s">
        <v>102</v>
      </c>
      <c r="E518" s="153" t="s">
        <v>103</v>
      </c>
      <c r="F518" s="154" t="s">
        <v>774</v>
      </c>
      <c r="G518" s="154"/>
      <c r="H518" s="155" t="s">
        <v>85</v>
      </c>
      <c r="I518" s="155" t="s">
        <v>209</v>
      </c>
      <c r="J518" s="156" t="s">
        <v>108</v>
      </c>
      <c r="K518" s="155" t="s">
        <v>93</v>
      </c>
      <c r="L518" s="157">
        <v>12</v>
      </c>
      <c r="M518" s="157"/>
      <c r="N518" s="155" t="s">
        <v>99</v>
      </c>
      <c r="O518" s="152" t="s">
        <v>39</v>
      </c>
      <c r="P518" s="158" t="s">
        <v>143</v>
      </c>
      <c r="Q518" s="151" t="s">
        <v>112</v>
      </c>
      <c r="R518" s="151" t="s">
        <v>113</v>
      </c>
      <c r="S518" s="151" t="s">
        <v>753</v>
      </c>
      <c r="T518" s="151" t="s">
        <v>41</v>
      </c>
      <c r="U518" s="151" t="s">
        <v>754</v>
      </c>
      <c r="V518" s="151" t="s">
        <v>116</v>
      </c>
      <c r="W518" s="151" t="s">
        <v>117</v>
      </c>
    </row>
    <row r="519" s="40" customFormat="1" customHeight="1" spans="1:23">
      <c r="A519" s="151"/>
      <c r="B519" s="152"/>
      <c r="C519" s="152"/>
      <c r="D519" s="152"/>
      <c r="E519" s="152"/>
      <c r="F519" s="154"/>
      <c r="G519" s="154"/>
      <c r="H519" s="155"/>
      <c r="I519" s="155" t="s">
        <v>86</v>
      </c>
      <c r="J519" s="156" t="s">
        <v>87</v>
      </c>
      <c r="K519" s="155" t="s">
        <v>93</v>
      </c>
      <c r="L519" s="157">
        <v>2</v>
      </c>
      <c r="M519" s="157" t="s">
        <v>89</v>
      </c>
      <c r="N519" s="155" t="s">
        <v>110</v>
      </c>
      <c r="O519" s="152"/>
      <c r="P519" s="158"/>
      <c r="Q519" s="151"/>
      <c r="R519" s="151"/>
      <c r="S519" s="151"/>
      <c r="T519" s="151"/>
      <c r="U519" s="151"/>
      <c r="V519" s="151"/>
      <c r="W519" s="151"/>
    </row>
    <row r="520" s="40" customFormat="1" customHeight="1" spans="1:23">
      <c r="A520" s="151"/>
      <c r="B520" s="152"/>
      <c r="C520" s="152"/>
      <c r="D520" s="152"/>
      <c r="E520" s="152"/>
      <c r="F520" s="154"/>
      <c r="G520" s="154"/>
      <c r="H520" s="155"/>
      <c r="I520" s="155" t="s">
        <v>267</v>
      </c>
      <c r="J520" s="156" t="s">
        <v>87</v>
      </c>
      <c r="K520" s="155" t="s">
        <v>93</v>
      </c>
      <c r="L520" s="157">
        <v>4.5</v>
      </c>
      <c r="M520" s="157" t="s">
        <v>89</v>
      </c>
      <c r="N520" s="155" t="s">
        <v>110</v>
      </c>
      <c r="O520" s="152"/>
      <c r="P520" s="158"/>
      <c r="Q520" s="151"/>
      <c r="R520" s="151"/>
      <c r="S520" s="151"/>
      <c r="T520" s="151"/>
      <c r="U520" s="151"/>
      <c r="V520" s="151"/>
      <c r="W520" s="151"/>
    </row>
    <row r="521" s="40" customFormat="1" ht="15.75" spans="1:23">
      <c r="A521" s="151"/>
      <c r="B521" s="152"/>
      <c r="C521" s="152"/>
      <c r="D521" s="152"/>
      <c r="E521" s="152"/>
      <c r="F521" s="154"/>
      <c r="G521" s="154"/>
      <c r="H521" s="155"/>
      <c r="I521" s="155" t="s">
        <v>192</v>
      </c>
      <c r="J521" s="156" t="s">
        <v>108</v>
      </c>
      <c r="K521" s="155" t="s">
        <v>93</v>
      </c>
      <c r="L521" s="157">
        <v>2</v>
      </c>
      <c r="M521" s="157"/>
      <c r="N521" s="155" t="s">
        <v>99</v>
      </c>
      <c r="O521" s="152"/>
      <c r="P521" s="158"/>
      <c r="Q521" s="151"/>
      <c r="R521" s="151"/>
      <c r="S521" s="151"/>
      <c r="T521" s="151"/>
      <c r="U521" s="151"/>
      <c r="V521" s="151"/>
      <c r="W521" s="151"/>
    </row>
    <row r="522" s="40" customFormat="1" customHeight="1" spans="1:23">
      <c r="A522" s="151"/>
      <c r="B522" s="152"/>
      <c r="C522" s="152"/>
      <c r="D522" s="152"/>
      <c r="E522" s="152"/>
      <c r="F522" s="154"/>
      <c r="G522" s="154"/>
      <c r="H522" s="159" t="s">
        <v>132</v>
      </c>
      <c r="I522" s="155" t="s">
        <v>133</v>
      </c>
      <c r="J522" s="156" t="s">
        <v>87</v>
      </c>
      <c r="K522" s="155" t="s">
        <v>134</v>
      </c>
      <c r="L522" s="157">
        <v>10</v>
      </c>
      <c r="M522" s="157"/>
      <c r="N522" s="155" t="s">
        <v>99</v>
      </c>
      <c r="O522" s="152"/>
      <c r="P522" s="158"/>
      <c r="Q522" s="151"/>
      <c r="R522" s="151"/>
      <c r="S522" s="151"/>
      <c r="T522" s="151"/>
      <c r="U522" s="151"/>
      <c r="V522" s="151"/>
      <c r="W522" s="151"/>
    </row>
    <row r="523" s="40" customFormat="1" customHeight="1" spans="1:23">
      <c r="A523" s="151"/>
      <c r="B523" s="152"/>
      <c r="C523" s="152"/>
      <c r="D523" s="152"/>
      <c r="E523" s="152"/>
      <c r="F523" s="154"/>
      <c r="G523" s="154"/>
      <c r="H523" s="160"/>
      <c r="I523" s="155" t="s">
        <v>755</v>
      </c>
      <c r="J523" s="156" t="s">
        <v>87</v>
      </c>
      <c r="K523" s="155" t="s">
        <v>134</v>
      </c>
      <c r="L523" s="157">
        <v>3</v>
      </c>
      <c r="M523" s="157"/>
      <c r="N523" s="155" t="s">
        <v>99</v>
      </c>
      <c r="O523" s="152"/>
      <c r="P523" s="158"/>
      <c r="Q523" s="151"/>
      <c r="R523" s="151"/>
      <c r="S523" s="151"/>
      <c r="T523" s="151"/>
      <c r="U523" s="151"/>
      <c r="V523" s="151"/>
      <c r="W523" s="151"/>
    </row>
    <row r="524" s="40" customFormat="1" customHeight="1" spans="1:23">
      <c r="A524" s="151"/>
      <c r="B524" s="152"/>
      <c r="C524" s="152"/>
      <c r="D524" s="152"/>
      <c r="E524" s="152"/>
      <c r="F524" s="154"/>
      <c r="G524" s="154"/>
      <c r="H524" s="155" t="s">
        <v>91</v>
      </c>
      <c r="I524" s="155" t="s">
        <v>92</v>
      </c>
      <c r="J524" s="156" t="s">
        <v>87</v>
      </c>
      <c r="K524" s="155" t="s">
        <v>93</v>
      </c>
      <c r="L524" s="157">
        <v>10</v>
      </c>
      <c r="M524" s="157" t="s">
        <v>756</v>
      </c>
      <c r="N524" s="155" t="s">
        <v>99</v>
      </c>
      <c r="O524" s="152"/>
      <c r="P524" s="158"/>
      <c r="Q524" s="151"/>
      <c r="R524" s="151"/>
      <c r="S524" s="151"/>
      <c r="T524" s="151"/>
      <c r="U524" s="151"/>
      <c r="V524" s="151"/>
      <c r="W524" s="151"/>
    </row>
    <row r="525" s="40" customFormat="1" ht="15.75" spans="1:23">
      <c r="A525" s="151"/>
      <c r="B525" s="152"/>
      <c r="C525" s="152"/>
      <c r="D525" s="152"/>
      <c r="E525" s="152"/>
      <c r="F525" s="154"/>
      <c r="G525" s="154"/>
      <c r="H525" s="155"/>
      <c r="I525" s="155" t="s">
        <v>475</v>
      </c>
      <c r="J525" s="156" t="s">
        <v>108</v>
      </c>
      <c r="K525" s="155" t="s">
        <v>93</v>
      </c>
      <c r="L525" s="157">
        <v>4</v>
      </c>
      <c r="M525" s="157" t="s">
        <v>757</v>
      </c>
      <c r="N525" s="155" t="s">
        <v>99</v>
      </c>
      <c r="O525" s="152"/>
      <c r="P525" s="158"/>
      <c r="Q525" s="151"/>
      <c r="R525" s="151"/>
      <c r="S525" s="151"/>
      <c r="T525" s="151"/>
      <c r="U525" s="151"/>
      <c r="V525" s="151"/>
      <c r="W525" s="151"/>
    </row>
    <row r="526" s="40" customFormat="1" ht="15.75" spans="1:23">
      <c r="A526" s="151"/>
      <c r="B526" s="152"/>
      <c r="C526" s="152"/>
      <c r="D526" s="152"/>
      <c r="E526" s="152"/>
      <c r="F526" s="154"/>
      <c r="G526" s="154"/>
      <c r="H526" s="155" t="s">
        <v>106</v>
      </c>
      <c r="I526" s="155" t="s">
        <v>283</v>
      </c>
      <c r="J526" s="156" t="s">
        <v>108</v>
      </c>
      <c r="K526" s="155" t="s">
        <v>134</v>
      </c>
      <c r="L526" s="157">
        <v>5.5</v>
      </c>
      <c r="M526" s="157"/>
      <c r="N526" s="155" t="s">
        <v>99</v>
      </c>
      <c r="O526" s="152"/>
      <c r="P526" s="158"/>
      <c r="Q526" s="151"/>
      <c r="R526" s="151"/>
      <c r="S526" s="151"/>
      <c r="T526" s="151"/>
      <c r="U526" s="151"/>
      <c r="V526" s="151"/>
      <c r="W526" s="151"/>
    </row>
    <row r="527" s="40" customFormat="1" customHeight="1" spans="1:23">
      <c r="A527" s="151"/>
      <c r="B527" s="152"/>
      <c r="C527" s="152"/>
      <c r="D527" s="152"/>
      <c r="E527" s="152"/>
      <c r="F527" s="154"/>
      <c r="G527" s="154"/>
      <c r="H527" s="155"/>
      <c r="I527" s="155" t="s">
        <v>249</v>
      </c>
      <c r="J527" s="155" t="s">
        <v>87</v>
      </c>
      <c r="K527" s="155" t="s">
        <v>134</v>
      </c>
      <c r="L527" s="157">
        <v>1</v>
      </c>
      <c r="M527" s="157"/>
      <c r="N527" s="155" t="s">
        <v>99</v>
      </c>
      <c r="O527" s="152"/>
      <c r="P527" s="158"/>
      <c r="Q527" s="151"/>
      <c r="R527" s="151"/>
      <c r="S527" s="151"/>
      <c r="T527" s="151"/>
      <c r="U527" s="151"/>
      <c r="V527" s="151"/>
      <c r="W527" s="151"/>
    </row>
    <row r="528" s="40" customFormat="1" ht="15.75" spans="1:23">
      <c r="A528" s="151"/>
      <c r="B528" s="152"/>
      <c r="C528" s="152"/>
      <c r="D528" s="152"/>
      <c r="E528" s="152"/>
      <c r="F528" s="154"/>
      <c r="G528" s="154"/>
      <c r="H528" s="155" t="s">
        <v>141</v>
      </c>
      <c r="I528" s="155" t="s">
        <v>457</v>
      </c>
      <c r="J528" s="156" t="s">
        <v>108</v>
      </c>
      <c r="K528" s="155" t="s">
        <v>134</v>
      </c>
      <c r="L528" s="157">
        <v>30</v>
      </c>
      <c r="M528" s="157" t="s">
        <v>756</v>
      </c>
      <c r="N528" s="155" t="s">
        <v>99</v>
      </c>
      <c r="O528" s="152"/>
      <c r="P528" s="158"/>
      <c r="Q528" s="151"/>
      <c r="R528" s="151"/>
      <c r="S528" s="151"/>
      <c r="T528" s="151"/>
      <c r="U528" s="151"/>
      <c r="V528" s="151"/>
      <c r="W528" s="151"/>
    </row>
    <row r="529" s="40" customFormat="1" ht="15.75" spans="1:23">
      <c r="A529" s="151"/>
      <c r="B529" s="152"/>
      <c r="C529" s="152"/>
      <c r="D529" s="152"/>
      <c r="E529" s="152"/>
      <c r="F529" s="154"/>
      <c r="G529" s="154"/>
      <c r="H529" s="155"/>
      <c r="I529" s="155" t="s">
        <v>759</v>
      </c>
      <c r="J529" s="156" t="s">
        <v>108</v>
      </c>
      <c r="K529" s="155" t="s">
        <v>93</v>
      </c>
      <c r="L529" s="157">
        <v>20</v>
      </c>
      <c r="M529" s="157" t="s">
        <v>760</v>
      </c>
      <c r="N529" s="155" t="s">
        <v>99</v>
      </c>
      <c r="O529" s="152"/>
      <c r="P529" s="158"/>
      <c r="Q529" s="151"/>
      <c r="R529" s="151"/>
      <c r="S529" s="151"/>
      <c r="T529" s="151"/>
      <c r="U529" s="151"/>
      <c r="V529" s="151"/>
      <c r="W529" s="151"/>
    </row>
    <row r="530" s="40" customFormat="1" ht="15.75" spans="1:23">
      <c r="A530" s="151"/>
      <c r="B530" s="152"/>
      <c r="C530" s="152"/>
      <c r="D530" s="152"/>
      <c r="E530" s="152"/>
      <c r="F530" s="154"/>
      <c r="G530" s="154"/>
      <c r="H530" s="155"/>
      <c r="I530" s="155" t="s">
        <v>150</v>
      </c>
      <c r="J530" s="156" t="s">
        <v>108</v>
      </c>
      <c r="K530" s="155" t="s">
        <v>93</v>
      </c>
      <c r="L530" s="157">
        <v>35</v>
      </c>
      <c r="M530" s="157"/>
      <c r="N530" s="155" t="s">
        <v>99</v>
      </c>
      <c r="O530" s="152"/>
      <c r="P530" s="158"/>
      <c r="Q530" s="151"/>
      <c r="R530" s="151"/>
      <c r="S530" s="151"/>
      <c r="T530" s="151"/>
      <c r="U530" s="151"/>
      <c r="V530" s="151"/>
      <c r="W530" s="151"/>
    </row>
    <row r="531" s="40" customFormat="1" ht="15.75" spans="1:23">
      <c r="A531" s="151"/>
      <c r="B531" s="152"/>
      <c r="C531" s="152"/>
      <c r="D531" s="152"/>
      <c r="E531" s="152"/>
      <c r="F531" s="154"/>
      <c r="G531" s="154"/>
      <c r="H531" s="155"/>
      <c r="I531" s="155" t="s">
        <v>761</v>
      </c>
      <c r="J531" s="156" t="s">
        <v>108</v>
      </c>
      <c r="K531" s="155" t="s">
        <v>93</v>
      </c>
      <c r="L531" s="157">
        <v>40</v>
      </c>
      <c r="M531" s="157" t="s">
        <v>756</v>
      </c>
      <c r="N531" s="155" t="s">
        <v>99</v>
      </c>
      <c r="O531" s="152"/>
      <c r="P531" s="158"/>
      <c r="Q531" s="151"/>
      <c r="R531" s="151"/>
      <c r="S531" s="151"/>
      <c r="T531" s="151"/>
      <c r="U531" s="151"/>
      <c r="V531" s="151"/>
      <c r="W531" s="151"/>
    </row>
    <row r="532" s="40" customFormat="1" ht="15.75" spans="1:23">
      <c r="A532" s="151"/>
      <c r="B532" s="152"/>
      <c r="C532" s="152"/>
      <c r="D532" s="152"/>
      <c r="E532" s="152"/>
      <c r="F532" s="154"/>
      <c r="G532" s="154"/>
      <c r="H532" s="155"/>
      <c r="I532" s="155" t="s">
        <v>479</v>
      </c>
      <c r="J532" s="156" t="s">
        <v>97</v>
      </c>
      <c r="K532" s="155" t="s">
        <v>134</v>
      </c>
      <c r="L532" s="157" t="s">
        <v>762</v>
      </c>
      <c r="M532" s="157"/>
      <c r="N532" s="155" t="s">
        <v>99</v>
      </c>
      <c r="O532" s="152"/>
      <c r="P532" s="158"/>
      <c r="Q532" s="151"/>
      <c r="R532" s="151"/>
      <c r="S532" s="151"/>
      <c r="T532" s="151"/>
      <c r="U532" s="151"/>
      <c r="V532" s="151"/>
      <c r="W532" s="151"/>
    </row>
    <row r="533" s="40" customFormat="1" ht="15.75" spans="1:23">
      <c r="A533" s="151"/>
      <c r="B533" s="152"/>
      <c r="C533" s="152"/>
      <c r="D533" s="152"/>
      <c r="E533" s="152"/>
      <c r="F533" s="154"/>
      <c r="G533" s="154"/>
      <c r="H533" s="155"/>
      <c r="I533" s="155" t="s">
        <v>142</v>
      </c>
      <c r="J533" s="156" t="s">
        <v>97</v>
      </c>
      <c r="K533" s="155" t="s">
        <v>93</v>
      </c>
      <c r="L533" s="157">
        <v>20</v>
      </c>
      <c r="M533" s="157"/>
      <c r="N533" s="155" t="s">
        <v>99</v>
      </c>
      <c r="O533" s="152"/>
      <c r="P533" s="158"/>
      <c r="Q533" s="151"/>
      <c r="R533" s="151"/>
      <c r="S533" s="151"/>
      <c r="T533" s="151"/>
      <c r="U533" s="151"/>
      <c r="V533" s="151"/>
      <c r="W533" s="151"/>
    </row>
    <row r="534" s="40" customFormat="1" ht="15.75" spans="1:23">
      <c r="A534" s="151"/>
      <c r="B534" s="152"/>
      <c r="C534" s="152"/>
      <c r="D534" s="152"/>
      <c r="E534" s="152"/>
      <c r="F534" s="154"/>
      <c r="G534" s="154"/>
      <c r="H534" s="155"/>
      <c r="I534" s="155" t="s">
        <v>763</v>
      </c>
      <c r="J534" s="156" t="s">
        <v>108</v>
      </c>
      <c r="K534" s="155" t="s">
        <v>134</v>
      </c>
      <c r="L534" s="157">
        <v>8</v>
      </c>
      <c r="M534" s="157" t="s">
        <v>756</v>
      </c>
      <c r="N534" s="155" t="s">
        <v>99</v>
      </c>
      <c r="O534" s="152"/>
      <c r="P534" s="158"/>
      <c r="Q534" s="151"/>
      <c r="R534" s="151"/>
      <c r="S534" s="151"/>
      <c r="T534" s="151"/>
      <c r="U534" s="151"/>
      <c r="V534" s="151"/>
      <c r="W534" s="151"/>
    </row>
    <row r="535" s="40" customFormat="1" ht="15.75" spans="1:23">
      <c r="A535" s="151" t="s">
        <v>775</v>
      </c>
      <c r="B535" s="152" t="s">
        <v>776</v>
      </c>
      <c r="C535" s="152" t="s">
        <v>173</v>
      </c>
      <c r="D535" s="153" t="s">
        <v>102</v>
      </c>
      <c r="E535" s="153" t="s">
        <v>103</v>
      </c>
      <c r="F535" s="154" t="s">
        <v>777</v>
      </c>
      <c r="G535" s="154" t="s">
        <v>778</v>
      </c>
      <c r="H535" s="155" t="s">
        <v>85</v>
      </c>
      <c r="I535" s="155" t="s">
        <v>209</v>
      </c>
      <c r="J535" s="156" t="s">
        <v>108</v>
      </c>
      <c r="K535" s="155" t="s">
        <v>93</v>
      </c>
      <c r="L535" s="157">
        <v>12</v>
      </c>
      <c r="M535" s="157"/>
      <c r="N535" s="155" t="s">
        <v>99</v>
      </c>
      <c r="O535" s="152" t="s">
        <v>39</v>
      </c>
      <c r="P535" s="158" t="s">
        <v>143</v>
      </c>
      <c r="Q535" s="151" t="s">
        <v>112</v>
      </c>
      <c r="R535" s="151" t="s">
        <v>113</v>
      </c>
      <c r="S535" s="151" t="s">
        <v>753</v>
      </c>
      <c r="T535" s="151" t="s">
        <v>41</v>
      </c>
      <c r="U535" s="151" t="s">
        <v>754</v>
      </c>
      <c r="V535" s="151" t="s">
        <v>116</v>
      </c>
      <c r="W535" s="151" t="s">
        <v>117</v>
      </c>
    </row>
    <row r="536" s="40" customFormat="1" customHeight="1" spans="1:23">
      <c r="A536" s="151"/>
      <c r="B536" s="152"/>
      <c r="C536" s="152"/>
      <c r="D536" s="152"/>
      <c r="E536" s="152"/>
      <c r="F536" s="154"/>
      <c r="G536" s="154"/>
      <c r="H536" s="155"/>
      <c r="I536" s="155" t="s">
        <v>86</v>
      </c>
      <c r="J536" s="156" t="s">
        <v>87</v>
      </c>
      <c r="K536" s="155" t="s">
        <v>93</v>
      </c>
      <c r="L536" s="157">
        <v>2</v>
      </c>
      <c r="M536" s="157" t="s">
        <v>89</v>
      </c>
      <c r="N536" s="155" t="s">
        <v>110</v>
      </c>
      <c r="O536" s="152"/>
      <c r="P536" s="158"/>
      <c r="Q536" s="151"/>
      <c r="R536" s="151"/>
      <c r="S536" s="151"/>
      <c r="T536" s="151"/>
      <c r="U536" s="151"/>
      <c r="V536" s="151"/>
      <c r="W536" s="151"/>
    </row>
    <row r="537" s="40" customFormat="1" customHeight="1" spans="1:23">
      <c r="A537" s="151"/>
      <c r="B537" s="152"/>
      <c r="C537" s="152"/>
      <c r="D537" s="152"/>
      <c r="E537" s="152"/>
      <c r="F537" s="154"/>
      <c r="G537" s="154"/>
      <c r="H537" s="155"/>
      <c r="I537" s="155" t="s">
        <v>267</v>
      </c>
      <c r="J537" s="156" t="s">
        <v>87</v>
      </c>
      <c r="K537" s="155" t="s">
        <v>93</v>
      </c>
      <c r="L537" s="157">
        <v>4.5</v>
      </c>
      <c r="M537" s="157" t="s">
        <v>89</v>
      </c>
      <c r="N537" s="155" t="s">
        <v>110</v>
      </c>
      <c r="O537" s="152"/>
      <c r="P537" s="158"/>
      <c r="Q537" s="151"/>
      <c r="R537" s="151"/>
      <c r="S537" s="151"/>
      <c r="T537" s="151"/>
      <c r="U537" s="151"/>
      <c r="V537" s="151"/>
      <c r="W537" s="151"/>
    </row>
    <row r="538" s="40" customFormat="1" ht="15.75" spans="1:23">
      <c r="A538" s="151"/>
      <c r="B538" s="152"/>
      <c r="C538" s="152"/>
      <c r="D538" s="152"/>
      <c r="E538" s="152"/>
      <c r="F538" s="154"/>
      <c r="G538" s="154"/>
      <c r="H538" s="155"/>
      <c r="I538" s="155" t="s">
        <v>192</v>
      </c>
      <c r="J538" s="156" t="s">
        <v>108</v>
      </c>
      <c r="K538" s="155" t="s">
        <v>93</v>
      </c>
      <c r="L538" s="157">
        <v>2</v>
      </c>
      <c r="M538" s="157"/>
      <c r="N538" s="155" t="s">
        <v>99</v>
      </c>
      <c r="O538" s="152"/>
      <c r="P538" s="158"/>
      <c r="Q538" s="151"/>
      <c r="R538" s="151"/>
      <c r="S538" s="151"/>
      <c r="T538" s="151"/>
      <c r="U538" s="151"/>
      <c r="V538" s="151"/>
      <c r="W538" s="151"/>
    </row>
    <row r="539" s="40" customFormat="1" customHeight="1" spans="1:23">
      <c r="A539" s="151"/>
      <c r="B539" s="152"/>
      <c r="C539" s="152"/>
      <c r="D539" s="152"/>
      <c r="E539" s="152"/>
      <c r="F539" s="154"/>
      <c r="G539" s="154"/>
      <c r="H539" s="159" t="s">
        <v>132</v>
      </c>
      <c r="I539" s="155" t="s">
        <v>133</v>
      </c>
      <c r="J539" s="156" t="s">
        <v>87</v>
      </c>
      <c r="K539" s="155" t="s">
        <v>134</v>
      </c>
      <c r="L539" s="157">
        <v>10</v>
      </c>
      <c r="M539" s="157"/>
      <c r="N539" s="155" t="s">
        <v>99</v>
      </c>
      <c r="O539" s="152"/>
      <c r="P539" s="158"/>
      <c r="Q539" s="151"/>
      <c r="R539" s="151"/>
      <c r="S539" s="151"/>
      <c r="T539" s="151"/>
      <c r="U539" s="151"/>
      <c r="V539" s="151"/>
      <c r="W539" s="151"/>
    </row>
    <row r="540" s="40" customFormat="1" customHeight="1" spans="1:23">
      <c r="A540" s="151"/>
      <c r="B540" s="152"/>
      <c r="C540" s="152"/>
      <c r="D540" s="152"/>
      <c r="E540" s="152"/>
      <c r="F540" s="154"/>
      <c r="G540" s="154"/>
      <c r="H540" s="160"/>
      <c r="I540" s="155" t="s">
        <v>755</v>
      </c>
      <c r="J540" s="156" t="s">
        <v>87</v>
      </c>
      <c r="K540" s="155" t="s">
        <v>134</v>
      </c>
      <c r="L540" s="157">
        <v>3</v>
      </c>
      <c r="M540" s="157"/>
      <c r="N540" s="155" t="s">
        <v>99</v>
      </c>
      <c r="O540" s="152"/>
      <c r="P540" s="158"/>
      <c r="Q540" s="151"/>
      <c r="R540" s="151"/>
      <c r="S540" s="151"/>
      <c r="T540" s="151"/>
      <c r="U540" s="151"/>
      <c r="V540" s="151"/>
      <c r="W540" s="151"/>
    </row>
    <row r="541" s="40" customFormat="1" customHeight="1" spans="1:23">
      <c r="A541" s="151"/>
      <c r="B541" s="152"/>
      <c r="C541" s="152"/>
      <c r="D541" s="152"/>
      <c r="E541" s="152"/>
      <c r="F541" s="154"/>
      <c r="G541" s="154"/>
      <c r="H541" s="155" t="s">
        <v>91</v>
      </c>
      <c r="I541" s="155" t="s">
        <v>92</v>
      </c>
      <c r="J541" s="156" t="s">
        <v>87</v>
      </c>
      <c r="K541" s="155" t="s">
        <v>93</v>
      </c>
      <c r="L541" s="157">
        <v>10</v>
      </c>
      <c r="M541" s="157" t="s">
        <v>756</v>
      </c>
      <c r="N541" s="155" t="s">
        <v>99</v>
      </c>
      <c r="O541" s="152"/>
      <c r="P541" s="158"/>
      <c r="Q541" s="151"/>
      <c r="R541" s="151"/>
      <c r="S541" s="151"/>
      <c r="T541" s="151"/>
      <c r="U541" s="151"/>
      <c r="V541" s="151"/>
      <c r="W541" s="151"/>
    </row>
    <row r="542" s="40" customFormat="1" ht="15.75" spans="1:23">
      <c r="A542" s="151"/>
      <c r="B542" s="152"/>
      <c r="C542" s="152"/>
      <c r="D542" s="152"/>
      <c r="E542" s="152"/>
      <c r="F542" s="154"/>
      <c r="G542" s="154"/>
      <c r="H542" s="155"/>
      <c r="I542" s="155" t="s">
        <v>475</v>
      </c>
      <c r="J542" s="156" t="s">
        <v>108</v>
      </c>
      <c r="K542" s="155" t="s">
        <v>93</v>
      </c>
      <c r="L542" s="157">
        <v>4</v>
      </c>
      <c r="M542" s="157" t="s">
        <v>757</v>
      </c>
      <c r="N542" s="155" t="s">
        <v>99</v>
      </c>
      <c r="O542" s="152"/>
      <c r="P542" s="158"/>
      <c r="Q542" s="151"/>
      <c r="R542" s="151"/>
      <c r="S542" s="151"/>
      <c r="T542" s="151"/>
      <c r="U542" s="151"/>
      <c r="V542" s="151"/>
      <c r="W542" s="151"/>
    </row>
    <row r="543" s="40" customFormat="1" ht="15.75" spans="1:23">
      <c r="A543" s="151"/>
      <c r="B543" s="152"/>
      <c r="C543" s="152"/>
      <c r="D543" s="152"/>
      <c r="E543" s="152"/>
      <c r="F543" s="154"/>
      <c r="G543" s="154"/>
      <c r="H543" s="155" t="s">
        <v>106</v>
      </c>
      <c r="I543" s="155" t="s">
        <v>283</v>
      </c>
      <c r="J543" s="156" t="s">
        <v>108</v>
      </c>
      <c r="K543" s="155" t="s">
        <v>134</v>
      </c>
      <c r="L543" s="157">
        <v>5.5</v>
      </c>
      <c r="M543" s="157"/>
      <c r="N543" s="155" t="s">
        <v>99</v>
      </c>
      <c r="O543" s="152"/>
      <c r="P543" s="158"/>
      <c r="Q543" s="151"/>
      <c r="R543" s="151"/>
      <c r="S543" s="151"/>
      <c r="T543" s="151"/>
      <c r="U543" s="151"/>
      <c r="V543" s="151"/>
      <c r="W543" s="151"/>
    </row>
    <row r="544" s="40" customFormat="1" customHeight="1" spans="1:23">
      <c r="A544" s="151"/>
      <c r="B544" s="152"/>
      <c r="C544" s="152"/>
      <c r="D544" s="152"/>
      <c r="E544" s="152"/>
      <c r="F544" s="154"/>
      <c r="G544" s="154"/>
      <c r="H544" s="155"/>
      <c r="I544" s="155" t="s">
        <v>249</v>
      </c>
      <c r="J544" s="155" t="s">
        <v>87</v>
      </c>
      <c r="K544" s="155" t="s">
        <v>134</v>
      </c>
      <c r="L544" s="157">
        <v>1</v>
      </c>
      <c r="M544" s="157"/>
      <c r="N544" s="155" t="s">
        <v>99</v>
      </c>
      <c r="O544" s="152"/>
      <c r="P544" s="158"/>
      <c r="Q544" s="151"/>
      <c r="R544" s="151"/>
      <c r="S544" s="151"/>
      <c r="T544" s="151"/>
      <c r="U544" s="151"/>
      <c r="V544" s="151"/>
      <c r="W544" s="151"/>
    </row>
    <row r="545" s="40" customFormat="1" ht="15.75" spans="1:23">
      <c r="A545" s="151"/>
      <c r="B545" s="152"/>
      <c r="C545" s="152"/>
      <c r="D545" s="152"/>
      <c r="E545" s="152"/>
      <c r="F545" s="154"/>
      <c r="G545" s="154"/>
      <c r="H545" s="155" t="s">
        <v>141</v>
      </c>
      <c r="I545" s="155" t="s">
        <v>457</v>
      </c>
      <c r="J545" s="156" t="s">
        <v>108</v>
      </c>
      <c r="K545" s="155" t="s">
        <v>134</v>
      </c>
      <c r="L545" s="157">
        <v>15</v>
      </c>
      <c r="M545" s="157" t="s">
        <v>756</v>
      </c>
      <c r="N545" s="155" t="s">
        <v>99</v>
      </c>
      <c r="O545" s="152"/>
      <c r="P545" s="158"/>
      <c r="Q545" s="151"/>
      <c r="R545" s="151"/>
      <c r="S545" s="151"/>
      <c r="T545" s="151"/>
      <c r="U545" s="151"/>
      <c r="V545" s="151"/>
      <c r="W545" s="151"/>
    </row>
    <row r="546" s="40" customFormat="1" ht="15.75" spans="1:23">
      <c r="A546" s="151"/>
      <c r="B546" s="152"/>
      <c r="C546" s="152"/>
      <c r="D546" s="152"/>
      <c r="E546" s="152"/>
      <c r="F546" s="154"/>
      <c r="G546" s="154"/>
      <c r="H546" s="155"/>
      <c r="I546" s="155" t="s">
        <v>759</v>
      </c>
      <c r="J546" s="156" t="s">
        <v>108</v>
      </c>
      <c r="K546" s="155" t="s">
        <v>93</v>
      </c>
      <c r="L546" s="157">
        <v>20</v>
      </c>
      <c r="M546" s="157" t="s">
        <v>760</v>
      </c>
      <c r="N546" s="155" t="s">
        <v>99</v>
      </c>
      <c r="O546" s="152"/>
      <c r="P546" s="158"/>
      <c r="Q546" s="151"/>
      <c r="R546" s="151"/>
      <c r="S546" s="151"/>
      <c r="T546" s="151"/>
      <c r="U546" s="151"/>
      <c r="V546" s="151"/>
      <c r="W546" s="151"/>
    </row>
    <row r="547" s="40" customFormat="1" ht="15.75" spans="1:23">
      <c r="A547" s="151"/>
      <c r="B547" s="152"/>
      <c r="C547" s="152"/>
      <c r="D547" s="152"/>
      <c r="E547" s="152"/>
      <c r="F547" s="154"/>
      <c r="G547" s="154"/>
      <c r="H547" s="155"/>
      <c r="I547" s="155" t="s">
        <v>150</v>
      </c>
      <c r="J547" s="156" t="s">
        <v>108</v>
      </c>
      <c r="K547" s="155" t="s">
        <v>93</v>
      </c>
      <c r="L547" s="157">
        <v>35</v>
      </c>
      <c r="M547" s="157"/>
      <c r="N547" s="155" t="s">
        <v>99</v>
      </c>
      <c r="O547" s="152"/>
      <c r="P547" s="158"/>
      <c r="Q547" s="151"/>
      <c r="R547" s="151"/>
      <c r="S547" s="151"/>
      <c r="T547" s="151"/>
      <c r="U547" s="151"/>
      <c r="V547" s="151"/>
      <c r="W547" s="151"/>
    </row>
    <row r="548" s="40" customFormat="1" ht="15.75" spans="1:23">
      <c r="A548" s="151"/>
      <c r="B548" s="152"/>
      <c r="C548" s="152"/>
      <c r="D548" s="152"/>
      <c r="E548" s="152"/>
      <c r="F548" s="154"/>
      <c r="G548" s="154"/>
      <c r="H548" s="155"/>
      <c r="I548" s="155" t="s">
        <v>761</v>
      </c>
      <c r="J548" s="156" t="s">
        <v>108</v>
      </c>
      <c r="K548" s="155" t="s">
        <v>93</v>
      </c>
      <c r="L548" s="157">
        <v>40</v>
      </c>
      <c r="M548" s="157" t="s">
        <v>756</v>
      </c>
      <c r="N548" s="155" t="s">
        <v>99</v>
      </c>
      <c r="O548" s="152"/>
      <c r="P548" s="158"/>
      <c r="Q548" s="151"/>
      <c r="R548" s="151"/>
      <c r="S548" s="151"/>
      <c r="T548" s="151"/>
      <c r="U548" s="151"/>
      <c r="V548" s="151"/>
      <c r="W548" s="151"/>
    </row>
    <row r="549" s="40" customFormat="1" ht="15.75" spans="1:23">
      <c r="A549" s="151"/>
      <c r="B549" s="152"/>
      <c r="C549" s="152"/>
      <c r="D549" s="152"/>
      <c r="E549" s="152"/>
      <c r="F549" s="154"/>
      <c r="G549" s="154"/>
      <c r="H549" s="155"/>
      <c r="I549" s="155" t="s">
        <v>479</v>
      </c>
      <c r="J549" s="156" t="s">
        <v>97</v>
      </c>
      <c r="K549" s="155" t="s">
        <v>134</v>
      </c>
      <c r="L549" s="157" t="s">
        <v>762</v>
      </c>
      <c r="M549" s="157"/>
      <c r="N549" s="155" t="s">
        <v>99</v>
      </c>
      <c r="O549" s="152"/>
      <c r="P549" s="158"/>
      <c r="Q549" s="151"/>
      <c r="R549" s="151"/>
      <c r="S549" s="151"/>
      <c r="T549" s="151"/>
      <c r="U549" s="151"/>
      <c r="V549" s="151"/>
      <c r="W549" s="151"/>
    </row>
    <row r="550" s="40" customFormat="1" ht="15.75" spans="1:23">
      <c r="A550" s="151"/>
      <c r="B550" s="152"/>
      <c r="C550" s="152"/>
      <c r="D550" s="152"/>
      <c r="E550" s="152"/>
      <c r="F550" s="154"/>
      <c r="G550" s="154"/>
      <c r="H550" s="155"/>
      <c r="I550" s="155" t="s">
        <v>142</v>
      </c>
      <c r="J550" s="156" t="s">
        <v>97</v>
      </c>
      <c r="K550" s="155" t="s">
        <v>93</v>
      </c>
      <c r="L550" s="157">
        <v>20</v>
      </c>
      <c r="M550" s="157"/>
      <c r="N550" s="155" t="s">
        <v>99</v>
      </c>
      <c r="O550" s="152"/>
      <c r="P550" s="158"/>
      <c r="Q550" s="151"/>
      <c r="R550" s="151"/>
      <c r="S550" s="151"/>
      <c r="T550" s="151"/>
      <c r="U550" s="151"/>
      <c r="V550" s="151"/>
      <c r="W550" s="151"/>
    </row>
    <row r="551" s="40" customFormat="1" ht="15.75" spans="1:23">
      <c r="A551" s="151"/>
      <c r="B551" s="152"/>
      <c r="C551" s="152"/>
      <c r="D551" s="152"/>
      <c r="E551" s="152"/>
      <c r="F551" s="154"/>
      <c r="G551" s="154"/>
      <c r="H551" s="155"/>
      <c r="I551" s="155" t="s">
        <v>763</v>
      </c>
      <c r="J551" s="156" t="s">
        <v>108</v>
      </c>
      <c r="K551" s="155" t="s">
        <v>134</v>
      </c>
      <c r="L551" s="157">
        <v>8</v>
      </c>
      <c r="M551" s="157" t="s">
        <v>756</v>
      </c>
      <c r="N551" s="155" t="s">
        <v>99</v>
      </c>
      <c r="O551" s="152"/>
      <c r="P551" s="158"/>
      <c r="Q551" s="151"/>
      <c r="R551" s="151"/>
      <c r="S551" s="151"/>
      <c r="T551" s="151"/>
      <c r="U551" s="151"/>
      <c r="V551" s="151"/>
      <c r="W551" s="151"/>
    </row>
    <row r="552" s="40" customFormat="1" ht="15.75" spans="1:23">
      <c r="A552" s="151" t="s">
        <v>779</v>
      </c>
      <c r="B552" s="152" t="s">
        <v>780</v>
      </c>
      <c r="C552" s="152" t="s">
        <v>173</v>
      </c>
      <c r="D552" s="153" t="s">
        <v>102</v>
      </c>
      <c r="E552" s="153" t="s">
        <v>103</v>
      </c>
      <c r="F552" s="154" t="s">
        <v>781</v>
      </c>
      <c r="G552" s="154" t="s">
        <v>782</v>
      </c>
      <c r="H552" s="155" t="s">
        <v>85</v>
      </c>
      <c r="I552" s="155" t="s">
        <v>209</v>
      </c>
      <c r="J552" s="156" t="s">
        <v>108</v>
      </c>
      <c r="K552" s="155" t="s">
        <v>93</v>
      </c>
      <c r="L552" s="157">
        <v>20</v>
      </c>
      <c r="M552" s="157"/>
      <c r="N552" s="155" t="s">
        <v>99</v>
      </c>
      <c r="O552" s="152" t="s">
        <v>39</v>
      </c>
      <c r="P552" s="158" t="s">
        <v>143</v>
      </c>
      <c r="Q552" s="151" t="s">
        <v>112</v>
      </c>
      <c r="R552" s="151" t="s">
        <v>113</v>
      </c>
      <c r="S552" s="151" t="s">
        <v>753</v>
      </c>
      <c r="T552" s="151" t="s">
        <v>41</v>
      </c>
      <c r="U552" s="151" t="s">
        <v>754</v>
      </c>
      <c r="V552" s="151" t="s">
        <v>116</v>
      </c>
      <c r="W552" s="151" t="s">
        <v>117</v>
      </c>
    </row>
    <row r="553" s="40" customFormat="1" customHeight="1" spans="1:23">
      <c r="A553" s="151"/>
      <c r="B553" s="152"/>
      <c r="C553" s="152"/>
      <c r="D553" s="152"/>
      <c r="E553" s="152"/>
      <c r="F553" s="154"/>
      <c r="G553" s="154"/>
      <c r="H553" s="155"/>
      <c r="I553" s="155" t="s">
        <v>86</v>
      </c>
      <c r="J553" s="156" t="s">
        <v>87</v>
      </c>
      <c r="K553" s="155" t="s">
        <v>93</v>
      </c>
      <c r="L553" s="157">
        <v>2</v>
      </c>
      <c r="M553" s="157" t="s">
        <v>89</v>
      </c>
      <c r="N553" s="155" t="s">
        <v>110</v>
      </c>
      <c r="O553" s="152"/>
      <c r="P553" s="158"/>
      <c r="Q553" s="151"/>
      <c r="R553" s="151"/>
      <c r="S553" s="151"/>
      <c r="T553" s="151"/>
      <c r="U553" s="151"/>
      <c r="V553" s="151"/>
      <c r="W553" s="151"/>
    </row>
    <row r="554" s="40" customFormat="1" customHeight="1" spans="1:23">
      <c r="A554" s="151"/>
      <c r="B554" s="152"/>
      <c r="C554" s="152"/>
      <c r="D554" s="152"/>
      <c r="E554" s="152"/>
      <c r="F554" s="154"/>
      <c r="G554" s="154"/>
      <c r="H554" s="155"/>
      <c r="I554" s="155" t="s">
        <v>267</v>
      </c>
      <c r="J554" s="156" t="s">
        <v>87</v>
      </c>
      <c r="K554" s="155" t="s">
        <v>93</v>
      </c>
      <c r="L554" s="157">
        <v>6</v>
      </c>
      <c r="M554" s="157" t="s">
        <v>89</v>
      </c>
      <c r="N554" s="155" t="s">
        <v>110</v>
      </c>
      <c r="O554" s="152"/>
      <c r="P554" s="158"/>
      <c r="Q554" s="151"/>
      <c r="R554" s="151"/>
      <c r="S554" s="151"/>
      <c r="T554" s="151"/>
      <c r="U554" s="151"/>
      <c r="V554" s="151"/>
      <c r="W554" s="151"/>
    </row>
    <row r="555" s="40" customFormat="1" ht="15.75" spans="1:23">
      <c r="A555" s="151"/>
      <c r="B555" s="152"/>
      <c r="C555" s="152"/>
      <c r="D555" s="152"/>
      <c r="E555" s="152"/>
      <c r="F555" s="154"/>
      <c r="G555" s="154"/>
      <c r="H555" s="155"/>
      <c r="I555" s="155" t="s">
        <v>192</v>
      </c>
      <c r="J555" s="156" t="s">
        <v>108</v>
      </c>
      <c r="K555" s="155" t="s">
        <v>93</v>
      </c>
      <c r="L555" s="157">
        <v>4</v>
      </c>
      <c r="M555" s="157"/>
      <c r="N555" s="155" t="s">
        <v>99</v>
      </c>
      <c r="O555" s="152"/>
      <c r="P555" s="158"/>
      <c r="Q555" s="151"/>
      <c r="R555" s="151"/>
      <c r="S555" s="151"/>
      <c r="T555" s="151"/>
      <c r="U555" s="151"/>
      <c r="V555" s="151"/>
      <c r="W555" s="151"/>
    </row>
    <row r="556" s="40" customFormat="1" customHeight="1" spans="1:23">
      <c r="A556" s="151"/>
      <c r="B556" s="152"/>
      <c r="C556" s="152"/>
      <c r="D556" s="152"/>
      <c r="E556" s="152"/>
      <c r="F556" s="154"/>
      <c r="G556" s="154"/>
      <c r="H556" s="159" t="s">
        <v>132</v>
      </c>
      <c r="I556" s="155" t="s">
        <v>133</v>
      </c>
      <c r="J556" s="156" t="s">
        <v>87</v>
      </c>
      <c r="K556" s="155" t="s">
        <v>134</v>
      </c>
      <c r="L556" s="157">
        <v>10</v>
      </c>
      <c r="M556" s="157"/>
      <c r="N556" s="155" t="s">
        <v>99</v>
      </c>
      <c r="O556" s="152"/>
      <c r="P556" s="158"/>
      <c r="Q556" s="151"/>
      <c r="R556" s="151"/>
      <c r="S556" s="151"/>
      <c r="T556" s="151"/>
      <c r="U556" s="151"/>
      <c r="V556" s="151"/>
      <c r="W556" s="151"/>
    </row>
    <row r="557" s="40" customFormat="1" customHeight="1" spans="1:23">
      <c r="A557" s="151"/>
      <c r="B557" s="152"/>
      <c r="C557" s="152"/>
      <c r="D557" s="152"/>
      <c r="E557" s="152"/>
      <c r="F557" s="154"/>
      <c r="G557" s="154"/>
      <c r="H557" s="160"/>
      <c r="I557" s="155" t="s">
        <v>755</v>
      </c>
      <c r="J557" s="156" t="s">
        <v>87</v>
      </c>
      <c r="K557" s="155" t="s">
        <v>134</v>
      </c>
      <c r="L557" s="157">
        <v>3</v>
      </c>
      <c r="M557" s="157"/>
      <c r="N557" s="155" t="s">
        <v>99</v>
      </c>
      <c r="O557" s="152"/>
      <c r="P557" s="158"/>
      <c r="Q557" s="151"/>
      <c r="R557" s="151"/>
      <c r="S557" s="151"/>
      <c r="T557" s="151"/>
      <c r="U557" s="151"/>
      <c r="V557" s="151"/>
      <c r="W557" s="151"/>
    </row>
    <row r="558" s="40" customFormat="1" customHeight="1" spans="1:23">
      <c r="A558" s="151"/>
      <c r="B558" s="152"/>
      <c r="C558" s="152"/>
      <c r="D558" s="152"/>
      <c r="E558" s="152"/>
      <c r="F558" s="154"/>
      <c r="G558" s="154"/>
      <c r="H558" s="155" t="s">
        <v>91</v>
      </c>
      <c r="I558" s="155" t="s">
        <v>92</v>
      </c>
      <c r="J558" s="156" t="s">
        <v>87</v>
      </c>
      <c r="K558" s="155" t="s">
        <v>93</v>
      </c>
      <c r="L558" s="157">
        <v>10</v>
      </c>
      <c r="M558" s="157" t="s">
        <v>756</v>
      </c>
      <c r="N558" s="155" t="s">
        <v>99</v>
      </c>
      <c r="O558" s="152"/>
      <c r="P558" s="158"/>
      <c r="Q558" s="151"/>
      <c r="R558" s="151"/>
      <c r="S558" s="151"/>
      <c r="T558" s="151"/>
      <c r="U558" s="151"/>
      <c r="V558" s="151"/>
      <c r="W558" s="151"/>
    </row>
    <row r="559" s="40" customFormat="1" ht="15.75" spans="1:23">
      <c r="A559" s="151"/>
      <c r="B559" s="152"/>
      <c r="C559" s="152"/>
      <c r="D559" s="152"/>
      <c r="E559" s="152"/>
      <c r="F559" s="154"/>
      <c r="G559" s="154"/>
      <c r="H559" s="155"/>
      <c r="I559" s="155" t="s">
        <v>475</v>
      </c>
      <c r="J559" s="156" t="s">
        <v>108</v>
      </c>
      <c r="K559" s="155" t="s">
        <v>93</v>
      </c>
      <c r="L559" s="157">
        <v>4</v>
      </c>
      <c r="M559" s="157" t="s">
        <v>757</v>
      </c>
      <c r="N559" s="155" t="s">
        <v>99</v>
      </c>
      <c r="O559" s="152"/>
      <c r="P559" s="158"/>
      <c r="Q559" s="151"/>
      <c r="R559" s="151"/>
      <c r="S559" s="151"/>
      <c r="T559" s="151"/>
      <c r="U559" s="151"/>
      <c r="V559" s="151"/>
      <c r="W559" s="151"/>
    </row>
    <row r="560" s="40" customFormat="1" ht="15.75" spans="1:23">
      <c r="A560" s="151"/>
      <c r="B560" s="152"/>
      <c r="C560" s="152"/>
      <c r="D560" s="152"/>
      <c r="E560" s="152"/>
      <c r="F560" s="154"/>
      <c r="G560" s="154"/>
      <c r="H560" s="155" t="s">
        <v>141</v>
      </c>
      <c r="I560" s="155" t="s">
        <v>457</v>
      </c>
      <c r="J560" s="156" t="s">
        <v>108</v>
      </c>
      <c r="K560" s="155" t="s">
        <v>134</v>
      </c>
      <c r="L560" s="157">
        <v>100</v>
      </c>
      <c r="M560" s="157" t="s">
        <v>756</v>
      </c>
      <c r="N560" s="155" t="s">
        <v>99</v>
      </c>
      <c r="O560" s="152"/>
      <c r="P560" s="158"/>
      <c r="Q560" s="151"/>
      <c r="R560" s="151"/>
      <c r="S560" s="151"/>
      <c r="T560" s="151"/>
      <c r="U560" s="151"/>
      <c r="V560" s="151"/>
      <c r="W560" s="151"/>
    </row>
    <row r="561" s="40" customFormat="1" ht="15.75" spans="1:23">
      <c r="A561" s="151"/>
      <c r="B561" s="152"/>
      <c r="C561" s="152"/>
      <c r="D561" s="152"/>
      <c r="E561" s="152"/>
      <c r="F561" s="154"/>
      <c r="G561" s="154"/>
      <c r="H561" s="155"/>
      <c r="I561" s="155" t="s">
        <v>150</v>
      </c>
      <c r="J561" s="156" t="s">
        <v>108</v>
      </c>
      <c r="K561" s="155" t="s">
        <v>93</v>
      </c>
      <c r="L561" s="157">
        <v>10</v>
      </c>
      <c r="M561" s="157"/>
      <c r="N561" s="155" t="s">
        <v>99</v>
      </c>
      <c r="O561" s="152"/>
      <c r="P561" s="158"/>
      <c r="Q561" s="151"/>
      <c r="R561" s="151"/>
      <c r="S561" s="151"/>
      <c r="T561" s="151"/>
      <c r="U561" s="151"/>
      <c r="V561" s="151"/>
      <c r="W561" s="151"/>
    </row>
    <row r="562" s="40" customFormat="1" ht="15.75" spans="1:23">
      <c r="A562" s="151"/>
      <c r="B562" s="152"/>
      <c r="C562" s="152"/>
      <c r="D562" s="152"/>
      <c r="E562" s="152"/>
      <c r="F562" s="154"/>
      <c r="G562" s="154"/>
      <c r="H562" s="155"/>
      <c r="I562" s="155" t="s">
        <v>761</v>
      </c>
      <c r="J562" s="156" t="s">
        <v>108</v>
      </c>
      <c r="K562" s="155" t="s">
        <v>93</v>
      </c>
      <c r="L562" s="157">
        <v>10</v>
      </c>
      <c r="M562" s="157" t="s">
        <v>756</v>
      </c>
      <c r="N562" s="155" t="s">
        <v>99</v>
      </c>
      <c r="O562" s="152"/>
      <c r="P562" s="158"/>
      <c r="Q562" s="151"/>
      <c r="R562" s="151"/>
      <c r="S562" s="151"/>
      <c r="T562" s="151"/>
      <c r="U562" s="151"/>
      <c r="V562" s="151"/>
      <c r="W562" s="151"/>
    </row>
    <row r="563" s="40" customFormat="1" ht="15.75" spans="1:23">
      <c r="A563" s="151"/>
      <c r="B563" s="152"/>
      <c r="C563" s="152"/>
      <c r="D563" s="152"/>
      <c r="E563" s="152"/>
      <c r="F563" s="154"/>
      <c r="G563" s="154"/>
      <c r="H563" s="155"/>
      <c r="I563" s="155" t="s">
        <v>763</v>
      </c>
      <c r="J563" s="156" t="s">
        <v>108</v>
      </c>
      <c r="K563" s="155" t="s">
        <v>134</v>
      </c>
      <c r="L563" s="157">
        <v>8</v>
      </c>
      <c r="M563" s="157" t="s">
        <v>756</v>
      </c>
      <c r="N563" s="155" t="s">
        <v>99</v>
      </c>
      <c r="O563" s="152"/>
      <c r="P563" s="158"/>
      <c r="Q563" s="151"/>
      <c r="R563" s="151"/>
      <c r="S563" s="151"/>
      <c r="T563" s="151"/>
      <c r="U563" s="151"/>
      <c r="V563" s="151"/>
      <c r="W563" s="151"/>
    </row>
    <row r="564" s="40" customFormat="1" ht="15.75" spans="1:23">
      <c r="A564" s="151" t="s">
        <v>783</v>
      </c>
      <c r="B564" s="152" t="s">
        <v>784</v>
      </c>
      <c r="C564" s="152" t="s">
        <v>173</v>
      </c>
      <c r="D564" s="153" t="s">
        <v>102</v>
      </c>
      <c r="E564" s="153" t="s">
        <v>103</v>
      </c>
      <c r="F564" s="154" t="s">
        <v>785</v>
      </c>
      <c r="G564" s="154" t="s">
        <v>786</v>
      </c>
      <c r="H564" s="155" t="s">
        <v>85</v>
      </c>
      <c r="I564" s="155" t="s">
        <v>209</v>
      </c>
      <c r="J564" s="156" t="s">
        <v>108</v>
      </c>
      <c r="K564" s="155" t="s">
        <v>93</v>
      </c>
      <c r="L564" s="157">
        <v>12</v>
      </c>
      <c r="M564" s="157"/>
      <c r="N564" s="155" t="s">
        <v>99</v>
      </c>
      <c r="O564" s="152" t="s">
        <v>39</v>
      </c>
      <c r="P564" s="158" t="s">
        <v>143</v>
      </c>
      <c r="Q564" s="151" t="s">
        <v>112</v>
      </c>
      <c r="R564" s="151" t="s">
        <v>113</v>
      </c>
      <c r="S564" s="151" t="s">
        <v>753</v>
      </c>
      <c r="T564" s="151" t="s">
        <v>41</v>
      </c>
      <c r="U564" s="151" t="s">
        <v>754</v>
      </c>
      <c r="V564" s="151" t="s">
        <v>116</v>
      </c>
      <c r="W564" s="151" t="s">
        <v>117</v>
      </c>
    </row>
    <row r="565" s="40" customFormat="1" customHeight="1" spans="1:23">
      <c r="A565" s="151"/>
      <c r="B565" s="152"/>
      <c r="C565" s="152"/>
      <c r="D565" s="152"/>
      <c r="E565" s="152"/>
      <c r="F565" s="154"/>
      <c r="G565" s="154"/>
      <c r="H565" s="155"/>
      <c r="I565" s="155" t="s">
        <v>86</v>
      </c>
      <c r="J565" s="156" t="s">
        <v>87</v>
      </c>
      <c r="K565" s="155" t="s">
        <v>93</v>
      </c>
      <c r="L565" s="157">
        <v>2</v>
      </c>
      <c r="M565" s="157" t="s">
        <v>89</v>
      </c>
      <c r="N565" s="155" t="s">
        <v>110</v>
      </c>
      <c r="O565" s="152"/>
      <c r="P565" s="158"/>
      <c r="Q565" s="151"/>
      <c r="R565" s="151"/>
      <c r="S565" s="151"/>
      <c r="T565" s="151"/>
      <c r="U565" s="151"/>
      <c r="V565" s="151"/>
      <c r="W565" s="151"/>
    </row>
    <row r="566" s="40" customFormat="1" customHeight="1" spans="1:23">
      <c r="A566" s="151"/>
      <c r="B566" s="152"/>
      <c r="C566" s="152"/>
      <c r="D566" s="152"/>
      <c r="E566" s="152"/>
      <c r="F566" s="154"/>
      <c r="G566" s="154"/>
      <c r="H566" s="155"/>
      <c r="I566" s="155" t="s">
        <v>267</v>
      </c>
      <c r="J566" s="156" t="s">
        <v>87</v>
      </c>
      <c r="K566" s="155" t="s">
        <v>93</v>
      </c>
      <c r="L566" s="157">
        <v>4.5</v>
      </c>
      <c r="M566" s="157" t="s">
        <v>89</v>
      </c>
      <c r="N566" s="155" t="s">
        <v>110</v>
      </c>
      <c r="O566" s="152"/>
      <c r="P566" s="158"/>
      <c r="Q566" s="151"/>
      <c r="R566" s="151"/>
      <c r="S566" s="151"/>
      <c r="T566" s="151"/>
      <c r="U566" s="151"/>
      <c r="V566" s="151"/>
      <c r="W566" s="151"/>
    </row>
    <row r="567" s="40" customFormat="1" ht="15.75" spans="1:23">
      <c r="A567" s="151"/>
      <c r="B567" s="152"/>
      <c r="C567" s="152"/>
      <c r="D567" s="152"/>
      <c r="E567" s="152"/>
      <c r="F567" s="154"/>
      <c r="G567" s="154"/>
      <c r="H567" s="155"/>
      <c r="I567" s="155" t="s">
        <v>192</v>
      </c>
      <c r="J567" s="156" t="s">
        <v>108</v>
      </c>
      <c r="K567" s="155" t="s">
        <v>93</v>
      </c>
      <c r="L567" s="157">
        <v>2</v>
      </c>
      <c r="M567" s="157"/>
      <c r="N567" s="155" t="s">
        <v>99</v>
      </c>
      <c r="O567" s="152"/>
      <c r="P567" s="158"/>
      <c r="Q567" s="151"/>
      <c r="R567" s="151"/>
      <c r="S567" s="151"/>
      <c r="T567" s="151"/>
      <c r="U567" s="151"/>
      <c r="V567" s="151"/>
      <c r="W567" s="151"/>
    </row>
    <row r="568" s="40" customFormat="1" customHeight="1" spans="1:23">
      <c r="A568" s="151"/>
      <c r="B568" s="152"/>
      <c r="C568" s="152"/>
      <c r="D568" s="152"/>
      <c r="E568" s="152"/>
      <c r="F568" s="154"/>
      <c r="G568" s="154"/>
      <c r="H568" s="159" t="s">
        <v>132</v>
      </c>
      <c r="I568" s="155" t="s">
        <v>133</v>
      </c>
      <c r="J568" s="156" t="s">
        <v>87</v>
      </c>
      <c r="K568" s="155" t="s">
        <v>134</v>
      </c>
      <c r="L568" s="157">
        <v>10</v>
      </c>
      <c r="M568" s="157"/>
      <c r="N568" s="155" t="s">
        <v>99</v>
      </c>
      <c r="O568" s="152"/>
      <c r="P568" s="158"/>
      <c r="Q568" s="151"/>
      <c r="R568" s="151"/>
      <c r="S568" s="151"/>
      <c r="T568" s="151"/>
      <c r="U568" s="151"/>
      <c r="V568" s="151"/>
      <c r="W568" s="151"/>
    </row>
    <row r="569" s="40" customFormat="1" customHeight="1" spans="1:23">
      <c r="A569" s="151"/>
      <c r="B569" s="152"/>
      <c r="C569" s="152"/>
      <c r="D569" s="152"/>
      <c r="E569" s="152"/>
      <c r="F569" s="154"/>
      <c r="G569" s="154"/>
      <c r="H569" s="160"/>
      <c r="I569" s="155" t="s">
        <v>755</v>
      </c>
      <c r="J569" s="156" t="s">
        <v>87</v>
      </c>
      <c r="K569" s="155" t="s">
        <v>134</v>
      </c>
      <c r="L569" s="157">
        <v>3</v>
      </c>
      <c r="M569" s="157"/>
      <c r="N569" s="155" t="s">
        <v>99</v>
      </c>
      <c r="O569" s="152"/>
      <c r="P569" s="158"/>
      <c r="Q569" s="151"/>
      <c r="R569" s="151"/>
      <c r="S569" s="151"/>
      <c r="T569" s="151"/>
      <c r="U569" s="151"/>
      <c r="V569" s="151"/>
      <c r="W569" s="151"/>
    </row>
    <row r="570" s="40" customFormat="1" customHeight="1" spans="1:23">
      <c r="A570" s="151"/>
      <c r="B570" s="152"/>
      <c r="C570" s="152"/>
      <c r="D570" s="152"/>
      <c r="E570" s="152"/>
      <c r="F570" s="154"/>
      <c r="G570" s="154"/>
      <c r="H570" s="155" t="s">
        <v>91</v>
      </c>
      <c r="I570" s="155" t="s">
        <v>92</v>
      </c>
      <c r="J570" s="156" t="s">
        <v>87</v>
      </c>
      <c r="K570" s="155" t="s">
        <v>93</v>
      </c>
      <c r="L570" s="157">
        <v>10</v>
      </c>
      <c r="M570" s="157" t="s">
        <v>756</v>
      </c>
      <c r="N570" s="155" t="s">
        <v>99</v>
      </c>
      <c r="O570" s="152"/>
      <c r="P570" s="158"/>
      <c r="Q570" s="151"/>
      <c r="R570" s="151"/>
      <c r="S570" s="151"/>
      <c r="T570" s="151"/>
      <c r="U570" s="151"/>
      <c r="V570" s="151"/>
      <c r="W570" s="151"/>
    </row>
    <row r="571" s="40" customFormat="1" ht="15.75" spans="1:23">
      <c r="A571" s="151"/>
      <c r="B571" s="152"/>
      <c r="C571" s="152"/>
      <c r="D571" s="152"/>
      <c r="E571" s="152"/>
      <c r="F571" s="154"/>
      <c r="G571" s="154"/>
      <c r="H571" s="155"/>
      <c r="I571" s="155" t="s">
        <v>475</v>
      </c>
      <c r="J571" s="156" t="s">
        <v>108</v>
      </c>
      <c r="K571" s="155" t="s">
        <v>93</v>
      </c>
      <c r="L571" s="157">
        <v>4</v>
      </c>
      <c r="M571" s="157" t="s">
        <v>757</v>
      </c>
      <c r="N571" s="155" t="s">
        <v>99</v>
      </c>
      <c r="O571" s="152"/>
      <c r="P571" s="158"/>
      <c r="Q571" s="151"/>
      <c r="R571" s="151"/>
      <c r="S571" s="151"/>
      <c r="T571" s="151"/>
      <c r="U571" s="151"/>
      <c r="V571" s="151"/>
      <c r="W571" s="151"/>
    </row>
    <row r="572" s="40" customFormat="1" ht="15.75" spans="1:23">
      <c r="A572" s="151"/>
      <c r="B572" s="152"/>
      <c r="C572" s="152"/>
      <c r="D572" s="152"/>
      <c r="E572" s="152"/>
      <c r="F572" s="154"/>
      <c r="G572" s="154"/>
      <c r="H572" s="155" t="s">
        <v>106</v>
      </c>
      <c r="I572" s="155" t="s">
        <v>283</v>
      </c>
      <c r="J572" s="156" t="s">
        <v>108</v>
      </c>
      <c r="K572" s="155" t="s">
        <v>134</v>
      </c>
      <c r="L572" s="157">
        <v>5.5</v>
      </c>
      <c r="M572" s="157"/>
      <c r="N572" s="155" t="s">
        <v>99</v>
      </c>
      <c r="O572" s="152"/>
      <c r="P572" s="158"/>
      <c r="Q572" s="151"/>
      <c r="R572" s="151"/>
      <c r="S572" s="151"/>
      <c r="T572" s="151"/>
      <c r="U572" s="151"/>
      <c r="V572" s="151"/>
      <c r="W572" s="151"/>
    </row>
    <row r="573" s="40" customFormat="1" customHeight="1" spans="1:23">
      <c r="A573" s="151"/>
      <c r="B573" s="152"/>
      <c r="C573" s="152"/>
      <c r="D573" s="152"/>
      <c r="E573" s="152"/>
      <c r="F573" s="154"/>
      <c r="G573" s="154"/>
      <c r="H573" s="155"/>
      <c r="I573" s="155" t="s">
        <v>249</v>
      </c>
      <c r="J573" s="155" t="s">
        <v>87</v>
      </c>
      <c r="K573" s="155" t="s">
        <v>134</v>
      </c>
      <c r="L573" s="157">
        <v>1</v>
      </c>
      <c r="M573" s="157"/>
      <c r="N573" s="155" t="s">
        <v>99</v>
      </c>
      <c r="O573" s="152"/>
      <c r="P573" s="158"/>
      <c r="Q573" s="151"/>
      <c r="R573" s="151"/>
      <c r="S573" s="151"/>
      <c r="T573" s="151"/>
      <c r="U573" s="151"/>
      <c r="V573" s="151"/>
      <c r="W573" s="151"/>
    </row>
    <row r="574" s="40" customFormat="1" ht="15.75" spans="1:23">
      <c r="A574" s="151"/>
      <c r="B574" s="152"/>
      <c r="C574" s="152"/>
      <c r="D574" s="152"/>
      <c r="E574" s="152"/>
      <c r="F574" s="154"/>
      <c r="G574" s="154"/>
      <c r="H574" s="155" t="s">
        <v>141</v>
      </c>
      <c r="I574" s="155" t="s">
        <v>457</v>
      </c>
      <c r="J574" s="156" t="s">
        <v>108</v>
      </c>
      <c r="K574" s="155" t="s">
        <v>134</v>
      </c>
      <c r="L574" s="157">
        <v>15</v>
      </c>
      <c r="M574" s="157" t="s">
        <v>756</v>
      </c>
      <c r="N574" s="155" t="s">
        <v>99</v>
      </c>
      <c r="O574" s="152"/>
      <c r="P574" s="158"/>
      <c r="Q574" s="151"/>
      <c r="R574" s="151"/>
      <c r="S574" s="151"/>
      <c r="T574" s="151"/>
      <c r="U574" s="151"/>
      <c r="V574" s="151"/>
      <c r="W574" s="151"/>
    </row>
    <row r="575" s="40" customFormat="1" ht="15.75" spans="1:23">
      <c r="A575" s="151"/>
      <c r="B575" s="152"/>
      <c r="C575" s="152"/>
      <c r="D575" s="152"/>
      <c r="E575" s="152"/>
      <c r="F575" s="154"/>
      <c r="G575" s="154"/>
      <c r="H575" s="155"/>
      <c r="I575" s="155" t="s">
        <v>759</v>
      </c>
      <c r="J575" s="156" t="s">
        <v>108</v>
      </c>
      <c r="K575" s="155" t="s">
        <v>93</v>
      </c>
      <c r="L575" s="157">
        <v>20</v>
      </c>
      <c r="M575" s="157" t="s">
        <v>760</v>
      </c>
      <c r="N575" s="155" t="s">
        <v>99</v>
      </c>
      <c r="O575" s="152"/>
      <c r="P575" s="158"/>
      <c r="Q575" s="151"/>
      <c r="R575" s="151"/>
      <c r="S575" s="151"/>
      <c r="T575" s="151"/>
      <c r="U575" s="151"/>
      <c r="V575" s="151"/>
      <c r="W575" s="151"/>
    </row>
    <row r="576" s="40" customFormat="1" ht="15.75" spans="1:23">
      <c r="A576" s="151"/>
      <c r="B576" s="152"/>
      <c r="C576" s="152"/>
      <c r="D576" s="152"/>
      <c r="E576" s="152"/>
      <c r="F576" s="154"/>
      <c r="G576" s="154"/>
      <c r="H576" s="155"/>
      <c r="I576" s="155" t="s">
        <v>150</v>
      </c>
      <c r="J576" s="156" t="s">
        <v>108</v>
      </c>
      <c r="K576" s="155" t="s">
        <v>93</v>
      </c>
      <c r="L576" s="157">
        <v>35</v>
      </c>
      <c r="M576" s="157"/>
      <c r="N576" s="155" t="s">
        <v>99</v>
      </c>
      <c r="O576" s="152"/>
      <c r="P576" s="158"/>
      <c r="Q576" s="151"/>
      <c r="R576" s="151"/>
      <c r="S576" s="151"/>
      <c r="T576" s="151"/>
      <c r="U576" s="151"/>
      <c r="V576" s="151"/>
      <c r="W576" s="151"/>
    </row>
    <row r="577" s="40" customFormat="1" ht="15.75" spans="1:23">
      <c r="A577" s="151"/>
      <c r="B577" s="152"/>
      <c r="C577" s="152"/>
      <c r="D577" s="152"/>
      <c r="E577" s="152"/>
      <c r="F577" s="154"/>
      <c r="G577" s="154"/>
      <c r="H577" s="155"/>
      <c r="I577" s="155" t="s">
        <v>761</v>
      </c>
      <c r="J577" s="156" t="s">
        <v>108</v>
      </c>
      <c r="K577" s="155" t="s">
        <v>93</v>
      </c>
      <c r="L577" s="157">
        <v>40</v>
      </c>
      <c r="M577" s="157" t="s">
        <v>756</v>
      </c>
      <c r="N577" s="155" t="s">
        <v>99</v>
      </c>
      <c r="O577" s="152"/>
      <c r="P577" s="158"/>
      <c r="Q577" s="151"/>
      <c r="R577" s="151"/>
      <c r="S577" s="151"/>
      <c r="T577" s="151"/>
      <c r="U577" s="151"/>
      <c r="V577" s="151"/>
      <c r="W577" s="151"/>
    </row>
    <row r="578" s="40" customFormat="1" ht="15.75" spans="1:23">
      <c r="A578" s="151"/>
      <c r="B578" s="152"/>
      <c r="C578" s="152"/>
      <c r="D578" s="152"/>
      <c r="E578" s="152"/>
      <c r="F578" s="154"/>
      <c r="G578" s="154"/>
      <c r="H578" s="155"/>
      <c r="I578" s="155" t="s">
        <v>479</v>
      </c>
      <c r="J578" s="156" t="s">
        <v>97</v>
      </c>
      <c r="K578" s="155" t="s">
        <v>134</v>
      </c>
      <c r="L578" s="157" t="s">
        <v>762</v>
      </c>
      <c r="M578" s="157"/>
      <c r="N578" s="155" t="s">
        <v>99</v>
      </c>
      <c r="O578" s="152"/>
      <c r="P578" s="158"/>
      <c r="Q578" s="151"/>
      <c r="R578" s="151"/>
      <c r="S578" s="151"/>
      <c r="T578" s="151"/>
      <c r="U578" s="151"/>
      <c r="V578" s="151"/>
      <c r="W578" s="151"/>
    </row>
    <row r="579" s="40" customFormat="1" ht="15.75" spans="1:23">
      <c r="A579" s="151"/>
      <c r="B579" s="152"/>
      <c r="C579" s="152"/>
      <c r="D579" s="152"/>
      <c r="E579" s="152"/>
      <c r="F579" s="154"/>
      <c r="G579" s="154"/>
      <c r="H579" s="155"/>
      <c r="I579" s="155" t="s">
        <v>142</v>
      </c>
      <c r="J579" s="156" t="s">
        <v>97</v>
      </c>
      <c r="K579" s="155" t="s">
        <v>93</v>
      </c>
      <c r="L579" s="157">
        <v>20</v>
      </c>
      <c r="M579" s="157"/>
      <c r="N579" s="155" t="s">
        <v>99</v>
      </c>
      <c r="O579" s="152"/>
      <c r="P579" s="158"/>
      <c r="Q579" s="151"/>
      <c r="R579" s="151"/>
      <c r="S579" s="151"/>
      <c r="T579" s="151"/>
      <c r="U579" s="151"/>
      <c r="V579" s="151"/>
      <c r="W579" s="151"/>
    </row>
    <row r="580" s="40" customFormat="1" ht="15.75" spans="1:23">
      <c r="A580" s="151"/>
      <c r="B580" s="152"/>
      <c r="C580" s="152"/>
      <c r="D580" s="152"/>
      <c r="E580" s="152"/>
      <c r="F580" s="154"/>
      <c r="G580" s="154"/>
      <c r="H580" s="155"/>
      <c r="I580" s="155" t="s">
        <v>763</v>
      </c>
      <c r="J580" s="156" t="s">
        <v>108</v>
      </c>
      <c r="K580" s="155" t="s">
        <v>134</v>
      </c>
      <c r="L580" s="157">
        <v>8</v>
      </c>
      <c r="M580" s="157" t="s">
        <v>756</v>
      </c>
      <c r="N580" s="155" t="s">
        <v>99</v>
      </c>
      <c r="O580" s="152"/>
      <c r="P580" s="158"/>
      <c r="Q580" s="151"/>
      <c r="R580" s="151"/>
      <c r="S580" s="151"/>
      <c r="T580" s="151"/>
      <c r="U580" s="151"/>
      <c r="V580" s="151"/>
      <c r="W580" s="151"/>
    </row>
    <row r="581" s="40" customFormat="1" ht="15.75" spans="1:23">
      <c r="A581" s="151" t="s">
        <v>787</v>
      </c>
      <c r="B581" s="152" t="s">
        <v>788</v>
      </c>
      <c r="C581" s="152" t="s">
        <v>173</v>
      </c>
      <c r="D581" s="153" t="s">
        <v>102</v>
      </c>
      <c r="E581" s="153" t="s">
        <v>103</v>
      </c>
      <c r="F581" s="154" t="s">
        <v>789</v>
      </c>
      <c r="G581" s="154" t="s">
        <v>790</v>
      </c>
      <c r="H581" s="155" t="s">
        <v>85</v>
      </c>
      <c r="I581" s="155" t="s">
        <v>209</v>
      </c>
      <c r="J581" s="156" t="s">
        <v>108</v>
      </c>
      <c r="K581" s="155" t="s">
        <v>93</v>
      </c>
      <c r="L581" s="157">
        <v>12</v>
      </c>
      <c r="M581" s="157"/>
      <c r="N581" s="155" t="s">
        <v>99</v>
      </c>
      <c r="O581" s="152" t="s">
        <v>39</v>
      </c>
      <c r="P581" s="158" t="s">
        <v>143</v>
      </c>
      <c r="Q581" s="151" t="s">
        <v>112</v>
      </c>
      <c r="R581" s="151" t="s">
        <v>113</v>
      </c>
      <c r="S581" s="151" t="s">
        <v>753</v>
      </c>
      <c r="T581" s="151" t="s">
        <v>41</v>
      </c>
      <c r="U581" s="151" t="s">
        <v>754</v>
      </c>
      <c r="V581" s="151" t="s">
        <v>116</v>
      </c>
      <c r="W581" s="151" t="s">
        <v>117</v>
      </c>
    </row>
    <row r="582" s="40" customFormat="1" customHeight="1" spans="1:23">
      <c r="A582" s="151"/>
      <c r="B582" s="152"/>
      <c r="C582" s="152"/>
      <c r="D582" s="152"/>
      <c r="E582" s="152"/>
      <c r="F582" s="154"/>
      <c r="G582" s="154"/>
      <c r="H582" s="155"/>
      <c r="I582" s="155" t="s">
        <v>86</v>
      </c>
      <c r="J582" s="156" t="s">
        <v>87</v>
      </c>
      <c r="K582" s="155" t="s">
        <v>93</v>
      </c>
      <c r="L582" s="157">
        <v>2</v>
      </c>
      <c r="M582" s="157" t="s">
        <v>89</v>
      </c>
      <c r="N582" s="155" t="s">
        <v>110</v>
      </c>
      <c r="O582" s="152"/>
      <c r="P582" s="158"/>
      <c r="Q582" s="151"/>
      <c r="R582" s="151"/>
      <c r="S582" s="151"/>
      <c r="T582" s="151"/>
      <c r="U582" s="151"/>
      <c r="V582" s="151"/>
      <c r="W582" s="151"/>
    </row>
    <row r="583" s="40" customFormat="1" customHeight="1" spans="1:23">
      <c r="A583" s="151"/>
      <c r="B583" s="152"/>
      <c r="C583" s="152"/>
      <c r="D583" s="152"/>
      <c r="E583" s="152"/>
      <c r="F583" s="154"/>
      <c r="G583" s="154"/>
      <c r="H583" s="155"/>
      <c r="I583" s="155" t="s">
        <v>267</v>
      </c>
      <c r="J583" s="156" t="s">
        <v>87</v>
      </c>
      <c r="K583" s="155" t="s">
        <v>93</v>
      </c>
      <c r="L583" s="157">
        <v>4.5</v>
      </c>
      <c r="M583" s="157" t="s">
        <v>89</v>
      </c>
      <c r="N583" s="155" t="s">
        <v>110</v>
      </c>
      <c r="O583" s="152"/>
      <c r="P583" s="158"/>
      <c r="Q583" s="151"/>
      <c r="R583" s="151"/>
      <c r="S583" s="151"/>
      <c r="T583" s="151"/>
      <c r="U583" s="151"/>
      <c r="V583" s="151"/>
      <c r="W583" s="151"/>
    </row>
    <row r="584" s="40" customFormat="1" ht="15.75" spans="1:23">
      <c r="A584" s="151"/>
      <c r="B584" s="152"/>
      <c r="C584" s="152"/>
      <c r="D584" s="152"/>
      <c r="E584" s="152"/>
      <c r="F584" s="154"/>
      <c r="G584" s="154"/>
      <c r="H584" s="155"/>
      <c r="I584" s="155" t="s">
        <v>192</v>
      </c>
      <c r="J584" s="156" t="s">
        <v>108</v>
      </c>
      <c r="K584" s="155" t="s">
        <v>93</v>
      </c>
      <c r="L584" s="157">
        <v>2</v>
      </c>
      <c r="M584" s="157"/>
      <c r="N584" s="155" t="s">
        <v>99</v>
      </c>
      <c r="O584" s="152"/>
      <c r="P584" s="158"/>
      <c r="Q584" s="151"/>
      <c r="R584" s="151"/>
      <c r="S584" s="151"/>
      <c r="T584" s="151"/>
      <c r="U584" s="151"/>
      <c r="V584" s="151"/>
      <c r="W584" s="151"/>
    </row>
    <row r="585" s="40" customFormat="1" customHeight="1" spans="1:23">
      <c r="A585" s="151"/>
      <c r="B585" s="152"/>
      <c r="C585" s="152"/>
      <c r="D585" s="152"/>
      <c r="E585" s="152"/>
      <c r="F585" s="154"/>
      <c r="G585" s="154"/>
      <c r="H585" s="159" t="s">
        <v>132</v>
      </c>
      <c r="I585" s="155" t="s">
        <v>133</v>
      </c>
      <c r="J585" s="156" t="s">
        <v>87</v>
      </c>
      <c r="K585" s="155" t="s">
        <v>134</v>
      </c>
      <c r="L585" s="157">
        <v>10</v>
      </c>
      <c r="M585" s="157"/>
      <c r="N585" s="155" t="s">
        <v>99</v>
      </c>
      <c r="O585" s="152"/>
      <c r="P585" s="158"/>
      <c r="Q585" s="151"/>
      <c r="R585" s="151"/>
      <c r="S585" s="151"/>
      <c r="T585" s="151"/>
      <c r="U585" s="151"/>
      <c r="V585" s="151"/>
      <c r="W585" s="151"/>
    </row>
    <row r="586" s="40" customFormat="1" customHeight="1" spans="1:23">
      <c r="A586" s="151"/>
      <c r="B586" s="152"/>
      <c r="C586" s="152"/>
      <c r="D586" s="152"/>
      <c r="E586" s="152"/>
      <c r="F586" s="154"/>
      <c r="G586" s="154"/>
      <c r="H586" s="160"/>
      <c r="I586" s="155" t="s">
        <v>755</v>
      </c>
      <c r="J586" s="156" t="s">
        <v>87</v>
      </c>
      <c r="K586" s="155" t="s">
        <v>134</v>
      </c>
      <c r="L586" s="157">
        <v>3</v>
      </c>
      <c r="M586" s="157"/>
      <c r="N586" s="155" t="s">
        <v>99</v>
      </c>
      <c r="O586" s="152"/>
      <c r="P586" s="158"/>
      <c r="Q586" s="151"/>
      <c r="R586" s="151"/>
      <c r="S586" s="151"/>
      <c r="T586" s="151"/>
      <c r="U586" s="151"/>
      <c r="V586" s="151"/>
      <c r="W586" s="151"/>
    </row>
    <row r="587" s="40" customFormat="1" customHeight="1" spans="1:23">
      <c r="A587" s="151"/>
      <c r="B587" s="152"/>
      <c r="C587" s="152"/>
      <c r="D587" s="152"/>
      <c r="E587" s="152"/>
      <c r="F587" s="154"/>
      <c r="G587" s="154"/>
      <c r="H587" s="155" t="s">
        <v>91</v>
      </c>
      <c r="I587" s="155" t="s">
        <v>92</v>
      </c>
      <c r="J587" s="156" t="s">
        <v>87</v>
      </c>
      <c r="K587" s="155" t="s">
        <v>93</v>
      </c>
      <c r="L587" s="157">
        <v>10</v>
      </c>
      <c r="M587" s="157" t="s">
        <v>756</v>
      </c>
      <c r="N587" s="155" t="s">
        <v>99</v>
      </c>
      <c r="O587" s="152"/>
      <c r="P587" s="158"/>
      <c r="Q587" s="151"/>
      <c r="R587" s="151"/>
      <c r="S587" s="151"/>
      <c r="T587" s="151"/>
      <c r="U587" s="151"/>
      <c r="V587" s="151"/>
      <c r="W587" s="151"/>
    </row>
    <row r="588" s="40" customFormat="1" ht="15.75" spans="1:23">
      <c r="A588" s="151"/>
      <c r="B588" s="152"/>
      <c r="C588" s="152"/>
      <c r="D588" s="152"/>
      <c r="E588" s="152"/>
      <c r="F588" s="154"/>
      <c r="G588" s="154"/>
      <c r="H588" s="155"/>
      <c r="I588" s="155" t="s">
        <v>475</v>
      </c>
      <c r="J588" s="156" t="s">
        <v>108</v>
      </c>
      <c r="K588" s="155" t="s">
        <v>93</v>
      </c>
      <c r="L588" s="157">
        <v>4</v>
      </c>
      <c r="M588" s="157" t="s">
        <v>757</v>
      </c>
      <c r="N588" s="155" t="s">
        <v>99</v>
      </c>
      <c r="O588" s="152"/>
      <c r="P588" s="158"/>
      <c r="Q588" s="151"/>
      <c r="R588" s="151"/>
      <c r="S588" s="151"/>
      <c r="T588" s="151"/>
      <c r="U588" s="151"/>
      <c r="V588" s="151"/>
      <c r="W588" s="151"/>
    </row>
    <row r="589" s="40" customFormat="1" ht="15.75" spans="1:23">
      <c r="A589" s="151"/>
      <c r="B589" s="152"/>
      <c r="C589" s="152"/>
      <c r="D589" s="152"/>
      <c r="E589" s="152"/>
      <c r="F589" s="154"/>
      <c r="G589" s="154"/>
      <c r="H589" s="155" t="s">
        <v>106</v>
      </c>
      <c r="I589" s="155" t="s">
        <v>283</v>
      </c>
      <c r="J589" s="156" t="s">
        <v>108</v>
      </c>
      <c r="K589" s="155" t="s">
        <v>134</v>
      </c>
      <c r="L589" s="157">
        <v>5.5</v>
      </c>
      <c r="M589" s="157"/>
      <c r="N589" s="155" t="s">
        <v>99</v>
      </c>
      <c r="O589" s="152"/>
      <c r="P589" s="158"/>
      <c r="Q589" s="151"/>
      <c r="R589" s="151"/>
      <c r="S589" s="151"/>
      <c r="T589" s="151"/>
      <c r="U589" s="151"/>
      <c r="V589" s="151"/>
      <c r="W589" s="151"/>
    </row>
    <row r="590" s="40" customFormat="1" customHeight="1" spans="1:23">
      <c r="A590" s="151"/>
      <c r="B590" s="152"/>
      <c r="C590" s="152"/>
      <c r="D590" s="152"/>
      <c r="E590" s="152"/>
      <c r="F590" s="154"/>
      <c r="G590" s="154"/>
      <c r="H590" s="155"/>
      <c r="I590" s="155" t="s">
        <v>249</v>
      </c>
      <c r="J590" s="155" t="s">
        <v>87</v>
      </c>
      <c r="K590" s="155" t="s">
        <v>134</v>
      </c>
      <c r="L590" s="157">
        <v>1</v>
      </c>
      <c r="M590" s="157"/>
      <c r="N590" s="155" t="s">
        <v>99</v>
      </c>
      <c r="O590" s="152"/>
      <c r="P590" s="158"/>
      <c r="Q590" s="151"/>
      <c r="R590" s="151"/>
      <c r="S590" s="151"/>
      <c r="T590" s="151"/>
      <c r="U590" s="151"/>
      <c r="V590" s="151"/>
      <c r="W590" s="151"/>
    </row>
    <row r="591" s="40" customFormat="1" ht="15.75" spans="1:23">
      <c r="A591" s="151"/>
      <c r="B591" s="152"/>
      <c r="C591" s="152"/>
      <c r="D591" s="152"/>
      <c r="E591" s="152"/>
      <c r="F591" s="154"/>
      <c r="G591" s="154"/>
      <c r="H591" s="155" t="s">
        <v>141</v>
      </c>
      <c r="I591" s="155" t="s">
        <v>457</v>
      </c>
      <c r="J591" s="156" t="s">
        <v>108</v>
      </c>
      <c r="K591" s="155" t="s">
        <v>134</v>
      </c>
      <c r="L591" s="157">
        <v>15</v>
      </c>
      <c r="M591" s="157" t="s">
        <v>756</v>
      </c>
      <c r="N591" s="155" t="s">
        <v>99</v>
      </c>
      <c r="O591" s="152"/>
      <c r="P591" s="158"/>
      <c r="Q591" s="151"/>
      <c r="R591" s="151"/>
      <c r="S591" s="151"/>
      <c r="T591" s="151"/>
      <c r="U591" s="151"/>
      <c r="V591" s="151"/>
      <c r="W591" s="151"/>
    </row>
    <row r="592" s="40" customFormat="1" ht="15.75" spans="1:23">
      <c r="A592" s="151"/>
      <c r="B592" s="152"/>
      <c r="C592" s="152"/>
      <c r="D592" s="152"/>
      <c r="E592" s="152"/>
      <c r="F592" s="154"/>
      <c r="G592" s="154"/>
      <c r="H592" s="155"/>
      <c r="I592" s="155" t="s">
        <v>759</v>
      </c>
      <c r="J592" s="156" t="s">
        <v>108</v>
      </c>
      <c r="K592" s="155" t="s">
        <v>93</v>
      </c>
      <c r="L592" s="157">
        <v>20</v>
      </c>
      <c r="M592" s="157" t="s">
        <v>760</v>
      </c>
      <c r="N592" s="155" t="s">
        <v>99</v>
      </c>
      <c r="O592" s="152"/>
      <c r="P592" s="158"/>
      <c r="Q592" s="151"/>
      <c r="R592" s="151"/>
      <c r="S592" s="151"/>
      <c r="T592" s="151"/>
      <c r="U592" s="151"/>
      <c r="V592" s="151"/>
      <c r="W592" s="151"/>
    </row>
    <row r="593" s="40" customFormat="1" ht="15.75" spans="1:23">
      <c r="A593" s="151"/>
      <c r="B593" s="152"/>
      <c r="C593" s="152"/>
      <c r="D593" s="152"/>
      <c r="E593" s="152"/>
      <c r="F593" s="154"/>
      <c r="G593" s="154"/>
      <c r="H593" s="155"/>
      <c r="I593" s="155" t="s">
        <v>150</v>
      </c>
      <c r="J593" s="156" t="s">
        <v>108</v>
      </c>
      <c r="K593" s="155" t="s">
        <v>93</v>
      </c>
      <c r="L593" s="157">
        <v>35</v>
      </c>
      <c r="M593" s="157"/>
      <c r="N593" s="155" t="s">
        <v>99</v>
      </c>
      <c r="O593" s="152"/>
      <c r="P593" s="158"/>
      <c r="Q593" s="151"/>
      <c r="R593" s="151"/>
      <c r="S593" s="151"/>
      <c r="T593" s="151"/>
      <c r="U593" s="151"/>
      <c r="V593" s="151"/>
      <c r="W593" s="151"/>
    </row>
    <row r="594" s="40" customFormat="1" ht="15.75" spans="1:23">
      <c r="A594" s="151"/>
      <c r="B594" s="152"/>
      <c r="C594" s="152"/>
      <c r="D594" s="152"/>
      <c r="E594" s="152"/>
      <c r="F594" s="154"/>
      <c r="G594" s="154"/>
      <c r="H594" s="155"/>
      <c r="I594" s="155" t="s">
        <v>761</v>
      </c>
      <c r="J594" s="156" t="s">
        <v>108</v>
      </c>
      <c r="K594" s="155" t="s">
        <v>93</v>
      </c>
      <c r="L594" s="157">
        <v>40</v>
      </c>
      <c r="M594" s="157" t="s">
        <v>756</v>
      </c>
      <c r="N594" s="155" t="s">
        <v>99</v>
      </c>
      <c r="O594" s="152"/>
      <c r="P594" s="158"/>
      <c r="Q594" s="151"/>
      <c r="R594" s="151"/>
      <c r="S594" s="151"/>
      <c r="T594" s="151"/>
      <c r="U594" s="151"/>
      <c r="V594" s="151"/>
      <c r="W594" s="151"/>
    </row>
    <row r="595" s="40" customFormat="1" ht="15.75" spans="1:23">
      <c r="A595" s="151"/>
      <c r="B595" s="152"/>
      <c r="C595" s="152"/>
      <c r="D595" s="152"/>
      <c r="E595" s="152"/>
      <c r="F595" s="154"/>
      <c r="G595" s="154"/>
      <c r="H595" s="155"/>
      <c r="I595" s="155" t="s">
        <v>479</v>
      </c>
      <c r="J595" s="156" t="s">
        <v>97</v>
      </c>
      <c r="K595" s="155" t="s">
        <v>134</v>
      </c>
      <c r="L595" s="157" t="s">
        <v>762</v>
      </c>
      <c r="M595" s="157"/>
      <c r="N595" s="155" t="s">
        <v>99</v>
      </c>
      <c r="O595" s="152"/>
      <c r="P595" s="158"/>
      <c r="Q595" s="151"/>
      <c r="R595" s="151"/>
      <c r="S595" s="151"/>
      <c r="T595" s="151"/>
      <c r="U595" s="151"/>
      <c r="V595" s="151"/>
      <c r="W595" s="151"/>
    </row>
    <row r="596" s="40" customFormat="1" ht="15.75" spans="1:23">
      <c r="A596" s="151"/>
      <c r="B596" s="152"/>
      <c r="C596" s="152"/>
      <c r="D596" s="152"/>
      <c r="E596" s="152"/>
      <c r="F596" s="154"/>
      <c r="G596" s="154"/>
      <c r="H596" s="155"/>
      <c r="I596" s="155" t="s">
        <v>142</v>
      </c>
      <c r="J596" s="156" t="s">
        <v>97</v>
      </c>
      <c r="K596" s="155" t="s">
        <v>93</v>
      </c>
      <c r="L596" s="157">
        <v>20</v>
      </c>
      <c r="M596" s="157"/>
      <c r="N596" s="155" t="s">
        <v>99</v>
      </c>
      <c r="O596" s="152"/>
      <c r="P596" s="158"/>
      <c r="Q596" s="151"/>
      <c r="R596" s="151"/>
      <c r="S596" s="151"/>
      <c r="T596" s="151"/>
      <c r="U596" s="151"/>
      <c r="V596" s="151"/>
      <c r="W596" s="151"/>
    </row>
    <row r="597" s="40" customFormat="1" ht="15.75" spans="1:23">
      <c r="A597" s="151"/>
      <c r="B597" s="152"/>
      <c r="C597" s="152"/>
      <c r="D597" s="152"/>
      <c r="E597" s="152"/>
      <c r="F597" s="154"/>
      <c r="G597" s="154"/>
      <c r="H597" s="155"/>
      <c r="I597" s="155" t="s">
        <v>763</v>
      </c>
      <c r="J597" s="156" t="s">
        <v>108</v>
      </c>
      <c r="K597" s="155" t="s">
        <v>134</v>
      </c>
      <c r="L597" s="157">
        <v>8</v>
      </c>
      <c r="M597" s="157" t="s">
        <v>756</v>
      </c>
      <c r="N597" s="155" t="s">
        <v>99</v>
      </c>
      <c r="O597" s="152"/>
      <c r="P597" s="158"/>
      <c r="Q597" s="151"/>
      <c r="R597" s="151"/>
      <c r="S597" s="151"/>
      <c r="T597" s="151"/>
      <c r="U597" s="151"/>
      <c r="V597" s="151"/>
      <c r="W597" s="151"/>
    </row>
    <row r="598" s="40" customFormat="1" ht="15.75" spans="1:23">
      <c r="A598" s="151" t="s">
        <v>791</v>
      </c>
      <c r="B598" s="152" t="s">
        <v>792</v>
      </c>
      <c r="C598" s="152" t="s">
        <v>173</v>
      </c>
      <c r="D598" s="153" t="s">
        <v>102</v>
      </c>
      <c r="E598" s="153" t="s">
        <v>103</v>
      </c>
      <c r="F598" s="154" t="s">
        <v>793</v>
      </c>
      <c r="G598" s="154" t="s">
        <v>794</v>
      </c>
      <c r="H598" s="155" t="s">
        <v>85</v>
      </c>
      <c r="I598" s="155" t="s">
        <v>209</v>
      </c>
      <c r="J598" s="156" t="s">
        <v>108</v>
      </c>
      <c r="K598" s="155" t="s">
        <v>93</v>
      </c>
      <c r="L598" s="157">
        <v>12</v>
      </c>
      <c r="M598" s="157"/>
      <c r="N598" s="155" t="s">
        <v>99</v>
      </c>
      <c r="O598" s="152" t="s">
        <v>39</v>
      </c>
      <c r="P598" s="158" t="s">
        <v>143</v>
      </c>
      <c r="Q598" s="151" t="s">
        <v>112</v>
      </c>
      <c r="R598" s="151" t="s">
        <v>113</v>
      </c>
      <c r="S598" s="151" t="s">
        <v>753</v>
      </c>
      <c r="T598" s="151" t="s">
        <v>41</v>
      </c>
      <c r="U598" s="151" t="s">
        <v>754</v>
      </c>
      <c r="V598" s="151" t="s">
        <v>116</v>
      </c>
      <c r="W598" s="151" t="s">
        <v>117</v>
      </c>
    </row>
    <row r="599" s="40" customFormat="1" customHeight="1" spans="1:23">
      <c r="A599" s="151"/>
      <c r="B599" s="152"/>
      <c r="C599" s="152"/>
      <c r="D599" s="152"/>
      <c r="E599" s="152"/>
      <c r="F599" s="154"/>
      <c r="G599" s="154"/>
      <c r="H599" s="155"/>
      <c r="I599" s="155" t="s">
        <v>86</v>
      </c>
      <c r="J599" s="156" t="s">
        <v>87</v>
      </c>
      <c r="K599" s="155" t="s">
        <v>93</v>
      </c>
      <c r="L599" s="157">
        <v>2</v>
      </c>
      <c r="M599" s="157" t="s">
        <v>89</v>
      </c>
      <c r="N599" s="155" t="s">
        <v>110</v>
      </c>
      <c r="O599" s="152"/>
      <c r="P599" s="158"/>
      <c r="Q599" s="151"/>
      <c r="R599" s="151"/>
      <c r="S599" s="151"/>
      <c r="T599" s="151"/>
      <c r="U599" s="151"/>
      <c r="V599" s="151"/>
      <c r="W599" s="151"/>
    </row>
    <row r="600" s="40" customFormat="1" customHeight="1" spans="1:23">
      <c r="A600" s="151"/>
      <c r="B600" s="152"/>
      <c r="C600" s="152"/>
      <c r="D600" s="152"/>
      <c r="E600" s="152"/>
      <c r="F600" s="154"/>
      <c r="G600" s="154"/>
      <c r="H600" s="155"/>
      <c r="I600" s="155" t="s">
        <v>267</v>
      </c>
      <c r="J600" s="156" t="s">
        <v>87</v>
      </c>
      <c r="K600" s="155" t="s">
        <v>93</v>
      </c>
      <c r="L600" s="157">
        <v>4.5</v>
      </c>
      <c r="M600" s="157" t="s">
        <v>89</v>
      </c>
      <c r="N600" s="155" t="s">
        <v>110</v>
      </c>
      <c r="O600" s="152"/>
      <c r="P600" s="158"/>
      <c r="Q600" s="151"/>
      <c r="R600" s="151"/>
      <c r="S600" s="151"/>
      <c r="T600" s="151"/>
      <c r="U600" s="151"/>
      <c r="V600" s="151"/>
      <c r="W600" s="151"/>
    </row>
    <row r="601" s="40" customFormat="1" ht="15.75" spans="1:23">
      <c r="A601" s="151"/>
      <c r="B601" s="152"/>
      <c r="C601" s="152"/>
      <c r="D601" s="152"/>
      <c r="E601" s="152"/>
      <c r="F601" s="154"/>
      <c r="G601" s="154"/>
      <c r="H601" s="155"/>
      <c r="I601" s="155" t="s">
        <v>192</v>
      </c>
      <c r="J601" s="156" t="s">
        <v>108</v>
      </c>
      <c r="K601" s="155" t="s">
        <v>93</v>
      </c>
      <c r="L601" s="157">
        <v>2</v>
      </c>
      <c r="M601" s="157"/>
      <c r="N601" s="155" t="s">
        <v>99</v>
      </c>
      <c r="O601" s="152"/>
      <c r="P601" s="158"/>
      <c r="Q601" s="151"/>
      <c r="R601" s="151"/>
      <c r="S601" s="151"/>
      <c r="T601" s="151"/>
      <c r="U601" s="151"/>
      <c r="V601" s="151"/>
      <c r="W601" s="151"/>
    </row>
    <row r="602" s="40" customFormat="1" customHeight="1" spans="1:23">
      <c r="A602" s="151"/>
      <c r="B602" s="152"/>
      <c r="C602" s="152"/>
      <c r="D602" s="152"/>
      <c r="E602" s="152"/>
      <c r="F602" s="154"/>
      <c r="G602" s="154"/>
      <c r="H602" s="159" t="s">
        <v>132</v>
      </c>
      <c r="I602" s="155" t="s">
        <v>133</v>
      </c>
      <c r="J602" s="156" t="s">
        <v>87</v>
      </c>
      <c r="K602" s="155" t="s">
        <v>134</v>
      </c>
      <c r="L602" s="157">
        <v>10</v>
      </c>
      <c r="M602" s="157"/>
      <c r="N602" s="155" t="s">
        <v>99</v>
      </c>
      <c r="O602" s="152"/>
      <c r="P602" s="158"/>
      <c r="Q602" s="151"/>
      <c r="R602" s="151"/>
      <c r="S602" s="151"/>
      <c r="T602" s="151"/>
      <c r="U602" s="151"/>
      <c r="V602" s="151"/>
      <c r="W602" s="151"/>
    </row>
    <row r="603" s="40" customFormat="1" customHeight="1" spans="1:23">
      <c r="A603" s="151"/>
      <c r="B603" s="152"/>
      <c r="C603" s="152"/>
      <c r="D603" s="152"/>
      <c r="E603" s="152"/>
      <c r="F603" s="154"/>
      <c r="G603" s="154"/>
      <c r="H603" s="160"/>
      <c r="I603" s="155" t="s">
        <v>755</v>
      </c>
      <c r="J603" s="156" t="s">
        <v>87</v>
      </c>
      <c r="K603" s="155" t="s">
        <v>134</v>
      </c>
      <c r="L603" s="157">
        <v>3</v>
      </c>
      <c r="M603" s="157"/>
      <c r="N603" s="155" t="s">
        <v>99</v>
      </c>
      <c r="O603" s="152"/>
      <c r="P603" s="158"/>
      <c r="Q603" s="151"/>
      <c r="R603" s="151"/>
      <c r="S603" s="151"/>
      <c r="T603" s="151"/>
      <c r="U603" s="151"/>
      <c r="V603" s="151"/>
      <c r="W603" s="151"/>
    </row>
    <row r="604" s="40" customFormat="1" customHeight="1" spans="1:23">
      <c r="A604" s="151"/>
      <c r="B604" s="152"/>
      <c r="C604" s="152"/>
      <c r="D604" s="152"/>
      <c r="E604" s="152"/>
      <c r="F604" s="154"/>
      <c r="G604" s="154"/>
      <c r="H604" s="155" t="s">
        <v>91</v>
      </c>
      <c r="I604" s="155" t="s">
        <v>92</v>
      </c>
      <c r="J604" s="156" t="s">
        <v>87</v>
      </c>
      <c r="K604" s="155" t="s">
        <v>93</v>
      </c>
      <c r="L604" s="157">
        <v>10</v>
      </c>
      <c r="M604" s="157" t="s">
        <v>756</v>
      </c>
      <c r="N604" s="155" t="s">
        <v>99</v>
      </c>
      <c r="O604" s="152"/>
      <c r="P604" s="158"/>
      <c r="Q604" s="151"/>
      <c r="R604" s="151"/>
      <c r="S604" s="151"/>
      <c r="T604" s="151"/>
      <c r="U604" s="151"/>
      <c r="V604" s="151"/>
      <c r="W604" s="151"/>
    </row>
    <row r="605" s="40" customFormat="1" ht="15.75" spans="1:23">
      <c r="A605" s="151"/>
      <c r="B605" s="152"/>
      <c r="C605" s="152"/>
      <c r="D605" s="152"/>
      <c r="E605" s="152"/>
      <c r="F605" s="154"/>
      <c r="G605" s="154"/>
      <c r="H605" s="155"/>
      <c r="I605" s="155" t="s">
        <v>475</v>
      </c>
      <c r="J605" s="156" t="s">
        <v>108</v>
      </c>
      <c r="K605" s="155" t="s">
        <v>93</v>
      </c>
      <c r="L605" s="157">
        <v>4</v>
      </c>
      <c r="M605" s="157" t="s">
        <v>757</v>
      </c>
      <c r="N605" s="155" t="s">
        <v>99</v>
      </c>
      <c r="O605" s="152"/>
      <c r="P605" s="158"/>
      <c r="Q605" s="151"/>
      <c r="R605" s="151"/>
      <c r="S605" s="151"/>
      <c r="T605" s="151"/>
      <c r="U605" s="151"/>
      <c r="V605" s="151"/>
      <c r="W605" s="151"/>
    </row>
    <row r="606" s="40" customFormat="1" ht="15.75" spans="1:23">
      <c r="A606" s="151"/>
      <c r="B606" s="152"/>
      <c r="C606" s="152"/>
      <c r="D606" s="152"/>
      <c r="E606" s="152"/>
      <c r="F606" s="154"/>
      <c r="G606" s="154"/>
      <c r="H606" s="155" t="s">
        <v>106</v>
      </c>
      <c r="I606" s="155" t="s">
        <v>283</v>
      </c>
      <c r="J606" s="156" t="s">
        <v>108</v>
      </c>
      <c r="K606" s="155" t="s">
        <v>134</v>
      </c>
      <c r="L606" s="157">
        <v>5.5</v>
      </c>
      <c r="M606" s="157"/>
      <c r="N606" s="155" t="s">
        <v>99</v>
      </c>
      <c r="O606" s="152"/>
      <c r="P606" s="158"/>
      <c r="Q606" s="151"/>
      <c r="R606" s="151"/>
      <c r="S606" s="151"/>
      <c r="T606" s="151"/>
      <c r="U606" s="151"/>
      <c r="V606" s="151"/>
      <c r="W606" s="151"/>
    </row>
    <row r="607" s="40" customFormat="1" customHeight="1" spans="1:23">
      <c r="A607" s="151"/>
      <c r="B607" s="152"/>
      <c r="C607" s="152"/>
      <c r="D607" s="152"/>
      <c r="E607" s="152"/>
      <c r="F607" s="154"/>
      <c r="G607" s="154"/>
      <c r="H607" s="155"/>
      <c r="I607" s="155" t="s">
        <v>249</v>
      </c>
      <c r="J607" s="155" t="s">
        <v>87</v>
      </c>
      <c r="K607" s="155" t="s">
        <v>134</v>
      </c>
      <c r="L607" s="157">
        <v>1</v>
      </c>
      <c r="M607" s="157"/>
      <c r="N607" s="155" t="s">
        <v>99</v>
      </c>
      <c r="O607" s="152"/>
      <c r="P607" s="158"/>
      <c r="Q607" s="151"/>
      <c r="R607" s="151"/>
      <c r="S607" s="151"/>
      <c r="T607" s="151"/>
      <c r="U607" s="151"/>
      <c r="V607" s="151"/>
      <c r="W607" s="151"/>
    </row>
    <row r="608" s="40" customFormat="1" ht="15.75" spans="1:23">
      <c r="A608" s="151"/>
      <c r="B608" s="152"/>
      <c r="C608" s="152"/>
      <c r="D608" s="152"/>
      <c r="E608" s="152"/>
      <c r="F608" s="154"/>
      <c r="G608" s="154"/>
      <c r="H608" s="155" t="s">
        <v>141</v>
      </c>
      <c r="I608" s="155" t="s">
        <v>457</v>
      </c>
      <c r="J608" s="156" t="s">
        <v>108</v>
      </c>
      <c r="K608" s="155" t="s">
        <v>134</v>
      </c>
      <c r="L608" s="157">
        <v>15</v>
      </c>
      <c r="M608" s="157" t="s">
        <v>756</v>
      </c>
      <c r="N608" s="155" t="s">
        <v>99</v>
      </c>
      <c r="O608" s="152"/>
      <c r="P608" s="158"/>
      <c r="Q608" s="151"/>
      <c r="R608" s="151"/>
      <c r="S608" s="151"/>
      <c r="T608" s="151"/>
      <c r="U608" s="151"/>
      <c r="V608" s="151"/>
      <c r="W608" s="151"/>
    </row>
    <row r="609" s="40" customFormat="1" ht="15.75" spans="1:23">
      <c r="A609" s="151"/>
      <c r="B609" s="152"/>
      <c r="C609" s="152"/>
      <c r="D609" s="152"/>
      <c r="E609" s="152"/>
      <c r="F609" s="154"/>
      <c r="G609" s="154"/>
      <c r="H609" s="155"/>
      <c r="I609" s="155" t="s">
        <v>759</v>
      </c>
      <c r="J609" s="156" t="s">
        <v>108</v>
      </c>
      <c r="K609" s="155" t="s">
        <v>93</v>
      </c>
      <c r="L609" s="157">
        <v>20</v>
      </c>
      <c r="M609" s="157" t="s">
        <v>760</v>
      </c>
      <c r="N609" s="155" t="s">
        <v>99</v>
      </c>
      <c r="O609" s="152"/>
      <c r="P609" s="158"/>
      <c r="Q609" s="151"/>
      <c r="R609" s="151"/>
      <c r="S609" s="151"/>
      <c r="T609" s="151"/>
      <c r="U609" s="151"/>
      <c r="V609" s="151"/>
      <c r="W609" s="151"/>
    </row>
    <row r="610" s="40" customFormat="1" ht="15.75" spans="1:23">
      <c r="A610" s="151"/>
      <c r="B610" s="152"/>
      <c r="C610" s="152"/>
      <c r="D610" s="152"/>
      <c r="E610" s="152"/>
      <c r="F610" s="154"/>
      <c r="G610" s="154"/>
      <c r="H610" s="155"/>
      <c r="I610" s="155" t="s">
        <v>150</v>
      </c>
      <c r="J610" s="156" t="s">
        <v>108</v>
      </c>
      <c r="K610" s="155" t="s">
        <v>93</v>
      </c>
      <c r="L610" s="157">
        <v>35</v>
      </c>
      <c r="M610" s="157"/>
      <c r="N610" s="155" t="s">
        <v>99</v>
      </c>
      <c r="O610" s="152"/>
      <c r="P610" s="158"/>
      <c r="Q610" s="151"/>
      <c r="R610" s="151"/>
      <c r="S610" s="151"/>
      <c r="T610" s="151"/>
      <c r="U610" s="151"/>
      <c r="V610" s="151"/>
      <c r="W610" s="151"/>
    </row>
    <row r="611" s="40" customFormat="1" ht="15.75" spans="1:23">
      <c r="A611" s="151"/>
      <c r="B611" s="152"/>
      <c r="C611" s="152"/>
      <c r="D611" s="152"/>
      <c r="E611" s="152"/>
      <c r="F611" s="154"/>
      <c r="G611" s="154"/>
      <c r="H611" s="155"/>
      <c r="I611" s="155" t="s">
        <v>761</v>
      </c>
      <c r="J611" s="156" t="s">
        <v>108</v>
      </c>
      <c r="K611" s="155" t="s">
        <v>93</v>
      </c>
      <c r="L611" s="157">
        <v>40</v>
      </c>
      <c r="M611" s="157" t="s">
        <v>756</v>
      </c>
      <c r="N611" s="155" t="s">
        <v>99</v>
      </c>
      <c r="O611" s="152"/>
      <c r="P611" s="158"/>
      <c r="Q611" s="151"/>
      <c r="R611" s="151"/>
      <c r="S611" s="151"/>
      <c r="T611" s="151"/>
      <c r="U611" s="151"/>
      <c r="V611" s="151"/>
      <c r="W611" s="151"/>
    </row>
    <row r="612" s="40" customFormat="1" ht="15.75" spans="1:23">
      <c r="A612" s="151"/>
      <c r="B612" s="152"/>
      <c r="C612" s="152"/>
      <c r="D612" s="152"/>
      <c r="E612" s="152"/>
      <c r="F612" s="154"/>
      <c r="G612" s="154"/>
      <c r="H612" s="155"/>
      <c r="I612" s="155" t="s">
        <v>479</v>
      </c>
      <c r="J612" s="156" t="s">
        <v>97</v>
      </c>
      <c r="K612" s="155" t="s">
        <v>134</v>
      </c>
      <c r="L612" s="157" t="s">
        <v>762</v>
      </c>
      <c r="M612" s="157"/>
      <c r="N612" s="155" t="s">
        <v>99</v>
      </c>
      <c r="O612" s="152"/>
      <c r="P612" s="158"/>
      <c r="Q612" s="151"/>
      <c r="R612" s="151"/>
      <c r="S612" s="151"/>
      <c r="T612" s="151"/>
      <c r="U612" s="151"/>
      <c r="V612" s="151"/>
      <c r="W612" s="151"/>
    </row>
    <row r="613" s="40" customFormat="1" ht="15.75" spans="1:23">
      <c r="A613" s="151"/>
      <c r="B613" s="152"/>
      <c r="C613" s="152"/>
      <c r="D613" s="152"/>
      <c r="E613" s="152"/>
      <c r="F613" s="154"/>
      <c r="G613" s="154"/>
      <c r="H613" s="155"/>
      <c r="I613" s="155" t="s">
        <v>142</v>
      </c>
      <c r="J613" s="156" t="s">
        <v>97</v>
      </c>
      <c r="K613" s="155" t="s">
        <v>93</v>
      </c>
      <c r="L613" s="157">
        <v>20</v>
      </c>
      <c r="M613" s="157"/>
      <c r="N613" s="155" t="s">
        <v>99</v>
      </c>
      <c r="O613" s="152"/>
      <c r="P613" s="158"/>
      <c r="Q613" s="151"/>
      <c r="R613" s="151"/>
      <c r="S613" s="151"/>
      <c r="T613" s="151"/>
      <c r="U613" s="151"/>
      <c r="V613" s="151"/>
      <c r="W613" s="151"/>
    </row>
    <row r="614" s="40" customFormat="1" ht="15.75" spans="1:23">
      <c r="A614" s="151"/>
      <c r="B614" s="152"/>
      <c r="C614" s="152"/>
      <c r="D614" s="152"/>
      <c r="E614" s="152"/>
      <c r="F614" s="154"/>
      <c r="G614" s="154"/>
      <c r="H614" s="155"/>
      <c r="I614" s="155" t="s">
        <v>763</v>
      </c>
      <c r="J614" s="156" t="s">
        <v>108</v>
      </c>
      <c r="K614" s="155" t="s">
        <v>134</v>
      </c>
      <c r="L614" s="157">
        <v>8</v>
      </c>
      <c r="M614" s="157" t="s">
        <v>756</v>
      </c>
      <c r="N614" s="155" t="s">
        <v>99</v>
      </c>
      <c r="O614" s="152"/>
      <c r="P614" s="158"/>
      <c r="Q614" s="151"/>
      <c r="R614" s="151"/>
      <c r="S614" s="151"/>
      <c r="T614" s="151"/>
      <c r="U614" s="151"/>
      <c r="V614" s="151"/>
      <c r="W614" s="151"/>
    </row>
    <row r="615" s="40" customFormat="1" ht="15.75" spans="1:23">
      <c r="A615" s="151" t="s">
        <v>795</v>
      </c>
      <c r="B615" s="152" t="s">
        <v>796</v>
      </c>
      <c r="C615" s="152" t="s">
        <v>83</v>
      </c>
      <c r="D615" s="153" t="s">
        <v>102</v>
      </c>
      <c r="E615" s="153" t="s">
        <v>103</v>
      </c>
      <c r="F615" s="154" t="s">
        <v>797</v>
      </c>
      <c r="G615" s="154" t="s">
        <v>798</v>
      </c>
      <c r="H615" s="155" t="s">
        <v>85</v>
      </c>
      <c r="I615" s="155" t="s">
        <v>209</v>
      </c>
      <c r="J615" s="156" t="s">
        <v>108</v>
      </c>
      <c r="K615" s="155" t="s">
        <v>93</v>
      </c>
      <c r="L615" s="157">
        <v>12</v>
      </c>
      <c r="M615" s="157"/>
      <c r="N615" s="155" t="s">
        <v>99</v>
      </c>
      <c r="O615" s="152" t="s">
        <v>39</v>
      </c>
      <c r="P615" s="158" t="s">
        <v>143</v>
      </c>
      <c r="Q615" s="151" t="s">
        <v>112</v>
      </c>
      <c r="R615" s="151" t="s">
        <v>113</v>
      </c>
      <c r="S615" s="151" t="s">
        <v>753</v>
      </c>
      <c r="T615" s="151" t="s">
        <v>41</v>
      </c>
      <c r="U615" s="151" t="s">
        <v>754</v>
      </c>
      <c r="V615" s="151" t="s">
        <v>116</v>
      </c>
      <c r="W615" s="151" t="s">
        <v>117</v>
      </c>
    </row>
    <row r="616" s="40" customFormat="1" customHeight="1" spans="1:23">
      <c r="A616" s="151"/>
      <c r="B616" s="152"/>
      <c r="C616" s="152"/>
      <c r="D616" s="152"/>
      <c r="E616" s="152"/>
      <c r="F616" s="154"/>
      <c r="G616" s="154"/>
      <c r="H616" s="155"/>
      <c r="I616" s="155" t="s">
        <v>86</v>
      </c>
      <c r="J616" s="156" t="s">
        <v>87</v>
      </c>
      <c r="K616" s="155" t="s">
        <v>93</v>
      </c>
      <c r="L616" s="157">
        <v>2</v>
      </c>
      <c r="M616" s="157" t="s">
        <v>89</v>
      </c>
      <c r="N616" s="155" t="s">
        <v>110</v>
      </c>
      <c r="O616" s="152"/>
      <c r="P616" s="158"/>
      <c r="Q616" s="151"/>
      <c r="R616" s="151"/>
      <c r="S616" s="151"/>
      <c r="T616" s="151"/>
      <c r="U616" s="151"/>
      <c r="V616" s="151"/>
      <c r="W616" s="151"/>
    </row>
    <row r="617" s="40" customFormat="1" customHeight="1" spans="1:23">
      <c r="A617" s="151"/>
      <c r="B617" s="152"/>
      <c r="C617" s="152"/>
      <c r="D617" s="152"/>
      <c r="E617" s="152"/>
      <c r="F617" s="154"/>
      <c r="G617" s="154"/>
      <c r="H617" s="155"/>
      <c r="I617" s="155" t="s">
        <v>267</v>
      </c>
      <c r="J617" s="156" t="s">
        <v>87</v>
      </c>
      <c r="K617" s="155" t="s">
        <v>93</v>
      </c>
      <c r="L617" s="157">
        <v>4.5</v>
      </c>
      <c r="M617" s="157" t="s">
        <v>89</v>
      </c>
      <c r="N617" s="155" t="s">
        <v>110</v>
      </c>
      <c r="O617" s="152"/>
      <c r="P617" s="158"/>
      <c r="Q617" s="151"/>
      <c r="R617" s="151"/>
      <c r="S617" s="151"/>
      <c r="T617" s="151"/>
      <c r="U617" s="151"/>
      <c r="V617" s="151"/>
      <c r="W617" s="151"/>
    </row>
    <row r="618" s="40" customFormat="1" ht="15.75" spans="1:23">
      <c r="A618" s="151"/>
      <c r="B618" s="152"/>
      <c r="C618" s="152"/>
      <c r="D618" s="152"/>
      <c r="E618" s="152"/>
      <c r="F618" s="154"/>
      <c r="G618" s="154"/>
      <c r="H618" s="155"/>
      <c r="I618" s="155" t="s">
        <v>192</v>
      </c>
      <c r="J618" s="156" t="s">
        <v>108</v>
      </c>
      <c r="K618" s="155" t="s">
        <v>93</v>
      </c>
      <c r="L618" s="157">
        <v>2</v>
      </c>
      <c r="M618" s="157"/>
      <c r="N618" s="155" t="s">
        <v>99</v>
      </c>
      <c r="O618" s="152"/>
      <c r="P618" s="158"/>
      <c r="Q618" s="151"/>
      <c r="R618" s="151"/>
      <c r="S618" s="151"/>
      <c r="T618" s="151"/>
      <c r="U618" s="151"/>
      <c r="V618" s="151"/>
      <c r="W618" s="151"/>
    </row>
    <row r="619" s="40" customFormat="1" customHeight="1" spans="1:23">
      <c r="A619" s="151"/>
      <c r="B619" s="152"/>
      <c r="C619" s="152"/>
      <c r="D619" s="152"/>
      <c r="E619" s="152"/>
      <c r="F619" s="154"/>
      <c r="G619" s="154"/>
      <c r="H619" s="159" t="s">
        <v>132</v>
      </c>
      <c r="I619" s="155" t="s">
        <v>133</v>
      </c>
      <c r="J619" s="156" t="s">
        <v>87</v>
      </c>
      <c r="K619" s="155" t="s">
        <v>134</v>
      </c>
      <c r="L619" s="157">
        <v>10</v>
      </c>
      <c r="M619" s="157"/>
      <c r="N619" s="155" t="s">
        <v>99</v>
      </c>
      <c r="O619" s="152"/>
      <c r="P619" s="158"/>
      <c r="Q619" s="151"/>
      <c r="R619" s="151"/>
      <c r="S619" s="151"/>
      <c r="T619" s="151"/>
      <c r="U619" s="151"/>
      <c r="V619" s="151"/>
      <c r="W619" s="151"/>
    </row>
    <row r="620" s="40" customFormat="1" customHeight="1" spans="1:23">
      <c r="A620" s="151"/>
      <c r="B620" s="152"/>
      <c r="C620" s="152"/>
      <c r="D620" s="152"/>
      <c r="E620" s="152"/>
      <c r="F620" s="154"/>
      <c r="G620" s="154"/>
      <c r="H620" s="160"/>
      <c r="I620" s="155" t="s">
        <v>755</v>
      </c>
      <c r="J620" s="156" t="s">
        <v>87</v>
      </c>
      <c r="K620" s="155" t="s">
        <v>134</v>
      </c>
      <c r="L620" s="157">
        <v>3</v>
      </c>
      <c r="M620" s="157"/>
      <c r="N620" s="155" t="s">
        <v>99</v>
      </c>
      <c r="O620" s="152"/>
      <c r="P620" s="158"/>
      <c r="Q620" s="151"/>
      <c r="R620" s="151"/>
      <c r="S620" s="151"/>
      <c r="T620" s="151"/>
      <c r="U620" s="151"/>
      <c r="V620" s="151"/>
      <c r="W620" s="151"/>
    </row>
    <row r="621" s="40" customFormat="1" customHeight="1" spans="1:23">
      <c r="A621" s="151"/>
      <c r="B621" s="152"/>
      <c r="C621" s="152"/>
      <c r="D621" s="152"/>
      <c r="E621" s="152"/>
      <c r="F621" s="154"/>
      <c r="G621" s="154"/>
      <c r="H621" s="155" t="s">
        <v>91</v>
      </c>
      <c r="I621" s="155" t="s">
        <v>92</v>
      </c>
      <c r="J621" s="156" t="s">
        <v>87</v>
      </c>
      <c r="K621" s="155" t="s">
        <v>93</v>
      </c>
      <c r="L621" s="157">
        <v>10</v>
      </c>
      <c r="M621" s="157" t="s">
        <v>756</v>
      </c>
      <c r="N621" s="155" t="s">
        <v>99</v>
      </c>
      <c r="O621" s="152"/>
      <c r="P621" s="158"/>
      <c r="Q621" s="151"/>
      <c r="R621" s="151"/>
      <c r="S621" s="151"/>
      <c r="T621" s="151"/>
      <c r="U621" s="151"/>
      <c r="V621" s="151"/>
      <c r="W621" s="151"/>
    </row>
    <row r="622" s="40" customFormat="1" ht="15.75" spans="1:23">
      <c r="A622" s="151"/>
      <c r="B622" s="152"/>
      <c r="C622" s="152"/>
      <c r="D622" s="152"/>
      <c r="E622" s="152"/>
      <c r="F622" s="154"/>
      <c r="G622" s="154"/>
      <c r="H622" s="155"/>
      <c r="I622" s="155" t="s">
        <v>475</v>
      </c>
      <c r="J622" s="156" t="s">
        <v>108</v>
      </c>
      <c r="K622" s="155" t="s">
        <v>93</v>
      </c>
      <c r="L622" s="157">
        <v>4</v>
      </c>
      <c r="M622" s="157" t="s">
        <v>757</v>
      </c>
      <c r="N622" s="155" t="s">
        <v>99</v>
      </c>
      <c r="O622" s="152"/>
      <c r="P622" s="158"/>
      <c r="Q622" s="151"/>
      <c r="R622" s="151"/>
      <c r="S622" s="151"/>
      <c r="T622" s="151"/>
      <c r="U622" s="151"/>
      <c r="V622" s="151"/>
      <c r="W622" s="151"/>
    </row>
    <row r="623" s="40" customFormat="1" ht="15.75" spans="1:23">
      <c r="A623" s="151"/>
      <c r="B623" s="152"/>
      <c r="C623" s="152"/>
      <c r="D623" s="152"/>
      <c r="E623" s="152"/>
      <c r="F623" s="154"/>
      <c r="G623" s="154"/>
      <c r="H623" s="155" t="s">
        <v>106</v>
      </c>
      <c r="I623" s="155" t="s">
        <v>283</v>
      </c>
      <c r="J623" s="156" t="s">
        <v>108</v>
      </c>
      <c r="K623" s="155" t="s">
        <v>134</v>
      </c>
      <c r="L623" s="157">
        <v>5.5</v>
      </c>
      <c r="M623" s="157"/>
      <c r="N623" s="155" t="s">
        <v>99</v>
      </c>
      <c r="O623" s="152"/>
      <c r="P623" s="158"/>
      <c r="Q623" s="151"/>
      <c r="R623" s="151"/>
      <c r="S623" s="151"/>
      <c r="T623" s="151"/>
      <c r="U623" s="151"/>
      <c r="V623" s="151"/>
      <c r="W623" s="151"/>
    </row>
    <row r="624" s="40" customFormat="1" customHeight="1" spans="1:23">
      <c r="A624" s="151"/>
      <c r="B624" s="152"/>
      <c r="C624" s="152"/>
      <c r="D624" s="152"/>
      <c r="E624" s="152"/>
      <c r="F624" s="154"/>
      <c r="G624" s="154"/>
      <c r="H624" s="155"/>
      <c r="I624" s="155" t="s">
        <v>249</v>
      </c>
      <c r="J624" s="155" t="s">
        <v>87</v>
      </c>
      <c r="K624" s="155" t="s">
        <v>134</v>
      </c>
      <c r="L624" s="157">
        <v>1</v>
      </c>
      <c r="M624" s="157"/>
      <c r="N624" s="155" t="s">
        <v>99</v>
      </c>
      <c r="O624" s="152"/>
      <c r="P624" s="158"/>
      <c r="Q624" s="151"/>
      <c r="R624" s="151"/>
      <c r="S624" s="151"/>
      <c r="T624" s="151"/>
      <c r="U624" s="151"/>
      <c r="V624" s="151"/>
      <c r="W624" s="151"/>
    </row>
    <row r="625" s="40" customFormat="1" ht="15.75" spans="1:23">
      <c r="A625" s="151"/>
      <c r="B625" s="152"/>
      <c r="C625" s="152"/>
      <c r="D625" s="152"/>
      <c r="E625" s="152"/>
      <c r="F625" s="154"/>
      <c r="G625" s="154"/>
      <c r="H625" s="155" t="s">
        <v>141</v>
      </c>
      <c r="I625" s="155" t="s">
        <v>457</v>
      </c>
      <c r="J625" s="156" t="s">
        <v>108</v>
      </c>
      <c r="K625" s="155" t="s">
        <v>134</v>
      </c>
      <c r="L625" s="157">
        <v>25</v>
      </c>
      <c r="M625" s="157" t="s">
        <v>756</v>
      </c>
      <c r="N625" s="155" t="s">
        <v>99</v>
      </c>
      <c r="O625" s="152"/>
      <c r="P625" s="158"/>
      <c r="Q625" s="151"/>
      <c r="R625" s="151"/>
      <c r="S625" s="151"/>
      <c r="T625" s="151"/>
      <c r="U625" s="151"/>
      <c r="V625" s="151"/>
      <c r="W625" s="151"/>
    </row>
    <row r="626" s="40" customFormat="1" ht="15.75" spans="1:23">
      <c r="A626" s="151"/>
      <c r="B626" s="152"/>
      <c r="C626" s="152"/>
      <c r="D626" s="152"/>
      <c r="E626" s="152"/>
      <c r="F626" s="154"/>
      <c r="G626" s="154"/>
      <c r="H626" s="155"/>
      <c r="I626" s="155" t="s">
        <v>759</v>
      </c>
      <c r="J626" s="156" t="s">
        <v>108</v>
      </c>
      <c r="K626" s="155" t="s">
        <v>93</v>
      </c>
      <c r="L626" s="157">
        <v>20</v>
      </c>
      <c r="M626" s="157" t="s">
        <v>760</v>
      </c>
      <c r="N626" s="155" t="s">
        <v>99</v>
      </c>
      <c r="O626" s="152"/>
      <c r="P626" s="158"/>
      <c r="Q626" s="151"/>
      <c r="R626" s="151"/>
      <c r="S626" s="151"/>
      <c r="T626" s="151"/>
      <c r="U626" s="151"/>
      <c r="V626" s="151"/>
      <c r="W626" s="151"/>
    </row>
    <row r="627" s="40" customFormat="1" ht="15.75" spans="1:23">
      <c r="A627" s="151"/>
      <c r="B627" s="152"/>
      <c r="C627" s="152"/>
      <c r="D627" s="152"/>
      <c r="E627" s="152"/>
      <c r="F627" s="154"/>
      <c r="G627" s="154"/>
      <c r="H627" s="155"/>
      <c r="I627" s="155" t="s">
        <v>150</v>
      </c>
      <c r="J627" s="156" t="s">
        <v>108</v>
      </c>
      <c r="K627" s="155" t="s">
        <v>93</v>
      </c>
      <c r="L627" s="157">
        <v>35</v>
      </c>
      <c r="M627" s="157"/>
      <c r="N627" s="155" t="s">
        <v>99</v>
      </c>
      <c r="O627" s="152"/>
      <c r="P627" s="158"/>
      <c r="Q627" s="151"/>
      <c r="R627" s="151"/>
      <c r="S627" s="151"/>
      <c r="T627" s="151"/>
      <c r="U627" s="151"/>
      <c r="V627" s="151"/>
      <c r="W627" s="151"/>
    </row>
    <row r="628" s="40" customFormat="1" ht="15.75" spans="1:23">
      <c r="A628" s="151"/>
      <c r="B628" s="152"/>
      <c r="C628" s="152"/>
      <c r="D628" s="152"/>
      <c r="E628" s="152"/>
      <c r="F628" s="154"/>
      <c r="G628" s="154"/>
      <c r="H628" s="155"/>
      <c r="I628" s="155" t="s">
        <v>761</v>
      </c>
      <c r="J628" s="156" t="s">
        <v>108</v>
      </c>
      <c r="K628" s="155" t="s">
        <v>93</v>
      </c>
      <c r="L628" s="157">
        <v>40</v>
      </c>
      <c r="M628" s="157" t="s">
        <v>756</v>
      </c>
      <c r="N628" s="155" t="s">
        <v>99</v>
      </c>
      <c r="O628" s="152"/>
      <c r="P628" s="158"/>
      <c r="Q628" s="151"/>
      <c r="R628" s="151"/>
      <c r="S628" s="151"/>
      <c r="T628" s="151"/>
      <c r="U628" s="151"/>
      <c r="V628" s="151"/>
      <c r="W628" s="151"/>
    </row>
    <row r="629" s="40" customFormat="1" ht="15.75" spans="1:23">
      <c r="A629" s="151"/>
      <c r="B629" s="152"/>
      <c r="C629" s="152"/>
      <c r="D629" s="152"/>
      <c r="E629" s="152"/>
      <c r="F629" s="154"/>
      <c r="G629" s="154"/>
      <c r="H629" s="155"/>
      <c r="I629" s="155" t="s">
        <v>479</v>
      </c>
      <c r="J629" s="156" t="s">
        <v>97</v>
      </c>
      <c r="K629" s="155" t="s">
        <v>134</v>
      </c>
      <c r="L629" s="157" t="s">
        <v>762</v>
      </c>
      <c r="M629" s="157"/>
      <c r="N629" s="155" t="s">
        <v>99</v>
      </c>
      <c r="O629" s="152"/>
      <c r="P629" s="158"/>
      <c r="Q629" s="151"/>
      <c r="R629" s="151"/>
      <c r="S629" s="151"/>
      <c r="T629" s="151"/>
      <c r="U629" s="151"/>
      <c r="V629" s="151"/>
      <c r="W629" s="151"/>
    </row>
    <row r="630" s="40" customFormat="1" ht="15.75" spans="1:23">
      <c r="A630" s="151"/>
      <c r="B630" s="152"/>
      <c r="C630" s="152"/>
      <c r="D630" s="152"/>
      <c r="E630" s="152"/>
      <c r="F630" s="154"/>
      <c r="G630" s="154"/>
      <c r="H630" s="155"/>
      <c r="I630" s="155" t="s">
        <v>142</v>
      </c>
      <c r="J630" s="156" t="s">
        <v>97</v>
      </c>
      <c r="K630" s="155" t="s">
        <v>93</v>
      </c>
      <c r="L630" s="157">
        <v>20</v>
      </c>
      <c r="M630" s="157"/>
      <c r="N630" s="155" t="s">
        <v>99</v>
      </c>
      <c r="O630" s="152"/>
      <c r="P630" s="158"/>
      <c r="Q630" s="151"/>
      <c r="R630" s="151"/>
      <c r="S630" s="151"/>
      <c r="T630" s="151"/>
      <c r="U630" s="151"/>
      <c r="V630" s="151"/>
      <c r="W630" s="151"/>
    </row>
    <row r="631" s="40" customFormat="1" ht="15.75" spans="1:23">
      <c r="A631" s="151"/>
      <c r="B631" s="152"/>
      <c r="C631" s="152"/>
      <c r="D631" s="152"/>
      <c r="E631" s="152"/>
      <c r="F631" s="154"/>
      <c r="G631" s="154"/>
      <c r="H631" s="155"/>
      <c r="I631" s="155" t="s">
        <v>763</v>
      </c>
      <c r="J631" s="156" t="s">
        <v>108</v>
      </c>
      <c r="K631" s="155" t="s">
        <v>134</v>
      </c>
      <c r="L631" s="157">
        <v>8</v>
      </c>
      <c r="M631" s="157" t="s">
        <v>756</v>
      </c>
      <c r="N631" s="155" t="s">
        <v>99</v>
      </c>
      <c r="O631" s="152"/>
      <c r="P631" s="158"/>
      <c r="Q631" s="151"/>
      <c r="R631" s="151"/>
      <c r="S631" s="151"/>
      <c r="T631" s="151"/>
      <c r="U631" s="151"/>
      <c r="V631" s="151"/>
      <c r="W631" s="151"/>
    </row>
    <row r="632" s="40" customFormat="1" ht="15.75" spans="1:23">
      <c r="A632" s="151" t="s">
        <v>799</v>
      </c>
      <c r="B632" s="152" t="s">
        <v>800</v>
      </c>
      <c r="C632" s="152" t="s">
        <v>173</v>
      </c>
      <c r="D632" s="153" t="s">
        <v>102</v>
      </c>
      <c r="E632" s="153" t="s">
        <v>103</v>
      </c>
      <c r="F632" s="154" t="s">
        <v>801</v>
      </c>
      <c r="G632" s="154" t="s">
        <v>802</v>
      </c>
      <c r="H632" s="155" t="s">
        <v>85</v>
      </c>
      <c r="I632" s="155" t="s">
        <v>209</v>
      </c>
      <c r="J632" s="156" t="s">
        <v>108</v>
      </c>
      <c r="K632" s="155" t="s">
        <v>93</v>
      </c>
      <c r="L632" s="157">
        <v>12</v>
      </c>
      <c r="M632" s="157"/>
      <c r="N632" s="155" t="s">
        <v>99</v>
      </c>
      <c r="O632" s="152" t="s">
        <v>39</v>
      </c>
      <c r="P632" s="158" t="s">
        <v>143</v>
      </c>
      <c r="Q632" s="151" t="s">
        <v>112</v>
      </c>
      <c r="R632" s="151" t="s">
        <v>113</v>
      </c>
      <c r="S632" s="151" t="s">
        <v>753</v>
      </c>
      <c r="T632" s="151" t="s">
        <v>41</v>
      </c>
      <c r="U632" s="151" t="s">
        <v>754</v>
      </c>
      <c r="V632" s="151" t="s">
        <v>116</v>
      </c>
      <c r="W632" s="151" t="s">
        <v>117</v>
      </c>
    </row>
    <row r="633" s="40" customFormat="1" customHeight="1" spans="1:23">
      <c r="A633" s="151"/>
      <c r="B633" s="152"/>
      <c r="C633" s="152"/>
      <c r="D633" s="152"/>
      <c r="E633" s="152"/>
      <c r="F633" s="154"/>
      <c r="G633" s="154"/>
      <c r="H633" s="155"/>
      <c r="I633" s="155" t="s">
        <v>86</v>
      </c>
      <c r="J633" s="156" t="s">
        <v>87</v>
      </c>
      <c r="K633" s="155" t="s">
        <v>93</v>
      </c>
      <c r="L633" s="157">
        <v>2</v>
      </c>
      <c r="M633" s="157" t="s">
        <v>89</v>
      </c>
      <c r="N633" s="155" t="s">
        <v>110</v>
      </c>
      <c r="O633" s="152"/>
      <c r="P633" s="158"/>
      <c r="Q633" s="151"/>
      <c r="R633" s="151"/>
      <c r="S633" s="151"/>
      <c r="T633" s="151"/>
      <c r="U633" s="151"/>
      <c r="V633" s="151"/>
      <c r="W633" s="151"/>
    </row>
    <row r="634" s="40" customFormat="1" customHeight="1" spans="1:23">
      <c r="A634" s="151"/>
      <c r="B634" s="152"/>
      <c r="C634" s="152"/>
      <c r="D634" s="152"/>
      <c r="E634" s="152"/>
      <c r="F634" s="154"/>
      <c r="G634" s="154"/>
      <c r="H634" s="155"/>
      <c r="I634" s="155" t="s">
        <v>267</v>
      </c>
      <c r="J634" s="156" t="s">
        <v>87</v>
      </c>
      <c r="K634" s="155" t="s">
        <v>93</v>
      </c>
      <c r="L634" s="157">
        <v>4.5</v>
      </c>
      <c r="M634" s="157" t="s">
        <v>89</v>
      </c>
      <c r="N634" s="155" t="s">
        <v>110</v>
      </c>
      <c r="O634" s="152"/>
      <c r="P634" s="158"/>
      <c r="Q634" s="151"/>
      <c r="R634" s="151"/>
      <c r="S634" s="151"/>
      <c r="T634" s="151"/>
      <c r="U634" s="151"/>
      <c r="V634" s="151"/>
      <c r="W634" s="151"/>
    </row>
    <row r="635" s="40" customFormat="1" ht="15.75" spans="1:23">
      <c r="A635" s="151"/>
      <c r="B635" s="152"/>
      <c r="C635" s="152"/>
      <c r="D635" s="152"/>
      <c r="E635" s="152"/>
      <c r="F635" s="154"/>
      <c r="G635" s="154"/>
      <c r="H635" s="155"/>
      <c r="I635" s="155" t="s">
        <v>192</v>
      </c>
      <c r="J635" s="156" t="s">
        <v>108</v>
      </c>
      <c r="K635" s="155" t="s">
        <v>93</v>
      </c>
      <c r="L635" s="157">
        <v>2</v>
      </c>
      <c r="M635" s="157"/>
      <c r="N635" s="155" t="s">
        <v>99</v>
      </c>
      <c r="O635" s="152"/>
      <c r="P635" s="158"/>
      <c r="Q635" s="151"/>
      <c r="R635" s="151"/>
      <c r="S635" s="151"/>
      <c r="T635" s="151"/>
      <c r="U635" s="151"/>
      <c r="V635" s="151"/>
      <c r="W635" s="151"/>
    </row>
    <row r="636" s="40" customFormat="1" customHeight="1" spans="1:23">
      <c r="A636" s="151"/>
      <c r="B636" s="152"/>
      <c r="C636" s="152"/>
      <c r="D636" s="152"/>
      <c r="E636" s="152"/>
      <c r="F636" s="154"/>
      <c r="G636" s="154"/>
      <c r="H636" s="159" t="s">
        <v>132</v>
      </c>
      <c r="I636" s="155" t="s">
        <v>133</v>
      </c>
      <c r="J636" s="156" t="s">
        <v>87</v>
      </c>
      <c r="K636" s="155" t="s">
        <v>134</v>
      </c>
      <c r="L636" s="157">
        <v>10</v>
      </c>
      <c r="M636" s="157"/>
      <c r="N636" s="155" t="s">
        <v>99</v>
      </c>
      <c r="O636" s="152"/>
      <c r="P636" s="158"/>
      <c r="Q636" s="151"/>
      <c r="R636" s="151"/>
      <c r="S636" s="151"/>
      <c r="T636" s="151"/>
      <c r="U636" s="151"/>
      <c r="V636" s="151"/>
      <c r="W636" s="151"/>
    </row>
    <row r="637" s="40" customFormat="1" customHeight="1" spans="1:23">
      <c r="A637" s="151"/>
      <c r="B637" s="152"/>
      <c r="C637" s="152"/>
      <c r="D637" s="152"/>
      <c r="E637" s="152"/>
      <c r="F637" s="154"/>
      <c r="G637" s="154"/>
      <c r="H637" s="160"/>
      <c r="I637" s="155" t="s">
        <v>755</v>
      </c>
      <c r="J637" s="156" t="s">
        <v>87</v>
      </c>
      <c r="K637" s="155" t="s">
        <v>134</v>
      </c>
      <c r="L637" s="157">
        <v>3</v>
      </c>
      <c r="M637" s="157"/>
      <c r="N637" s="155" t="s">
        <v>99</v>
      </c>
      <c r="O637" s="152"/>
      <c r="P637" s="158"/>
      <c r="Q637" s="151"/>
      <c r="R637" s="151"/>
      <c r="S637" s="151"/>
      <c r="T637" s="151"/>
      <c r="U637" s="151"/>
      <c r="V637" s="151"/>
      <c r="W637" s="151"/>
    </row>
    <row r="638" s="40" customFormat="1" customHeight="1" spans="1:23">
      <c r="A638" s="151"/>
      <c r="B638" s="152"/>
      <c r="C638" s="152"/>
      <c r="D638" s="152"/>
      <c r="E638" s="152"/>
      <c r="F638" s="154"/>
      <c r="G638" s="154"/>
      <c r="H638" s="155" t="s">
        <v>91</v>
      </c>
      <c r="I638" s="155" t="s">
        <v>92</v>
      </c>
      <c r="J638" s="156" t="s">
        <v>87</v>
      </c>
      <c r="K638" s="155" t="s">
        <v>93</v>
      </c>
      <c r="L638" s="157">
        <v>10</v>
      </c>
      <c r="M638" s="157" t="s">
        <v>756</v>
      </c>
      <c r="N638" s="155" t="s">
        <v>99</v>
      </c>
      <c r="O638" s="152"/>
      <c r="P638" s="158"/>
      <c r="Q638" s="151"/>
      <c r="R638" s="151"/>
      <c r="S638" s="151"/>
      <c r="T638" s="151"/>
      <c r="U638" s="151"/>
      <c r="V638" s="151"/>
      <c r="W638" s="151"/>
    </row>
    <row r="639" s="40" customFormat="1" ht="15.75" spans="1:23">
      <c r="A639" s="151"/>
      <c r="B639" s="152"/>
      <c r="C639" s="152"/>
      <c r="D639" s="152"/>
      <c r="E639" s="152"/>
      <c r="F639" s="154"/>
      <c r="G639" s="154"/>
      <c r="H639" s="155"/>
      <c r="I639" s="155" t="s">
        <v>475</v>
      </c>
      <c r="J639" s="156" t="s">
        <v>108</v>
      </c>
      <c r="K639" s="155" t="s">
        <v>93</v>
      </c>
      <c r="L639" s="157">
        <v>4</v>
      </c>
      <c r="M639" s="157" t="s">
        <v>757</v>
      </c>
      <c r="N639" s="155" t="s">
        <v>99</v>
      </c>
      <c r="O639" s="152"/>
      <c r="P639" s="158"/>
      <c r="Q639" s="151"/>
      <c r="R639" s="151"/>
      <c r="S639" s="151"/>
      <c r="T639" s="151"/>
      <c r="U639" s="151"/>
      <c r="V639" s="151"/>
      <c r="W639" s="151"/>
    </row>
    <row r="640" s="40" customFormat="1" ht="15.75" spans="1:23">
      <c r="A640" s="151"/>
      <c r="B640" s="152"/>
      <c r="C640" s="152"/>
      <c r="D640" s="152"/>
      <c r="E640" s="152"/>
      <c r="F640" s="154"/>
      <c r="G640" s="154"/>
      <c r="H640" s="155" t="s">
        <v>106</v>
      </c>
      <c r="I640" s="155" t="s">
        <v>283</v>
      </c>
      <c r="J640" s="156" t="s">
        <v>108</v>
      </c>
      <c r="K640" s="155" t="s">
        <v>134</v>
      </c>
      <c r="L640" s="157">
        <v>5.5</v>
      </c>
      <c r="M640" s="157"/>
      <c r="N640" s="155" t="s">
        <v>99</v>
      </c>
      <c r="O640" s="152"/>
      <c r="P640" s="158"/>
      <c r="Q640" s="151"/>
      <c r="R640" s="151"/>
      <c r="S640" s="151"/>
      <c r="T640" s="151"/>
      <c r="U640" s="151"/>
      <c r="V640" s="151"/>
      <c r="W640" s="151"/>
    </row>
    <row r="641" s="40" customFormat="1" customHeight="1" spans="1:23">
      <c r="A641" s="151"/>
      <c r="B641" s="152"/>
      <c r="C641" s="152"/>
      <c r="D641" s="152"/>
      <c r="E641" s="152"/>
      <c r="F641" s="154"/>
      <c r="G641" s="154"/>
      <c r="H641" s="155"/>
      <c r="I641" s="155" t="s">
        <v>249</v>
      </c>
      <c r="J641" s="155" t="s">
        <v>87</v>
      </c>
      <c r="K641" s="155" t="s">
        <v>134</v>
      </c>
      <c r="L641" s="157">
        <v>1</v>
      </c>
      <c r="M641" s="157"/>
      <c r="N641" s="155" t="s">
        <v>99</v>
      </c>
      <c r="O641" s="152"/>
      <c r="P641" s="158"/>
      <c r="Q641" s="151"/>
      <c r="R641" s="151"/>
      <c r="S641" s="151"/>
      <c r="T641" s="151"/>
      <c r="U641" s="151"/>
      <c r="V641" s="151"/>
      <c r="W641" s="151"/>
    </row>
    <row r="642" s="40" customFormat="1" ht="15.75" spans="1:23">
      <c r="A642" s="151"/>
      <c r="B642" s="152"/>
      <c r="C642" s="152"/>
      <c r="D642" s="152"/>
      <c r="E642" s="152"/>
      <c r="F642" s="154"/>
      <c r="G642" s="154"/>
      <c r="H642" s="155" t="s">
        <v>141</v>
      </c>
      <c r="I642" s="155" t="s">
        <v>457</v>
      </c>
      <c r="J642" s="156" t="s">
        <v>108</v>
      </c>
      <c r="K642" s="155" t="s">
        <v>134</v>
      </c>
      <c r="L642" s="157">
        <v>15</v>
      </c>
      <c r="M642" s="157" t="s">
        <v>756</v>
      </c>
      <c r="N642" s="155" t="s">
        <v>99</v>
      </c>
      <c r="O642" s="152"/>
      <c r="P642" s="158"/>
      <c r="Q642" s="151"/>
      <c r="R642" s="151"/>
      <c r="S642" s="151"/>
      <c r="T642" s="151"/>
      <c r="U642" s="151"/>
      <c r="V642" s="151"/>
      <c r="W642" s="151"/>
    </row>
    <row r="643" s="40" customFormat="1" ht="15.75" spans="1:23">
      <c r="A643" s="151"/>
      <c r="B643" s="152"/>
      <c r="C643" s="152"/>
      <c r="D643" s="152"/>
      <c r="E643" s="152"/>
      <c r="F643" s="154"/>
      <c r="G643" s="154"/>
      <c r="H643" s="155"/>
      <c r="I643" s="155" t="s">
        <v>759</v>
      </c>
      <c r="J643" s="156" t="s">
        <v>108</v>
      </c>
      <c r="K643" s="155" t="s">
        <v>93</v>
      </c>
      <c r="L643" s="157">
        <v>20</v>
      </c>
      <c r="M643" s="157" t="s">
        <v>760</v>
      </c>
      <c r="N643" s="155" t="s">
        <v>99</v>
      </c>
      <c r="O643" s="152"/>
      <c r="P643" s="158"/>
      <c r="Q643" s="151"/>
      <c r="R643" s="151"/>
      <c r="S643" s="151"/>
      <c r="T643" s="151"/>
      <c r="U643" s="151"/>
      <c r="V643" s="151"/>
      <c r="W643" s="151"/>
    </row>
    <row r="644" s="40" customFormat="1" ht="15.75" spans="1:23">
      <c r="A644" s="151"/>
      <c r="B644" s="152"/>
      <c r="C644" s="152"/>
      <c r="D644" s="152"/>
      <c r="E644" s="152"/>
      <c r="F644" s="154"/>
      <c r="G644" s="154"/>
      <c r="H644" s="155"/>
      <c r="I644" s="155" t="s">
        <v>150</v>
      </c>
      <c r="J644" s="156" t="s">
        <v>108</v>
      </c>
      <c r="K644" s="155" t="s">
        <v>93</v>
      </c>
      <c r="L644" s="157">
        <v>35</v>
      </c>
      <c r="M644" s="157"/>
      <c r="N644" s="155" t="s">
        <v>99</v>
      </c>
      <c r="O644" s="152"/>
      <c r="P644" s="158"/>
      <c r="Q644" s="151"/>
      <c r="R644" s="151"/>
      <c r="S644" s="151"/>
      <c r="T644" s="151"/>
      <c r="U644" s="151"/>
      <c r="V644" s="151"/>
      <c r="W644" s="151"/>
    </row>
    <row r="645" s="40" customFormat="1" ht="15.75" spans="1:23">
      <c r="A645" s="151"/>
      <c r="B645" s="152"/>
      <c r="C645" s="152"/>
      <c r="D645" s="152"/>
      <c r="E645" s="152"/>
      <c r="F645" s="154"/>
      <c r="G645" s="154"/>
      <c r="H645" s="155"/>
      <c r="I645" s="155" t="s">
        <v>761</v>
      </c>
      <c r="J645" s="156" t="s">
        <v>108</v>
      </c>
      <c r="K645" s="155" t="s">
        <v>93</v>
      </c>
      <c r="L645" s="157">
        <v>40</v>
      </c>
      <c r="M645" s="157" t="s">
        <v>756</v>
      </c>
      <c r="N645" s="155" t="s">
        <v>99</v>
      </c>
      <c r="O645" s="152"/>
      <c r="P645" s="158"/>
      <c r="Q645" s="151"/>
      <c r="R645" s="151"/>
      <c r="S645" s="151"/>
      <c r="T645" s="151"/>
      <c r="U645" s="151"/>
      <c r="V645" s="151"/>
      <c r="W645" s="151"/>
    </row>
    <row r="646" s="40" customFormat="1" ht="15.75" spans="1:23">
      <c r="A646" s="151"/>
      <c r="B646" s="152"/>
      <c r="C646" s="152"/>
      <c r="D646" s="152"/>
      <c r="E646" s="152"/>
      <c r="F646" s="154"/>
      <c r="G646" s="154"/>
      <c r="H646" s="155"/>
      <c r="I646" s="155" t="s">
        <v>479</v>
      </c>
      <c r="J646" s="156" t="s">
        <v>97</v>
      </c>
      <c r="K646" s="155" t="s">
        <v>134</v>
      </c>
      <c r="L646" s="157" t="s">
        <v>762</v>
      </c>
      <c r="M646" s="157"/>
      <c r="N646" s="155" t="s">
        <v>99</v>
      </c>
      <c r="O646" s="152"/>
      <c r="P646" s="158"/>
      <c r="Q646" s="151"/>
      <c r="R646" s="151"/>
      <c r="S646" s="151"/>
      <c r="T646" s="151"/>
      <c r="U646" s="151"/>
      <c r="V646" s="151"/>
      <c r="W646" s="151"/>
    </row>
    <row r="647" s="40" customFormat="1" ht="15.75" spans="1:23">
      <c r="A647" s="151"/>
      <c r="B647" s="152"/>
      <c r="C647" s="152"/>
      <c r="D647" s="152"/>
      <c r="E647" s="152"/>
      <c r="F647" s="154"/>
      <c r="G647" s="154"/>
      <c r="H647" s="155"/>
      <c r="I647" s="155" t="s">
        <v>142</v>
      </c>
      <c r="J647" s="156" t="s">
        <v>97</v>
      </c>
      <c r="K647" s="155" t="s">
        <v>93</v>
      </c>
      <c r="L647" s="157">
        <v>20</v>
      </c>
      <c r="M647" s="157"/>
      <c r="N647" s="155" t="s">
        <v>99</v>
      </c>
      <c r="O647" s="152"/>
      <c r="P647" s="158"/>
      <c r="Q647" s="151"/>
      <c r="R647" s="151"/>
      <c r="S647" s="151"/>
      <c r="T647" s="151"/>
      <c r="U647" s="151"/>
      <c r="V647" s="151"/>
      <c r="W647" s="151"/>
    </row>
    <row r="648" s="40" customFormat="1" ht="15.75" spans="1:23">
      <c r="A648" s="151"/>
      <c r="B648" s="152"/>
      <c r="C648" s="152"/>
      <c r="D648" s="152"/>
      <c r="E648" s="152"/>
      <c r="F648" s="154"/>
      <c r="G648" s="154"/>
      <c r="H648" s="155"/>
      <c r="I648" s="155" t="s">
        <v>763</v>
      </c>
      <c r="J648" s="156" t="s">
        <v>108</v>
      </c>
      <c r="K648" s="155" t="s">
        <v>134</v>
      </c>
      <c r="L648" s="157">
        <v>8</v>
      </c>
      <c r="M648" s="157" t="s">
        <v>756</v>
      </c>
      <c r="N648" s="155" t="s">
        <v>99</v>
      </c>
      <c r="O648" s="152"/>
      <c r="P648" s="158"/>
      <c r="Q648" s="151"/>
      <c r="R648" s="151"/>
      <c r="S648" s="151"/>
      <c r="T648" s="151"/>
      <c r="U648" s="151"/>
      <c r="V648" s="151"/>
      <c r="W648" s="151"/>
    </row>
    <row r="649" s="40" customFormat="1" ht="15.75" spans="1:23">
      <c r="A649" s="151" t="s">
        <v>803</v>
      </c>
      <c r="B649" s="152" t="s">
        <v>804</v>
      </c>
      <c r="C649" s="152" t="s">
        <v>83</v>
      </c>
      <c r="D649" s="153" t="s">
        <v>102</v>
      </c>
      <c r="E649" s="153" t="s">
        <v>103</v>
      </c>
      <c r="F649" s="154" t="s">
        <v>805</v>
      </c>
      <c r="G649" s="154" t="s">
        <v>806</v>
      </c>
      <c r="H649" s="155" t="s">
        <v>85</v>
      </c>
      <c r="I649" s="155" t="s">
        <v>209</v>
      </c>
      <c r="J649" s="156" t="s">
        <v>108</v>
      </c>
      <c r="K649" s="155" t="s">
        <v>93</v>
      </c>
      <c r="L649" s="157">
        <v>12</v>
      </c>
      <c r="M649" s="157"/>
      <c r="N649" s="155" t="s">
        <v>99</v>
      </c>
      <c r="O649" s="152" t="s">
        <v>39</v>
      </c>
      <c r="P649" s="158" t="s">
        <v>143</v>
      </c>
      <c r="Q649" s="151" t="s">
        <v>112</v>
      </c>
      <c r="R649" s="151" t="s">
        <v>113</v>
      </c>
      <c r="S649" s="151" t="s">
        <v>753</v>
      </c>
      <c r="T649" s="151" t="s">
        <v>41</v>
      </c>
      <c r="U649" s="151" t="s">
        <v>754</v>
      </c>
      <c r="V649" s="151" t="s">
        <v>116</v>
      </c>
      <c r="W649" s="151" t="s">
        <v>117</v>
      </c>
    </row>
    <row r="650" s="40" customFormat="1" customHeight="1" spans="1:23">
      <c r="A650" s="151"/>
      <c r="B650" s="152"/>
      <c r="C650" s="152"/>
      <c r="D650" s="152"/>
      <c r="E650" s="152"/>
      <c r="F650" s="154"/>
      <c r="G650" s="154"/>
      <c r="H650" s="155"/>
      <c r="I650" s="155" t="s">
        <v>86</v>
      </c>
      <c r="J650" s="156" t="s">
        <v>87</v>
      </c>
      <c r="K650" s="155" t="s">
        <v>93</v>
      </c>
      <c r="L650" s="157">
        <v>2</v>
      </c>
      <c r="M650" s="157" t="s">
        <v>89</v>
      </c>
      <c r="N650" s="155" t="s">
        <v>110</v>
      </c>
      <c r="O650" s="152"/>
      <c r="P650" s="158"/>
      <c r="Q650" s="151"/>
      <c r="R650" s="151"/>
      <c r="S650" s="151"/>
      <c r="T650" s="151"/>
      <c r="U650" s="151"/>
      <c r="V650" s="151"/>
      <c r="W650" s="151"/>
    </row>
    <row r="651" s="40" customFormat="1" customHeight="1" spans="1:23">
      <c r="A651" s="151"/>
      <c r="B651" s="152"/>
      <c r="C651" s="152"/>
      <c r="D651" s="152"/>
      <c r="E651" s="152"/>
      <c r="F651" s="154"/>
      <c r="G651" s="154"/>
      <c r="H651" s="155"/>
      <c r="I651" s="155" t="s">
        <v>267</v>
      </c>
      <c r="J651" s="156" t="s">
        <v>87</v>
      </c>
      <c r="K651" s="155" t="s">
        <v>93</v>
      </c>
      <c r="L651" s="157">
        <v>4.5</v>
      </c>
      <c r="M651" s="157" t="s">
        <v>89</v>
      </c>
      <c r="N651" s="155" t="s">
        <v>110</v>
      </c>
      <c r="O651" s="152"/>
      <c r="P651" s="158"/>
      <c r="Q651" s="151"/>
      <c r="R651" s="151"/>
      <c r="S651" s="151"/>
      <c r="T651" s="151"/>
      <c r="U651" s="151"/>
      <c r="V651" s="151"/>
      <c r="W651" s="151"/>
    </row>
    <row r="652" s="40" customFormat="1" ht="15.75" spans="1:23">
      <c r="A652" s="151"/>
      <c r="B652" s="152"/>
      <c r="C652" s="152"/>
      <c r="D652" s="152"/>
      <c r="E652" s="152"/>
      <c r="F652" s="154"/>
      <c r="G652" s="154"/>
      <c r="H652" s="155"/>
      <c r="I652" s="155" t="s">
        <v>192</v>
      </c>
      <c r="J652" s="156" t="s">
        <v>108</v>
      </c>
      <c r="K652" s="155" t="s">
        <v>93</v>
      </c>
      <c r="L652" s="157">
        <v>2</v>
      </c>
      <c r="M652" s="157"/>
      <c r="N652" s="155" t="s">
        <v>99</v>
      </c>
      <c r="O652" s="152"/>
      <c r="P652" s="158"/>
      <c r="Q652" s="151"/>
      <c r="R652" s="151"/>
      <c r="S652" s="151"/>
      <c r="T652" s="151"/>
      <c r="U652" s="151"/>
      <c r="V652" s="151"/>
      <c r="W652" s="151"/>
    </row>
    <row r="653" s="40" customFormat="1" customHeight="1" spans="1:23">
      <c r="A653" s="151"/>
      <c r="B653" s="152"/>
      <c r="C653" s="152"/>
      <c r="D653" s="152"/>
      <c r="E653" s="152"/>
      <c r="F653" s="154"/>
      <c r="G653" s="154"/>
      <c r="H653" s="159" t="s">
        <v>132</v>
      </c>
      <c r="I653" s="155" t="s">
        <v>133</v>
      </c>
      <c r="J653" s="156" t="s">
        <v>87</v>
      </c>
      <c r="K653" s="155" t="s">
        <v>134</v>
      </c>
      <c r="L653" s="157">
        <v>10</v>
      </c>
      <c r="M653" s="157"/>
      <c r="N653" s="155" t="s">
        <v>99</v>
      </c>
      <c r="O653" s="152"/>
      <c r="P653" s="158"/>
      <c r="Q653" s="151"/>
      <c r="R653" s="151"/>
      <c r="S653" s="151"/>
      <c r="T653" s="151"/>
      <c r="U653" s="151"/>
      <c r="V653" s="151"/>
      <c r="W653" s="151"/>
    </row>
    <row r="654" s="40" customFormat="1" customHeight="1" spans="1:23">
      <c r="A654" s="151"/>
      <c r="B654" s="152"/>
      <c r="C654" s="152"/>
      <c r="D654" s="152"/>
      <c r="E654" s="152"/>
      <c r="F654" s="154"/>
      <c r="G654" s="154"/>
      <c r="H654" s="160"/>
      <c r="I654" s="155" t="s">
        <v>755</v>
      </c>
      <c r="J654" s="156" t="s">
        <v>87</v>
      </c>
      <c r="K654" s="155" t="s">
        <v>134</v>
      </c>
      <c r="L654" s="157">
        <v>3</v>
      </c>
      <c r="M654" s="157"/>
      <c r="N654" s="155" t="s">
        <v>99</v>
      </c>
      <c r="O654" s="152"/>
      <c r="P654" s="158"/>
      <c r="Q654" s="151"/>
      <c r="R654" s="151"/>
      <c r="S654" s="151"/>
      <c r="T654" s="151"/>
      <c r="U654" s="151"/>
      <c r="V654" s="151"/>
      <c r="W654" s="151"/>
    </row>
    <row r="655" s="40" customFormat="1" customHeight="1" spans="1:23">
      <c r="A655" s="151"/>
      <c r="B655" s="152"/>
      <c r="C655" s="152"/>
      <c r="D655" s="152"/>
      <c r="E655" s="152"/>
      <c r="F655" s="154"/>
      <c r="G655" s="154"/>
      <c r="H655" s="155" t="s">
        <v>91</v>
      </c>
      <c r="I655" s="155" t="s">
        <v>92</v>
      </c>
      <c r="J655" s="156" t="s">
        <v>87</v>
      </c>
      <c r="K655" s="155" t="s">
        <v>93</v>
      </c>
      <c r="L655" s="157">
        <v>10</v>
      </c>
      <c r="M655" s="157" t="s">
        <v>756</v>
      </c>
      <c r="N655" s="155" t="s">
        <v>99</v>
      </c>
      <c r="O655" s="152"/>
      <c r="P655" s="158"/>
      <c r="Q655" s="151"/>
      <c r="R655" s="151"/>
      <c r="S655" s="151"/>
      <c r="T655" s="151"/>
      <c r="U655" s="151"/>
      <c r="V655" s="151"/>
      <c r="W655" s="151"/>
    </row>
    <row r="656" s="40" customFormat="1" ht="15.75" spans="1:23">
      <c r="A656" s="151"/>
      <c r="B656" s="152"/>
      <c r="C656" s="152"/>
      <c r="D656" s="152"/>
      <c r="E656" s="152"/>
      <c r="F656" s="154"/>
      <c r="G656" s="154"/>
      <c r="H656" s="155"/>
      <c r="I656" s="155" t="s">
        <v>475</v>
      </c>
      <c r="J656" s="156" t="s">
        <v>108</v>
      </c>
      <c r="K656" s="155" t="s">
        <v>93</v>
      </c>
      <c r="L656" s="157">
        <v>4</v>
      </c>
      <c r="M656" s="157" t="s">
        <v>757</v>
      </c>
      <c r="N656" s="155" t="s">
        <v>99</v>
      </c>
      <c r="O656" s="152"/>
      <c r="P656" s="158"/>
      <c r="Q656" s="151"/>
      <c r="R656" s="151"/>
      <c r="S656" s="151"/>
      <c r="T656" s="151"/>
      <c r="U656" s="151"/>
      <c r="V656" s="151"/>
      <c r="W656" s="151"/>
    </row>
    <row r="657" s="40" customFormat="1" ht="15.75" spans="1:23">
      <c r="A657" s="151"/>
      <c r="B657" s="152"/>
      <c r="C657" s="152"/>
      <c r="D657" s="152"/>
      <c r="E657" s="152"/>
      <c r="F657" s="154"/>
      <c r="G657" s="154"/>
      <c r="H657" s="155" t="s">
        <v>106</v>
      </c>
      <c r="I657" s="155" t="s">
        <v>283</v>
      </c>
      <c r="J657" s="156" t="s">
        <v>108</v>
      </c>
      <c r="K657" s="155" t="s">
        <v>134</v>
      </c>
      <c r="L657" s="157">
        <v>5.5</v>
      </c>
      <c r="M657" s="157"/>
      <c r="N657" s="155" t="s">
        <v>99</v>
      </c>
      <c r="O657" s="152"/>
      <c r="P657" s="158"/>
      <c r="Q657" s="151"/>
      <c r="R657" s="151"/>
      <c r="S657" s="151"/>
      <c r="T657" s="151"/>
      <c r="U657" s="151"/>
      <c r="V657" s="151"/>
      <c r="W657" s="151"/>
    </row>
    <row r="658" s="40" customFormat="1" customHeight="1" spans="1:23">
      <c r="A658" s="151"/>
      <c r="B658" s="152"/>
      <c r="C658" s="152"/>
      <c r="D658" s="152"/>
      <c r="E658" s="152"/>
      <c r="F658" s="154"/>
      <c r="G658" s="154"/>
      <c r="H658" s="155"/>
      <c r="I658" s="155" t="s">
        <v>249</v>
      </c>
      <c r="J658" s="155" t="s">
        <v>87</v>
      </c>
      <c r="K658" s="155" t="s">
        <v>134</v>
      </c>
      <c r="L658" s="157">
        <v>1</v>
      </c>
      <c r="M658" s="157"/>
      <c r="N658" s="155" t="s">
        <v>99</v>
      </c>
      <c r="O658" s="152"/>
      <c r="P658" s="158"/>
      <c r="Q658" s="151"/>
      <c r="R658" s="151"/>
      <c r="S658" s="151"/>
      <c r="T658" s="151"/>
      <c r="U658" s="151"/>
      <c r="V658" s="151"/>
      <c r="W658" s="151"/>
    </row>
    <row r="659" s="40" customFormat="1" ht="15.75" spans="1:23">
      <c r="A659" s="151"/>
      <c r="B659" s="152"/>
      <c r="C659" s="152"/>
      <c r="D659" s="152"/>
      <c r="E659" s="152"/>
      <c r="F659" s="154"/>
      <c r="G659" s="154"/>
      <c r="H659" s="155" t="s">
        <v>141</v>
      </c>
      <c r="I659" s="155" t="s">
        <v>457</v>
      </c>
      <c r="J659" s="156" t="s">
        <v>108</v>
      </c>
      <c r="K659" s="155" t="s">
        <v>134</v>
      </c>
      <c r="L659" s="157">
        <v>15</v>
      </c>
      <c r="M659" s="157" t="s">
        <v>756</v>
      </c>
      <c r="N659" s="155" t="s">
        <v>99</v>
      </c>
      <c r="O659" s="152"/>
      <c r="P659" s="158"/>
      <c r="Q659" s="151"/>
      <c r="R659" s="151"/>
      <c r="S659" s="151"/>
      <c r="T659" s="151"/>
      <c r="U659" s="151"/>
      <c r="V659" s="151"/>
      <c r="W659" s="151"/>
    </row>
    <row r="660" s="40" customFormat="1" ht="15.75" spans="1:23">
      <c r="A660" s="151"/>
      <c r="B660" s="152"/>
      <c r="C660" s="152"/>
      <c r="D660" s="152"/>
      <c r="E660" s="152"/>
      <c r="F660" s="154"/>
      <c r="G660" s="154"/>
      <c r="H660" s="155"/>
      <c r="I660" s="155" t="s">
        <v>150</v>
      </c>
      <c r="J660" s="156" t="s">
        <v>108</v>
      </c>
      <c r="K660" s="155" t="s">
        <v>93</v>
      </c>
      <c r="L660" s="157">
        <v>35</v>
      </c>
      <c r="M660" s="157"/>
      <c r="N660" s="155" t="s">
        <v>99</v>
      </c>
      <c r="O660" s="152"/>
      <c r="P660" s="158"/>
      <c r="Q660" s="151"/>
      <c r="R660" s="151"/>
      <c r="S660" s="151"/>
      <c r="T660" s="151"/>
      <c r="U660" s="151"/>
      <c r="V660" s="151"/>
      <c r="W660" s="151"/>
    </row>
    <row r="661" s="40" customFormat="1" ht="15.75" spans="1:23">
      <c r="A661" s="151"/>
      <c r="B661" s="152"/>
      <c r="C661" s="152"/>
      <c r="D661" s="152"/>
      <c r="E661" s="152"/>
      <c r="F661" s="154"/>
      <c r="G661" s="154"/>
      <c r="H661" s="155"/>
      <c r="I661" s="155" t="s">
        <v>761</v>
      </c>
      <c r="J661" s="156" t="s">
        <v>108</v>
      </c>
      <c r="K661" s="155" t="s">
        <v>93</v>
      </c>
      <c r="L661" s="157">
        <v>40</v>
      </c>
      <c r="M661" s="157" t="s">
        <v>756</v>
      </c>
      <c r="N661" s="155" t="s">
        <v>99</v>
      </c>
      <c r="O661" s="152"/>
      <c r="P661" s="158"/>
      <c r="Q661" s="151"/>
      <c r="R661" s="151"/>
      <c r="S661" s="151"/>
      <c r="T661" s="151"/>
      <c r="U661" s="151"/>
      <c r="V661" s="151"/>
      <c r="W661" s="151"/>
    </row>
    <row r="662" s="40" customFormat="1" ht="15.75" spans="1:23">
      <c r="A662" s="151"/>
      <c r="B662" s="152"/>
      <c r="C662" s="152"/>
      <c r="D662" s="152"/>
      <c r="E662" s="152"/>
      <c r="F662" s="154"/>
      <c r="G662" s="154"/>
      <c r="H662" s="155"/>
      <c r="I662" s="155" t="s">
        <v>479</v>
      </c>
      <c r="J662" s="156" t="s">
        <v>97</v>
      </c>
      <c r="K662" s="155" t="s">
        <v>134</v>
      </c>
      <c r="L662" s="157" t="s">
        <v>762</v>
      </c>
      <c r="M662" s="157"/>
      <c r="N662" s="155" t="s">
        <v>99</v>
      </c>
      <c r="O662" s="152"/>
      <c r="P662" s="158"/>
      <c r="Q662" s="151"/>
      <c r="R662" s="151"/>
      <c r="S662" s="151"/>
      <c r="T662" s="151"/>
      <c r="U662" s="151"/>
      <c r="V662" s="151"/>
      <c r="W662" s="151"/>
    </row>
    <row r="663" s="40" customFormat="1" ht="15.75" spans="1:23">
      <c r="A663" s="151"/>
      <c r="B663" s="152"/>
      <c r="C663" s="152"/>
      <c r="D663" s="152"/>
      <c r="E663" s="152"/>
      <c r="F663" s="154"/>
      <c r="G663" s="154"/>
      <c r="H663" s="155"/>
      <c r="I663" s="155" t="s">
        <v>142</v>
      </c>
      <c r="J663" s="156" t="s">
        <v>97</v>
      </c>
      <c r="K663" s="155" t="s">
        <v>93</v>
      </c>
      <c r="L663" s="157">
        <v>20</v>
      </c>
      <c r="M663" s="157"/>
      <c r="N663" s="155" t="s">
        <v>99</v>
      </c>
      <c r="O663" s="152"/>
      <c r="P663" s="158"/>
      <c r="Q663" s="151"/>
      <c r="R663" s="151"/>
      <c r="S663" s="151"/>
      <c r="T663" s="151"/>
      <c r="U663" s="151"/>
      <c r="V663" s="151"/>
      <c r="W663" s="151"/>
    </row>
    <row r="664" s="40" customFormat="1" ht="15.75" spans="1:23">
      <c r="A664" s="151"/>
      <c r="B664" s="152"/>
      <c r="C664" s="152"/>
      <c r="D664" s="152"/>
      <c r="E664" s="152"/>
      <c r="F664" s="154"/>
      <c r="G664" s="154"/>
      <c r="H664" s="155"/>
      <c r="I664" s="155" t="s">
        <v>763</v>
      </c>
      <c r="J664" s="156" t="s">
        <v>108</v>
      </c>
      <c r="K664" s="155" t="s">
        <v>134</v>
      </c>
      <c r="L664" s="157">
        <v>8</v>
      </c>
      <c r="M664" s="157" t="s">
        <v>756</v>
      </c>
      <c r="N664" s="155" t="s">
        <v>99</v>
      </c>
      <c r="O664" s="152"/>
      <c r="P664" s="158"/>
      <c r="Q664" s="151"/>
      <c r="R664" s="151"/>
      <c r="S664" s="151"/>
      <c r="T664" s="151"/>
      <c r="U664" s="151"/>
      <c r="V664" s="151"/>
      <c r="W664" s="151"/>
    </row>
    <row r="665" s="40" customFormat="1" ht="15.75" spans="1:23">
      <c r="A665" s="151" t="s">
        <v>807</v>
      </c>
      <c r="B665" s="152" t="s">
        <v>808</v>
      </c>
      <c r="C665" s="152" t="s">
        <v>173</v>
      </c>
      <c r="D665" s="153" t="s">
        <v>102</v>
      </c>
      <c r="E665" s="153" t="s">
        <v>103</v>
      </c>
      <c r="F665" s="154" t="s">
        <v>809</v>
      </c>
      <c r="G665" s="154" t="s">
        <v>810</v>
      </c>
      <c r="H665" s="155" t="s">
        <v>85</v>
      </c>
      <c r="I665" s="155" t="s">
        <v>209</v>
      </c>
      <c r="J665" s="156" t="s">
        <v>108</v>
      </c>
      <c r="K665" s="155" t="s">
        <v>93</v>
      </c>
      <c r="L665" s="157">
        <v>8</v>
      </c>
      <c r="M665" s="157"/>
      <c r="N665" s="155" t="s">
        <v>99</v>
      </c>
      <c r="O665" s="152" t="s">
        <v>39</v>
      </c>
      <c r="P665" s="158" t="s">
        <v>143</v>
      </c>
      <c r="Q665" s="151" t="s">
        <v>112</v>
      </c>
      <c r="R665" s="151" t="s">
        <v>113</v>
      </c>
      <c r="S665" s="151" t="s">
        <v>753</v>
      </c>
      <c r="T665" s="151" t="s">
        <v>41</v>
      </c>
      <c r="U665" s="151" t="s">
        <v>754</v>
      </c>
      <c r="V665" s="151" t="s">
        <v>116</v>
      </c>
      <c r="W665" s="151" t="s">
        <v>117</v>
      </c>
    </row>
    <row r="666" s="40" customFormat="1" customHeight="1" spans="1:23">
      <c r="A666" s="151"/>
      <c r="B666" s="152"/>
      <c r="C666" s="152"/>
      <c r="D666" s="152"/>
      <c r="E666" s="152"/>
      <c r="F666" s="154"/>
      <c r="G666" s="154"/>
      <c r="H666" s="155"/>
      <c r="I666" s="155" t="s">
        <v>86</v>
      </c>
      <c r="J666" s="156" t="s">
        <v>87</v>
      </c>
      <c r="K666" s="155" t="s">
        <v>93</v>
      </c>
      <c r="L666" s="157">
        <v>2</v>
      </c>
      <c r="M666" s="157" t="s">
        <v>89</v>
      </c>
      <c r="N666" s="155" t="s">
        <v>110</v>
      </c>
      <c r="O666" s="152"/>
      <c r="P666" s="158"/>
      <c r="Q666" s="151"/>
      <c r="R666" s="151"/>
      <c r="S666" s="151"/>
      <c r="T666" s="151"/>
      <c r="U666" s="151"/>
      <c r="V666" s="151"/>
      <c r="W666" s="151"/>
    </row>
    <row r="667" s="40" customFormat="1" customHeight="1" spans="1:23">
      <c r="A667" s="151"/>
      <c r="B667" s="152"/>
      <c r="C667" s="152"/>
      <c r="D667" s="152"/>
      <c r="E667" s="152"/>
      <c r="F667" s="154"/>
      <c r="G667" s="154"/>
      <c r="H667" s="155"/>
      <c r="I667" s="155" t="s">
        <v>267</v>
      </c>
      <c r="J667" s="156" t="s">
        <v>87</v>
      </c>
      <c r="K667" s="155" t="s">
        <v>93</v>
      </c>
      <c r="L667" s="157">
        <v>4.5</v>
      </c>
      <c r="M667" s="157" t="s">
        <v>89</v>
      </c>
      <c r="N667" s="155" t="s">
        <v>110</v>
      </c>
      <c r="O667" s="152"/>
      <c r="P667" s="158"/>
      <c r="Q667" s="151"/>
      <c r="R667" s="151"/>
      <c r="S667" s="151"/>
      <c r="T667" s="151"/>
      <c r="U667" s="151"/>
      <c r="V667" s="151"/>
      <c r="W667" s="151"/>
    </row>
    <row r="668" s="40" customFormat="1" ht="15.75" spans="1:23">
      <c r="A668" s="151"/>
      <c r="B668" s="152"/>
      <c r="C668" s="152"/>
      <c r="D668" s="152"/>
      <c r="E668" s="152"/>
      <c r="F668" s="154"/>
      <c r="G668" s="154"/>
      <c r="H668" s="155"/>
      <c r="I668" s="155" t="s">
        <v>192</v>
      </c>
      <c r="J668" s="156" t="s">
        <v>108</v>
      </c>
      <c r="K668" s="155" t="s">
        <v>93</v>
      </c>
      <c r="L668" s="157">
        <v>2</v>
      </c>
      <c r="M668" s="157"/>
      <c r="N668" s="155" t="s">
        <v>99</v>
      </c>
      <c r="O668" s="152"/>
      <c r="P668" s="158"/>
      <c r="Q668" s="151"/>
      <c r="R668" s="151"/>
      <c r="S668" s="151"/>
      <c r="T668" s="151"/>
      <c r="U668" s="151"/>
      <c r="V668" s="151"/>
      <c r="W668" s="151"/>
    </row>
    <row r="669" s="40" customFormat="1" customHeight="1" spans="1:23">
      <c r="A669" s="151"/>
      <c r="B669" s="152"/>
      <c r="C669" s="152"/>
      <c r="D669" s="152"/>
      <c r="E669" s="152"/>
      <c r="F669" s="154"/>
      <c r="G669" s="154"/>
      <c r="H669" s="159" t="s">
        <v>132</v>
      </c>
      <c r="I669" s="155" t="s">
        <v>133</v>
      </c>
      <c r="J669" s="156" t="s">
        <v>87</v>
      </c>
      <c r="K669" s="155" t="s">
        <v>134</v>
      </c>
      <c r="L669" s="157">
        <v>10</v>
      </c>
      <c r="M669" s="157"/>
      <c r="N669" s="155" t="s">
        <v>99</v>
      </c>
      <c r="O669" s="152"/>
      <c r="P669" s="158"/>
      <c r="Q669" s="151"/>
      <c r="R669" s="151"/>
      <c r="S669" s="151"/>
      <c r="T669" s="151"/>
      <c r="U669" s="151"/>
      <c r="V669" s="151"/>
      <c r="W669" s="151"/>
    </row>
    <row r="670" s="40" customFormat="1" customHeight="1" spans="1:23">
      <c r="A670" s="151"/>
      <c r="B670" s="152"/>
      <c r="C670" s="152"/>
      <c r="D670" s="152"/>
      <c r="E670" s="152"/>
      <c r="F670" s="154"/>
      <c r="G670" s="154"/>
      <c r="H670" s="160"/>
      <c r="I670" s="155" t="s">
        <v>755</v>
      </c>
      <c r="J670" s="156" t="s">
        <v>87</v>
      </c>
      <c r="K670" s="155" t="s">
        <v>134</v>
      </c>
      <c r="L670" s="157">
        <v>3</v>
      </c>
      <c r="M670" s="157"/>
      <c r="N670" s="155" t="s">
        <v>99</v>
      </c>
      <c r="O670" s="152"/>
      <c r="P670" s="158"/>
      <c r="Q670" s="151"/>
      <c r="R670" s="151"/>
      <c r="S670" s="151"/>
      <c r="T670" s="151"/>
      <c r="U670" s="151"/>
      <c r="V670" s="151"/>
      <c r="W670" s="151"/>
    </row>
    <row r="671" s="40" customFormat="1" customHeight="1" spans="1:23">
      <c r="A671" s="151"/>
      <c r="B671" s="152"/>
      <c r="C671" s="152"/>
      <c r="D671" s="152"/>
      <c r="E671" s="152"/>
      <c r="F671" s="154"/>
      <c r="G671" s="154"/>
      <c r="H671" s="155" t="s">
        <v>91</v>
      </c>
      <c r="I671" s="155" t="s">
        <v>92</v>
      </c>
      <c r="J671" s="156" t="s">
        <v>87</v>
      </c>
      <c r="K671" s="155" t="s">
        <v>93</v>
      </c>
      <c r="L671" s="157">
        <v>10</v>
      </c>
      <c r="M671" s="157" t="s">
        <v>756</v>
      </c>
      <c r="N671" s="155" t="s">
        <v>99</v>
      </c>
      <c r="O671" s="152"/>
      <c r="P671" s="158"/>
      <c r="Q671" s="151"/>
      <c r="R671" s="151"/>
      <c r="S671" s="151"/>
      <c r="T671" s="151"/>
      <c r="U671" s="151"/>
      <c r="V671" s="151"/>
      <c r="W671" s="151"/>
    </row>
    <row r="672" s="40" customFormat="1" ht="15.75" spans="1:23">
      <c r="A672" s="151"/>
      <c r="B672" s="152"/>
      <c r="C672" s="152"/>
      <c r="D672" s="152"/>
      <c r="E672" s="152"/>
      <c r="F672" s="154"/>
      <c r="G672" s="154"/>
      <c r="H672" s="155"/>
      <c r="I672" s="155" t="s">
        <v>475</v>
      </c>
      <c r="J672" s="156" t="s">
        <v>108</v>
      </c>
      <c r="K672" s="155" t="s">
        <v>93</v>
      </c>
      <c r="L672" s="157">
        <v>4</v>
      </c>
      <c r="M672" s="157" t="s">
        <v>757</v>
      </c>
      <c r="N672" s="155" t="s">
        <v>99</v>
      </c>
      <c r="O672" s="152"/>
      <c r="P672" s="158"/>
      <c r="Q672" s="151"/>
      <c r="R672" s="151"/>
      <c r="S672" s="151"/>
      <c r="T672" s="151"/>
      <c r="U672" s="151"/>
      <c r="V672" s="151"/>
      <c r="W672" s="151"/>
    </row>
    <row r="673" s="40" customFormat="1" ht="15.75" spans="1:23">
      <c r="A673" s="151"/>
      <c r="B673" s="152"/>
      <c r="C673" s="152"/>
      <c r="D673" s="152"/>
      <c r="E673" s="152"/>
      <c r="F673" s="154"/>
      <c r="G673" s="154"/>
      <c r="H673" s="155" t="s">
        <v>106</v>
      </c>
      <c r="I673" s="155" t="s">
        <v>283</v>
      </c>
      <c r="J673" s="156" t="s">
        <v>108</v>
      </c>
      <c r="K673" s="155" t="s">
        <v>134</v>
      </c>
      <c r="L673" s="157">
        <v>5.5</v>
      </c>
      <c r="M673" s="157"/>
      <c r="N673" s="155" t="s">
        <v>99</v>
      </c>
      <c r="O673" s="152"/>
      <c r="P673" s="158"/>
      <c r="Q673" s="151"/>
      <c r="R673" s="151"/>
      <c r="S673" s="151"/>
      <c r="T673" s="151"/>
      <c r="U673" s="151"/>
      <c r="V673" s="151"/>
      <c r="W673" s="151"/>
    </row>
    <row r="674" s="40" customFormat="1" customHeight="1" spans="1:23">
      <c r="A674" s="151"/>
      <c r="B674" s="152"/>
      <c r="C674" s="152"/>
      <c r="D674" s="152"/>
      <c r="E674" s="152"/>
      <c r="F674" s="154"/>
      <c r="G674" s="154"/>
      <c r="H674" s="155"/>
      <c r="I674" s="155" t="s">
        <v>249</v>
      </c>
      <c r="J674" s="155" t="s">
        <v>87</v>
      </c>
      <c r="K674" s="155" t="s">
        <v>134</v>
      </c>
      <c r="L674" s="157">
        <v>1</v>
      </c>
      <c r="M674" s="157"/>
      <c r="N674" s="155" t="s">
        <v>99</v>
      </c>
      <c r="O674" s="152"/>
      <c r="P674" s="158"/>
      <c r="Q674" s="151"/>
      <c r="R674" s="151"/>
      <c r="S674" s="151"/>
      <c r="T674" s="151"/>
      <c r="U674" s="151"/>
      <c r="V674" s="151"/>
      <c r="W674" s="151"/>
    </row>
    <row r="675" s="40" customFormat="1" ht="15.75" spans="1:23">
      <c r="A675" s="151"/>
      <c r="B675" s="152"/>
      <c r="C675" s="152"/>
      <c r="D675" s="152"/>
      <c r="E675" s="152"/>
      <c r="F675" s="154"/>
      <c r="G675" s="154"/>
      <c r="H675" s="155" t="s">
        <v>141</v>
      </c>
      <c r="I675" s="155" t="s">
        <v>457</v>
      </c>
      <c r="J675" s="156" t="s">
        <v>108</v>
      </c>
      <c r="K675" s="155" t="s">
        <v>134</v>
      </c>
      <c r="L675" s="157">
        <v>15</v>
      </c>
      <c r="M675" s="157" t="s">
        <v>756</v>
      </c>
      <c r="N675" s="155" t="s">
        <v>99</v>
      </c>
      <c r="O675" s="152"/>
      <c r="P675" s="158"/>
      <c r="Q675" s="151"/>
      <c r="R675" s="151"/>
      <c r="S675" s="151"/>
      <c r="T675" s="151"/>
      <c r="U675" s="151"/>
      <c r="V675" s="151"/>
      <c r="W675" s="151"/>
    </row>
    <row r="676" s="40" customFormat="1" ht="15.75" spans="1:23">
      <c r="A676" s="151"/>
      <c r="B676" s="152"/>
      <c r="C676" s="152"/>
      <c r="D676" s="152"/>
      <c r="E676" s="152"/>
      <c r="F676" s="154"/>
      <c r="G676" s="154"/>
      <c r="H676" s="155"/>
      <c r="I676" s="155" t="s">
        <v>759</v>
      </c>
      <c r="J676" s="156" t="s">
        <v>108</v>
      </c>
      <c r="K676" s="155" t="s">
        <v>93</v>
      </c>
      <c r="L676" s="157">
        <v>20</v>
      </c>
      <c r="M676" s="157" t="s">
        <v>760</v>
      </c>
      <c r="N676" s="155" t="s">
        <v>99</v>
      </c>
      <c r="O676" s="152"/>
      <c r="P676" s="158"/>
      <c r="Q676" s="151"/>
      <c r="R676" s="151"/>
      <c r="S676" s="151"/>
      <c r="T676" s="151"/>
      <c r="U676" s="151"/>
      <c r="V676" s="151"/>
      <c r="W676" s="151"/>
    </row>
    <row r="677" s="40" customFormat="1" ht="15.75" spans="1:23">
      <c r="A677" s="151"/>
      <c r="B677" s="152"/>
      <c r="C677" s="152"/>
      <c r="D677" s="152"/>
      <c r="E677" s="152"/>
      <c r="F677" s="154"/>
      <c r="G677" s="154"/>
      <c r="H677" s="155"/>
      <c r="I677" s="155" t="s">
        <v>150</v>
      </c>
      <c r="J677" s="156" t="s">
        <v>108</v>
      </c>
      <c r="K677" s="155" t="s">
        <v>93</v>
      </c>
      <c r="L677" s="157">
        <v>35</v>
      </c>
      <c r="M677" s="157"/>
      <c r="N677" s="155" t="s">
        <v>99</v>
      </c>
      <c r="O677" s="152"/>
      <c r="P677" s="158"/>
      <c r="Q677" s="151"/>
      <c r="R677" s="151"/>
      <c r="S677" s="151"/>
      <c r="T677" s="151"/>
      <c r="U677" s="151"/>
      <c r="V677" s="151"/>
      <c r="W677" s="151"/>
    </row>
    <row r="678" s="40" customFormat="1" ht="15.75" spans="1:23">
      <c r="A678" s="151"/>
      <c r="B678" s="152"/>
      <c r="C678" s="152"/>
      <c r="D678" s="152"/>
      <c r="E678" s="152"/>
      <c r="F678" s="154"/>
      <c r="G678" s="154"/>
      <c r="H678" s="155"/>
      <c r="I678" s="155" t="s">
        <v>761</v>
      </c>
      <c r="J678" s="156" t="s">
        <v>108</v>
      </c>
      <c r="K678" s="155" t="s">
        <v>93</v>
      </c>
      <c r="L678" s="157">
        <v>40</v>
      </c>
      <c r="M678" s="157" t="s">
        <v>756</v>
      </c>
      <c r="N678" s="155" t="s">
        <v>99</v>
      </c>
      <c r="O678" s="152"/>
      <c r="P678" s="158"/>
      <c r="Q678" s="151"/>
      <c r="R678" s="151"/>
      <c r="S678" s="151"/>
      <c r="T678" s="151"/>
      <c r="U678" s="151"/>
      <c r="V678" s="151"/>
      <c r="W678" s="151"/>
    </row>
    <row r="679" s="40" customFormat="1" ht="15.75" spans="1:23">
      <c r="A679" s="151"/>
      <c r="B679" s="152"/>
      <c r="C679" s="152"/>
      <c r="D679" s="152"/>
      <c r="E679" s="152"/>
      <c r="F679" s="154"/>
      <c r="G679" s="154"/>
      <c r="H679" s="155"/>
      <c r="I679" s="155" t="s">
        <v>479</v>
      </c>
      <c r="J679" s="156" t="s">
        <v>97</v>
      </c>
      <c r="K679" s="155" t="s">
        <v>134</v>
      </c>
      <c r="L679" s="157" t="s">
        <v>762</v>
      </c>
      <c r="M679" s="157"/>
      <c r="N679" s="155" t="s">
        <v>99</v>
      </c>
      <c r="O679" s="152"/>
      <c r="P679" s="158"/>
      <c r="Q679" s="151"/>
      <c r="R679" s="151"/>
      <c r="S679" s="151"/>
      <c r="T679" s="151"/>
      <c r="U679" s="151"/>
      <c r="V679" s="151"/>
      <c r="W679" s="151"/>
    </row>
    <row r="680" s="40" customFormat="1" ht="15.75" spans="1:23">
      <c r="A680" s="151"/>
      <c r="B680" s="152"/>
      <c r="C680" s="152"/>
      <c r="D680" s="152"/>
      <c r="E680" s="152"/>
      <c r="F680" s="154"/>
      <c r="G680" s="154"/>
      <c r="H680" s="155"/>
      <c r="I680" s="155" t="s">
        <v>142</v>
      </c>
      <c r="J680" s="156" t="s">
        <v>97</v>
      </c>
      <c r="K680" s="155" t="s">
        <v>93</v>
      </c>
      <c r="L680" s="157">
        <v>30</v>
      </c>
      <c r="M680" s="157"/>
      <c r="N680" s="155" t="s">
        <v>99</v>
      </c>
      <c r="O680" s="152"/>
      <c r="P680" s="158"/>
      <c r="Q680" s="151"/>
      <c r="R680" s="151"/>
      <c r="S680" s="151"/>
      <c r="T680" s="151"/>
      <c r="U680" s="151"/>
      <c r="V680" s="151"/>
      <c r="W680" s="151"/>
    </row>
    <row r="681" s="40" customFormat="1" ht="15.75" spans="1:23">
      <c r="A681" s="151"/>
      <c r="B681" s="152"/>
      <c r="C681" s="152"/>
      <c r="D681" s="152"/>
      <c r="E681" s="152"/>
      <c r="F681" s="154"/>
      <c r="G681" s="154"/>
      <c r="H681" s="155"/>
      <c r="I681" s="155" t="s">
        <v>763</v>
      </c>
      <c r="J681" s="156" t="s">
        <v>108</v>
      </c>
      <c r="K681" s="155" t="s">
        <v>134</v>
      </c>
      <c r="L681" s="157">
        <v>8</v>
      </c>
      <c r="M681" s="157" t="s">
        <v>756</v>
      </c>
      <c r="N681" s="155" t="s">
        <v>99</v>
      </c>
      <c r="O681" s="152"/>
      <c r="P681" s="158"/>
      <c r="Q681" s="151"/>
      <c r="R681" s="151"/>
      <c r="S681" s="151"/>
      <c r="T681" s="151"/>
      <c r="U681" s="151"/>
      <c r="V681" s="151"/>
      <c r="W681" s="151"/>
    </row>
    <row r="682" s="40" customFormat="1" ht="15.75" spans="1:23">
      <c r="A682" s="151" t="s">
        <v>811</v>
      </c>
      <c r="B682" s="152" t="s">
        <v>812</v>
      </c>
      <c r="C682" s="152" t="s">
        <v>83</v>
      </c>
      <c r="D682" s="153" t="s">
        <v>102</v>
      </c>
      <c r="E682" s="153" t="s">
        <v>103</v>
      </c>
      <c r="F682" s="154" t="s">
        <v>813</v>
      </c>
      <c r="G682" s="154" t="s">
        <v>814</v>
      </c>
      <c r="H682" s="155" t="s">
        <v>85</v>
      </c>
      <c r="I682" s="155" t="s">
        <v>209</v>
      </c>
      <c r="J682" s="156" t="s">
        <v>108</v>
      </c>
      <c r="K682" s="155" t="s">
        <v>93</v>
      </c>
      <c r="L682" s="157">
        <v>12</v>
      </c>
      <c r="M682" s="157"/>
      <c r="N682" s="155" t="s">
        <v>99</v>
      </c>
      <c r="O682" s="152" t="s">
        <v>39</v>
      </c>
      <c r="P682" s="158" t="s">
        <v>143</v>
      </c>
      <c r="Q682" s="151" t="s">
        <v>112</v>
      </c>
      <c r="R682" s="151" t="s">
        <v>113</v>
      </c>
      <c r="S682" s="151" t="s">
        <v>753</v>
      </c>
      <c r="T682" s="151" t="s">
        <v>41</v>
      </c>
      <c r="U682" s="151" t="s">
        <v>754</v>
      </c>
      <c r="V682" s="151" t="s">
        <v>116</v>
      </c>
      <c r="W682" s="151" t="s">
        <v>117</v>
      </c>
    </row>
    <row r="683" s="40" customFormat="1" customHeight="1" spans="1:23">
      <c r="A683" s="151"/>
      <c r="B683" s="152"/>
      <c r="C683" s="152"/>
      <c r="D683" s="152"/>
      <c r="E683" s="152"/>
      <c r="F683" s="154"/>
      <c r="G683" s="154"/>
      <c r="H683" s="155"/>
      <c r="I683" s="155" t="s">
        <v>86</v>
      </c>
      <c r="J683" s="156" t="s">
        <v>87</v>
      </c>
      <c r="K683" s="155" t="s">
        <v>93</v>
      </c>
      <c r="L683" s="157">
        <v>2</v>
      </c>
      <c r="M683" s="157" t="s">
        <v>89</v>
      </c>
      <c r="N683" s="155" t="s">
        <v>110</v>
      </c>
      <c r="O683" s="152"/>
      <c r="P683" s="158"/>
      <c r="Q683" s="151"/>
      <c r="R683" s="151"/>
      <c r="S683" s="151"/>
      <c r="T683" s="151"/>
      <c r="U683" s="151"/>
      <c r="V683" s="151"/>
      <c r="W683" s="151"/>
    </row>
    <row r="684" s="40" customFormat="1" customHeight="1" spans="1:23">
      <c r="A684" s="151"/>
      <c r="B684" s="152"/>
      <c r="C684" s="152"/>
      <c r="D684" s="152"/>
      <c r="E684" s="152"/>
      <c r="F684" s="154"/>
      <c r="G684" s="154"/>
      <c r="H684" s="155"/>
      <c r="I684" s="155" t="s">
        <v>267</v>
      </c>
      <c r="J684" s="156" t="s">
        <v>87</v>
      </c>
      <c r="K684" s="155" t="s">
        <v>93</v>
      </c>
      <c r="L684" s="157">
        <v>4.5</v>
      </c>
      <c r="M684" s="157" t="s">
        <v>89</v>
      </c>
      <c r="N684" s="155" t="s">
        <v>110</v>
      </c>
      <c r="O684" s="152"/>
      <c r="P684" s="158"/>
      <c r="Q684" s="151"/>
      <c r="R684" s="151"/>
      <c r="S684" s="151"/>
      <c r="T684" s="151"/>
      <c r="U684" s="151"/>
      <c r="V684" s="151"/>
      <c r="W684" s="151"/>
    </row>
    <row r="685" s="40" customFormat="1" ht="15.75" spans="1:23">
      <c r="A685" s="151"/>
      <c r="B685" s="152"/>
      <c r="C685" s="152"/>
      <c r="D685" s="152"/>
      <c r="E685" s="152"/>
      <c r="F685" s="154"/>
      <c r="G685" s="154"/>
      <c r="H685" s="155"/>
      <c r="I685" s="155" t="s">
        <v>192</v>
      </c>
      <c r="J685" s="156" t="s">
        <v>108</v>
      </c>
      <c r="K685" s="155" t="s">
        <v>93</v>
      </c>
      <c r="L685" s="157">
        <v>2</v>
      </c>
      <c r="M685" s="157"/>
      <c r="N685" s="155" t="s">
        <v>99</v>
      </c>
      <c r="O685" s="152"/>
      <c r="P685" s="158"/>
      <c r="Q685" s="151"/>
      <c r="R685" s="151"/>
      <c r="S685" s="151"/>
      <c r="T685" s="151"/>
      <c r="U685" s="151"/>
      <c r="V685" s="151"/>
      <c r="W685" s="151"/>
    </row>
    <row r="686" s="40" customFormat="1" customHeight="1" spans="1:23">
      <c r="A686" s="151"/>
      <c r="B686" s="152"/>
      <c r="C686" s="152"/>
      <c r="D686" s="152"/>
      <c r="E686" s="152"/>
      <c r="F686" s="154"/>
      <c r="G686" s="154"/>
      <c r="H686" s="159" t="s">
        <v>132</v>
      </c>
      <c r="I686" s="155" t="s">
        <v>133</v>
      </c>
      <c r="J686" s="156" t="s">
        <v>87</v>
      </c>
      <c r="K686" s="155" t="s">
        <v>134</v>
      </c>
      <c r="L686" s="157">
        <v>10</v>
      </c>
      <c r="M686" s="157"/>
      <c r="N686" s="155" t="s">
        <v>99</v>
      </c>
      <c r="O686" s="152"/>
      <c r="P686" s="158"/>
      <c r="Q686" s="151"/>
      <c r="R686" s="151"/>
      <c r="S686" s="151"/>
      <c r="T686" s="151"/>
      <c r="U686" s="151"/>
      <c r="V686" s="151"/>
      <c r="W686" s="151"/>
    </row>
    <row r="687" s="40" customFormat="1" customHeight="1" spans="1:23">
      <c r="A687" s="151"/>
      <c r="B687" s="152"/>
      <c r="C687" s="152"/>
      <c r="D687" s="152"/>
      <c r="E687" s="152"/>
      <c r="F687" s="154"/>
      <c r="G687" s="154"/>
      <c r="H687" s="160"/>
      <c r="I687" s="155" t="s">
        <v>755</v>
      </c>
      <c r="J687" s="156" t="s">
        <v>87</v>
      </c>
      <c r="K687" s="155" t="s">
        <v>134</v>
      </c>
      <c r="L687" s="157">
        <v>3</v>
      </c>
      <c r="M687" s="157"/>
      <c r="N687" s="155" t="s">
        <v>99</v>
      </c>
      <c r="O687" s="152"/>
      <c r="P687" s="158"/>
      <c r="Q687" s="151"/>
      <c r="R687" s="151"/>
      <c r="S687" s="151"/>
      <c r="T687" s="151"/>
      <c r="U687" s="151"/>
      <c r="V687" s="151"/>
      <c r="W687" s="151"/>
    </row>
    <row r="688" s="40" customFormat="1" customHeight="1" spans="1:23">
      <c r="A688" s="151"/>
      <c r="B688" s="152"/>
      <c r="C688" s="152"/>
      <c r="D688" s="152"/>
      <c r="E688" s="152"/>
      <c r="F688" s="154"/>
      <c r="G688" s="154"/>
      <c r="H688" s="155" t="s">
        <v>91</v>
      </c>
      <c r="I688" s="155" t="s">
        <v>92</v>
      </c>
      <c r="J688" s="156" t="s">
        <v>87</v>
      </c>
      <c r="K688" s="155" t="s">
        <v>93</v>
      </c>
      <c r="L688" s="157">
        <v>10</v>
      </c>
      <c r="M688" s="157" t="s">
        <v>756</v>
      </c>
      <c r="N688" s="155" t="s">
        <v>99</v>
      </c>
      <c r="O688" s="152"/>
      <c r="P688" s="158"/>
      <c r="Q688" s="151"/>
      <c r="R688" s="151"/>
      <c r="S688" s="151"/>
      <c r="T688" s="151"/>
      <c r="U688" s="151"/>
      <c r="V688" s="151"/>
      <c r="W688" s="151"/>
    </row>
    <row r="689" s="40" customFormat="1" ht="15.75" spans="1:23">
      <c r="A689" s="151"/>
      <c r="B689" s="152"/>
      <c r="C689" s="152"/>
      <c r="D689" s="152"/>
      <c r="E689" s="152"/>
      <c r="F689" s="154"/>
      <c r="G689" s="154"/>
      <c r="H689" s="155"/>
      <c r="I689" s="155" t="s">
        <v>475</v>
      </c>
      <c r="J689" s="156" t="s">
        <v>108</v>
      </c>
      <c r="K689" s="155" t="s">
        <v>93</v>
      </c>
      <c r="L689" s="157">
        <v>4</v>
      </c>
      <c r="M689" s="157" t="s">
        <v>757</v>
      </c>
      <c r="N689" s="155" t="s">
        <v>99</v>
      </c>
      <c r="O689" s="152"/>
      <c r="P689" s="158"/>
      <c r="Q689" s="151"/>
      <c r="R689" s="151"/>
      <c r="S689" s="151"/>
      <c r="T689" s="151"/>
      <c r="U689" s="151"/>
      <c r="V689" s="151"/>
      <c r="W689" s="151"/>
    </row>
    <row r="690" s="40" customFormat="1" ht="15.75" spans="1:23">
      <c r="A690" s="151"/>
      <c r="B690" s="152"/>
      <c r="C690" s="152"/>
      <c r="D690" s="152"/>
      <c r="E690" s="152"/>
      <c r="F690" s="154"/>
      <c r="G690" s="154"/>
      <c r="H690" s="155" t="s">
        <v>106</v>
      </c>
      <c r="I690" s="155" t="s">
        <v>283</v>
      </c>
      <c r="J690" s="156" t="s">
        <v>108</v>
      </c>
      <c r="K690" s="155" t="s">
        <v>134</v>
      </c>
      <c r="L690" s="157">
        <v>5.5</v>
      </c>
      <c r="M690" s="157"/>
      <c r="N690" s="155" t="s">
        <v>99</v>
      </c>
      <c r="O690" s="152"/>
      <c r="P690" s="158"/>
      <c r="Q690" s="151"/>
      <c r="R690" s="151"/>
      <c r="S690" s="151"/>
      <c r="T690" s="151"/>
      <c r="U690" s="151"/>
      <c r="V690" s="151"/>
      <c r="W690" s="151"/>
    </row>
    <row r="691" s="40" customFormat="1" customHeight="1" spans="1:23">
      <c r="A691" s="151"/>
      <c r="B691" s="152"/>
      <c r="C691" s="152"/>
      <c r="D691" s="152"/>
      <c r="E691" s="152"/>
      <c r="F691" s="154"/>
      <c r="G691" s="154"/>
      <c r="H691" s="155"/>
      <c r="I691" s="155" t="s">
        <v>249</v>
      </c>
      <c r="J691" s="155" t="s">
        <v>87</v>
      </c>
      <c r="K691" s="155" t="s">
        <v>134</v>
      </c>
      <c r="L691" s="157">
        <v>1</v>
      </c>
      <c r="M691" s="157"/>
      <c r="N691" s="155" t="s">
        <v>99</v>
      </c>
      <c r="O691" s="152"/>
      <c r="P691" s="158"/>
      <c r="Q691" s="151"/>
      <c r="R691" s="151"/>
      <c r="S691" s="151"/>
      <c r="T691" s="151"/>
      <c r="U691" s="151"/>
      <c r="V691" s="151"/>
      <c r="W691" s="151"/>
    </row>
    <row r="692" s="40" customFormat="1" ht="15.75" spans="1:23">
      <c r="A692" s="151"/>
      <c r="B692" s="152"/>
      <c r="C692" s="152"/>
      <c r="D692" s="152"/>
      <c r="E692" s="152"/>
      <c r="F692" s="154"/>
      <c r="G692" s="154"/>
      <c r="H692" s="155" t="s">
        <v>141</v>
      </c>
      <c r="I692" s="155" t="s">
        <v>457</v>
      </c>
      <c r="J692" s="156" t="s">
        <v>108</v>
      </c>
      <c r="K692" s="155" t="s">
        <v>134</v>
      </c>
      <c r="L692" s="157">
        <v>15</v>
      </c>
      <c r="M692" s="157" t="s">
        <v>756</v>
      </c>
      <c r="N692" s="155" t="s">
        <v>99</v>
      </c>
      <c r="O692" s="152"/>
      <c r="P692" s="158"/>
      <c r="Q692" s="151"/>
      <c r="R692" s="151"/>
      <c r="S692" s="151"/>
      <c r="T692" s="151"/>
      <c r="U692" s="151"/>
      <c r="V692" s="151"/>
      <c r="W692" s="151"/>
    </row>
    <row r="693" s="40" customFormat="1" ht="15.75" spans="1:23">
      <c r="A693" s="151"/>
      <c r="B693" s="152"/>
      <c r="C693" s="152"/>
      <c r="D693" s="152"/>
      <c r="E693" s="152"/>
      <c r="F693" s="154"/>
      <c r="G693" s="154"/>
      <c r="H693" s="155"/>
      <c r="I693" s="155" t="s">
        <v>759</v>
      </c>
      <c r="J693" s="156" t="s">
        <v>108</v>
      </c>
      <c r="K693" s="155" t="s">
        <v>93</v>
      </c>
      <c r="L693" s="157">
        <v>20</v>
      </c>
      <c r="M693" s="157" t="s">
        <v>760</v>
      </c>
      <c r="N693" s="155" t="s">
        <v>99</v>
      </c>
      <c r="O693" s="152"/>
      <c r="P693" s="158"/>
      <c r="Q693" s="151"/>
      <c r="R693" s="151"/>
      <c r="S693" s="151"/>
      <c r="T693" s="151"/>
      <c r="U693" s="151"/>
      <c r="V693" s="151"/>
      <c r="W693" s="151"/>
    </row>
    <row r="694" s="40" customFormat="1" ht="15.75" spans="1:23">
      <c r="A694" s="151"/>
      <c r="B694" s="152"/>
      <c r="C694" s="152"/>
      <c r="D694" s="152"/>
      <c r="E694" s="152"/>
      <c r="F694" s="154"/>
      <c r="G694" s="154"/>
      <c r="H694" s="155"/>
      <c r="I694" s="155" t="s">
        <v>150</v>
      </c>
      <c r="J694" s="156" t="s">
        <v>108</v>
      </c>
      <c r="K694" s="155" t="s">
        <v>93</v>
      </c>
      <c r="L694" s="157">
        <v>35</v>
      </c>
      <c r="M694" s="157"/>
      <c r="N694" s="155" t="s">
        <v>99</v>
      </c>
      <c r="O694" s="152"/>
      <c r="P694" s="158"/>
      <c r="Q694" s="151"/>
      <c r="R694" s="151"/>
      <c r="S694" s="151"/>
      <c r="T694" s="151"/>
      <c r="U694" s="151"/>
      <c r="V694" s="151"/>
      <c r="W694" s="151"/>
    </row>
    <row r="695" s="40" customFormat="1" ht="15.75" spans="1:23">
      <c r="A695" s="151"/>
      <c r="B695" s="152"/>
      <c r="C695" s="152"/>
      <c r="D695" s="152"/>
      <c r="E695" s="152"/>
      <c r="F695" s="154"/>
      <c r="G695" s="154"/>
      <c r="H695" s="155"/>
      <c r="I695" s="155" t="s">
        <v>761</v>
      </c>
      <c r="J695" s="156" t="s">
        <v>108</v>
      </c>
      <c r="K695" s="155" t="s">
        <v>93</v>
      </c>
      <c r="L695" s="157">
        <v>40</v>
      </c>
      <c r="M695" s="157" t="s">
        <v>756</v>
      </c>
      <c r="N695" s="155" t="s">
        <v>99</v>
      </c>
      <c r="O695" s="152"/>
      <c r="P695" s="158"/>
      <c r="Q695" s="151"/>
      <c r="R695" s="151"/>
      <c r="S695" s="151"/>
      <c r="T695" s="151"/>
      <c r="U695" s="151"/>
      <c r="V695" s="151"/>
      <c r="W695" s="151"/>
    </row>
    <row r="696" s="40" customFormat="1" ht="15.75" spans="1:23">
      <c r="A696" s="151"/>
      <c r="B696" s="152"/>
      <c r="C696" s="152"/>
      <c r="D696" s="152"/>
      <c r="E696" s="152"/>
      <c r="F696" s="154"/>
      <c r="G696" s="154"/>
      <c r="H696" s="155"/>
      <c r="I696" s="155" t="s">
        <v>479</v>
      </c>
      <c r="J696" s="156" t="s">
        <v>97</v>
      </c>
      <c r="K696" s="155" t="s">
        <v>134</v>
      </c>
      <c r="L696" s="157" t="s">
        <v>762</v>
      </c>
      <c r="M696" s="157"/>
      <c r="N696" s="155" t="s">
        <v>99</v>
      </c>
      <c r="O696" s="152"/>
      <c r="P696" s="158"/>
      <c r="Q696" s="151"/>
      <c r="R696" s="151"/>
      <c r="S696" s="151"/>
      <c r="T696" s="151"/>
      <c r="U696" s="151"/>
      <c r="V696" s="151"/>
      <c r="W696" s="151"/>
    </row>
    <row r="697" s="40" customFormat="1" ht="15.75" spans="1:23">
      <c r="A697" s="151"/>
      <c r="B697" s="152"/>
      <c r="C697" s="152"/>
      <c r="D697" s="152"/>
      <c r="E697" s="152"/>
      <c r="F697" s="154"/>
      <c r="G697" s="154"/>
      <c r="H697" s="155"/>
      <c r="I697" s="155" t="s">
        <v>142</v>
      </c>
      <c r="J697" s="156" t="s">
        <v>97</v>
      </c>
      <c r="K697" s="155" t="s">
        <v>93</v>
      </c>
      <c r="L697" s="157">
        <v>20</v>
      </c>
      <c r="M697" s="157"/>
      <c r="N697" s="155" t="s">
        <v>99</v>
      </c>
      <c r="O697" s="152"/>
      <c r="P697" s="158"/>
      <c r="Q697" s="151"/>
      <c r="R697" s="151"/>
      <c r="S697" s="151"/>
      <c r="T697" s="151"/>
      <c r="U697" s="151"/>
      <c r="V697" s="151"/>
      <c r="W697" s="151"/>
    </row>
    <row r="698" s="40" customFormat="1" ht="15.75" spans="1:23">
      <c r="A698" s="151"/>
      <c r="B698" s="152"/>
      <c r="C698" s="152"/>
      <c r="D698" s="152"/>
      <c r="E698" s="152"/>
      <c r="F698" s="154"/>
      <c r="G698" s="154"/>
      <c r="H698" s="155"/>
      <c r="I698" s="155" t="s">
        <v>763</v>
      </c>
      <c r="J698" s="156" t="s">
        <v>108</v>
      </c>
      <c r="K698" s="155" t="s">
        <v>134</v>
      </c>
      <c r="L698" s="157">
        <v>8</v>
      </c>
      <c r="M698" s="157" t="s">
        <v>756</v>
      </c>
      <c r="N698" s="155" t="s">
        <v>99</v>
      </c>
      <c r="O698" s="152"/>
      <c r="P698" s="158"/>
      <c r="Q698" s="151"/>
      <c r="R698" s="151"/>
      <c r="S698" s="151"/>
      <c r="T698" s="151"/>
      <c r="U698" s="151"/>
      <c r="V698" s="151"/>
      <c r="W698" s="151"/>
    </row>
    <row r="699" s="40" customFormat="1" ht="15.75" spans="1:23">
      <c r="A699" s="151" t="s">
        <v>815</v>
      </c>
      <c r="B699" s="152" t="s">
        <v>816</v>
      </c>
      <c r="C699" s="152" t="s">
        <v>173</v>
      </c>
      <c r="D699" s="153" t="s">
        <v>102</v>
      </c>
      <c r="E699" s="153" t="s">
        <v>103</v>
      </c>
      <c r="F699" s="154" t="s">
        <v>817</v>
      </c>
      <c r="G699" s="154" t="s">
        <v>818</v>
      </c>
      <c r="H699" s="155" t="s">
        <v>85</v>
      </c>
      <c r="I699" s="155" t="s">
        <v>209</v>
      </c>
      <c r="J699" s="156" t="s">
        <v>108</v>
      </c>
      <c r="K699" s="155" t="s">
        <v>93</v>
      </c>
      <c r="L699" s="157">
        <v>12</v>
      </c>
      <c r="M699" s="157"/>
      <c r="N699" s="155" t="s">
        <v>99</v>
      </c>
      <c r="O699" s="152" t="s">
        <v>39</v>
      </c>
      <c r="P699" s="158" t="s">
        <v>143</v>
      </c>
      <c r="Q699" s="151" t="s">
        <v>112</v>
      </c>
      <c r="R699" s="151" t="s">
        <v>113</v>
      </c>
      <c r="S699" s="151" t="s">
        <v>753</v>
      </c>
      <c r="T699" s="151" t="s">
        <v>41</v>
      </c>
      <c r="U699" s="151" t="s">
        <v>754</v>
      </c>
      <c r="V699" s="151" t="s">
        <v>116</v>
      </c>
      <c r="W699" s="151" t="s">
        <v>117</v>
      </c>
    </row>
    <row r="700" s="40" customFormat="1" customHeight="1" spans="1:23">
      <c r="A700" s="151"/>
      <c r="B700" s="152"/>
      <c r="C700" s="152"/>
      <c r="D700" s="152"/>
      <c r="E700" s="152"/>
      <c r="F700" s="154"/>
      <c r="G700" s="154"/>
      <c r="H700" s="155"/>
      <c r="I700" s="155" t="s">
        <v>86</v>
      </c>
      <c r="J700" s="156" t="s">
        <v>87</v>
      </c>
      <c r="K700" s="155" t="s">
        <v>93</v>
      </c>
      <c r="L700" s="157">
        <v>2</v>
      </c>
      <c r="M700" s="157" t="s">
        <v>89</v>
      </c>
      <c r="N700" s="155" t="s">
        <v>110</v>
      </c>
      <c r="O700" s="152"/>
      <c r="P700" s="158"/>
      <c r="Q700" s="151"/>
      <c r="R700" s="151"/>
      <c r="S700" s="151"/>
      <c r="T700" s="151"/>
      <c r="U700" s="151"/>
      <c r="V700" s="151"/>
      <c r="W700" s="151"/>
    </row>
    <row r="701" s="40" customFormat="1" customHeight="1" spans="1:23">
      <c r="A701" s="151"/>
      <c r="B701" s="152"/>
      <c r="C701" s="152"/>
      <c r="D701" s="152"/>
      <c r="E701" s="152"/>
      <c r="F701" s="154"/>
      <c r="G701" s="154"/>
      <c r="H701" s="155"/>
      <c r="I701" s="155" t="s">
        <v>267</v>
      </c>
      <c r="J701" s="156" t="s">
        <v>87</v>
      </c>
      <c r="K701" s="155" t="s">
        <v>93</v>
      </c>
      <c r="L701" s="157">
        <v>10</v>
      </c>
      <c r="M701" s="157" t="s">
        <v>89</v>
      </c>
      <c r="N701" s="155" t="s">
        <v>110</v>
      </c>
      <c r="O701" s="152"/>
      <c r="P701" s="158"/>
      <c r="Q701" s="151"/>
      <c r="R701" s="151"/>
      <c r="S701" s="151"/>
      <c r="T701" s="151"/>
      <c r="U701" s="151"/>
      <c r="V701" s="151"/>
      <c r="W701" s="151"/>
    </row>
    <row r="702" s="40" customFormat="1" ht="15.75" spans="1:23">
      <c r="A702" s="151"/>
      <c r="B702" s="152"/>
      <c r="C702" s="152"/>
      <c r="D702" s="152"/>
      <c r="E702" s="152"/>
      <c r="F702" s="154"/>
      <c r="G702" s="154"/>
      <c r="H702" s="155"/>
      <c r="I702" s="155" t="s">
        <v>192</v>
      </c>
      <c r="J702" s="156" t="s">
        <v>108</v>
      </c>
      <c r="K702" s="155" t="s">
        <v>93</v>
      </c>
      <c r="L702" s="157">
        <v>20</v>
      </c>
      <c r="M702" s="157"/>
      <c r="N702" s="155" t="s">
        <v>99</v>
      </c>
      <c r="O702" s="152"/>
      <c r="P702" s="158"/>
      <c r="Q702" s="151"/>
      <c r="R702" s="151"/>
      <c r="S702" s="151"/>
      <c r="T702" s="151"/>
      <c r="U702" s="151"/>
      <c r="V702" s="151"/>
      <c r="W702" s="151"/>
    </row>
    <row r="703" s="40" customFormat="1" customHeight="1" spans="1:23">
      <c r="A703" s="151"/>
      <c r="B703" s="152"/>
      <c r="C703" s="152"/>
      <c r="D703" s="152"/>
      <c r="E703" s="152"/>
      <c r="F703" s="154"/>
      <c r="G703" s="154"/>
      <c r="H703" s="159" t="s">
        <v>132</v>
      </c>
      <c r="I703" s="155" t="s">
        <v>133</v>
      </c>
      <c r="J703" s="156" t="s">
        <v>87</v>
      </c>
      <c r="K703" s="155" t="s">
        <v>134</v>
      </c>
      <c r="L703" s="157">
        <v>10</v>
      </c>
      <c r="M703" s="157"/>
      <c r="N703" s="155" t="s">
        <v>99</v>
      </c>
      <c r="O703" s="152"/>
      <c r="P703" s="158"/>
      <c r="Q703" s="151"/>
      <c r="R703" s="151"/>
      <c r="S703" s="151"/>
      <c r="T703" s="151"/>
      <c r="U703" s="151"/>
      <c r="V703" s="151"/>
      <c r="W703" s="151"/>
    </row>
    <row r="704" s="40" customFormat="1" customHeight="1" spans="1:23">
      <c r="A704" s="151"/>
      <c r="B704" s="152"/>
      <c r="C704" s="152"/>
      <c r="D704" s="152"/>
      <c r="E704" s="152"/>
      <c r="F704" s="154"/>
      <c r="G704" s="154"/>
      <c r="H704" s="160"/>
      <c r="I704" s="155" t="s">
        <v>755</v>
      </c>
      <c r="J704" s="156" t="s">
        <v>87</v>
      </c>
      <c r="K704" s="155" t="s">
        <v>134</v>
      </c>
      <c r="L704" s="157">
        <v>3</v>
      </c>
      <c r="M704" s="157"/>
      <c r="N704" s="155" t="s">
        <v>99</v>
      </c>
      <c r="O704" s="152"/>
      <c r="P704" s="158"/>
      <c r="Q704" s="151"/>
      <c r="R704" s="151"/>
      <c r="S704" s="151"/>
      <c r="T704" s="151"/>
      <c r="U704" s="151"/>
      <c r="V704" s="151"/>
      <c r="W704" s="151"/>
    </row>
    <row r="705" s="40" customFormat="1" customHeight="1" spans="1:23">
      <c r="A705" s="151"/>
      <c r="B705" s="152"/>
      <c r="C705" s="152"/>
      <c r="D705" s="152"/>
      <c r="E705" s="152"/>
      <c r="F705" s="154"/>
      <c r="G705" s="154"/>
      <c r="H705" s="155" t="s">
        <v>91</v>
      </c>
      <c r="I705" s="155" t="s">
        <v>92</v>
      </c>
      <c r="J705" s="156" t="s">
        <v>87</v>
      </c>
      <c r="K705" s="155" t="s">
        <v>93</v>
      </c>
      <c r="L705" s="157">
        <v>10</v>
      </c>
      <c r="M705" s="157" t="s">
        <v>756</v>
      </c>
      <c r="N705" s="155" t="s">
        <v>99</v>
      </c>
      <c r="O705" s="152"/>
      <c r="P705" s="158"/>
      <c r="Q705" s="151"/>
      <c r="R705" s="151"/>
      <c r="S705" s="151"/>
      <c r="T705" s="151"/>
      <c r="U705" s="151"/>
      <c r="V705" s="151"/>
      <c r="W705" s="151"/>
    </row>
    <row r="706" s="40" customFormat="1" ht="15.75" spans="1:23">
      <c r="A706" s="151"/>
      <c r="B706" s="152"/>
      <c r="C706" s="152"/>
      <c r="D706" s="152"/>
      <c r="E706" s="152"/>
      <c r="F706" s="154"/>
      <c r="G706" s="154"/>
      <c r="H706" s="155" t="s">
        <v>141</v>
      </c>
      <c r="I706" s="155" t="s">
        <v>457</v>
      </c>
      <c r="J706" s="156" t="s">
        <v>108</v>
      </c>
      <c r="K706" s="155" t="s">
        <v>134</v>
      </c>
      <c r="L706" s="157">
        <v>15</v>
      </c>
      <c r="M706" s="157" t="s">
        <v>756</v>
      </c>
      <c r="N706" s="155" t="s">
        <v>99</v>
      </c>
      <c r="O706" s="152"/>
      <c r="P706" s="158"/>
      <c r="Q706" s="151"/>
      <c r="R706" s="151"/>
      <c r="S706" s="151"/>
      <c r="T706" s="151"/>
      <c r="U706" s="151"/>
      <c r="V706" s="151"/>
      <c r="W706" s="151"/>
    </row>
    <row r="707" s="40" customFormat="1" ht="15.75" spans="1:23">
      <c r="A707" s="151"/>
      <c r="B707" s="152"/>
      <c r="C707" s="152"/>
      <c r="D707" s="152"/>
      <c r="E707" s="152"/>
      <c r="F707" s="154"/>
      <c r="G707" s="154"/>
      <c r="H707" s="155"/>
      <c r="I707" s="155" t="s">
        <v>150</v>
      </c>
      <c r="J707" s="156" t="s">
        <v>108</v>
      </c>
      <c r="K707" s="155" t="s">
        <v>93</v>
      </c>
      <c r="L707" s="157">
        <v>20</v>
      </c>
      <c r="M707" s="157"/>
      <c r="N707" s="155" t="s">
        <v>99</v>
      </c>
      <c r="O707" s="152"/>
      <c r="P707" s="158"/>
      <c r="Q707" s="151"/>
      <c r="R707" s="151"/>
      <c r="S707" s="151"/>
      <c r="T707" s="151"/>
      <c r="U707" s="151"/>
      <c r="V707" s="151"/>
      <c r="W707" s="151"/>
    </row>
    <row r="708" s="40" customFormat="1" ht="15.75" spans="1:23">
      <c r="A708" s="151"/>
      <c r="B708" s="152"/>
      <c r="C708" s="152"/>
      <c r="D708" s="152"/>
      <c r="E708" s="152"/>
      <c r="F708" s="154"/>
      <c r="G708" s="154"/>
      <c r="H708" s="155"/>
      <c r="I708" s="155" t="s">
        <v>479</v>
      </c>
      <c r="J708" s="156" t="s">
        <v>97</v>
      </c>
      <c r="K708" s="155" t="s">
        <v>134</v>
      </c>
      <c r="L708" s="157" t="s">
        <v>762</v>
      </c>
      <c r="M708" s="157"/>
      <c r="N708" s="155" t="s">
        <v>99</v>
      </c>
      <c r="O708" s="152"/>
      <c r="P708" s="158"/>
      <c r="Q708" s="151"/>
      <c r="R708" s="151"/>
      <c r="S708" s="151"/>
      <c r="T708" s="151"/>
      <c r="U708" s="151"/>
      <c r="V708" s="151"/>
      <c r="W708" s="151"/>
    </row>
    <row r="709" s="40" customFormat="1" ht="15.75" spans="1:23">
      <c r="A709" s="151"/>
      <c r="B709" s="152"/>
      <c r="C709" s="152"/>
      <c r="D709" s="152"/>
      <c r="E709" s="152"/>
      <c r="F709" s="154"/>
      <c r="G709" s="154"/>
      <c r="H709" s="155"/>
      <c r="I709" s="155" t="s">
        <v>142</v>
      </c>
      <c r="J709" s="156" t="s">
        <v>97</v>
      </c>
      <c r="K709" s="155" t="s">
        <v>93</v>
      </c>
      <c r="L709" s="157">
        <v>10</v>
      </c>
      <c r="M709" s="157"/>
      <c r="N709" s="155" t="s">
        <v>99</v>
      </c>
      <c r="O709" s="152"/>
      <c r="P709" s="158"/>
      <c r="Q709" s="151"/>
      <c r="R709" s="151"/>
      <c r="S709" s="151"/>
      <c r="T709" s="151"/>
      <c r="U709" s="151"/>
      <c r="V709" s="151"/>
      <c r="W709" s="151"/>
    </row>
    <row r="710" s="40" customFormat="1" ht="15.75" spans="1:23">
      <c r="A710" s="151"/>
      <c r="B710" s="152"/>
      <c r="C710" s="152"/>
      <c r="D710" s="152"/>
      <c r="E710" s="152"/>
      <c r="F710" s="154"/>
      <c r="G710" s="154"/>
      <c r="H710" s="155"/>
      <c r="I710" s="155" t="s">
        <v>763</v>
      </c>
      <c r="J710" s="156" t="s">
        <v>108</v>
      </c>
      <c r="K710" s="155" t="s">
        <v>134</v>
      </c>
      <c r="L710" s="157">
        <v>8</v>
      </c>
      <c r="M710" s="157" t="s">
        <v>756</v>
      </c>
      <c r="N710" s="155" t="s">
        <v>99</v>
      </c>
      <c r="O710" s="152"/>
      <c r="P710" s="158"/>
      <c r="Q710" s="151"/>
      <c r="R710" s="151"/>
      <c r="S710" s="151"/>
      <c r="T710" s="151"/>
      <c r="U710" s="151"/>
      <c r="V710" s="151"/>
      <c r="W710" s="151"/>
    </row>
    <row r="711" s="40" customFormat="1" ht="15.75" spans="1:23">
      <c r="A711" s="151" t="s">
        <v>819</v>
      </c>
      <c r="B711" s="152" t="s">
        <v>820</v>
      </c>
      <c r="C711" s="152" t="s">
        <v>83</v>
      </c>
      <c r="D711" s="153" t="s">
        <v>102</v>
      </c>
      <c r="E711" s="153" t="s">
        <v>103</v>
      </c>
      <c r="F711" s="154" t="s">
        <v>821</v>
      </c>
      <c r="G711" s="154" t="s">
        <v>822</v>
      </c>
      <c r="H711" s="155" t="s">
        <v>85</v>
      </c>
      <c r="I711" s="155" t="s">
        <v>209</v>
      </c>
      <c r="J711" s="156" t="s">
        <v>108</v>
      </c>
      <c r="K711" s="155" t="s">
        <v>93</v>
      </c>
      <c r="L711" s="157">
        <v>12</v>
      </c>
      <c r="M711" s="157"/>
      <c r="N711" s="155" t="s">
        <v>99</v>
      </c>
      <c r="O711" s="152" t="s">
        <v>39</v>
      </c>
      <c r="P711" s="158" t="s">
        <v>143</v>
      </c>
      <c r="Q711" s="151" t="s">
        <v>112</v>
      </c>
      <c r="R711" s="151" t="s">
        <v>113</v>
      </c>
      <c r="S711" s="151" t="s">
        <v>753</v>
      </c>
      <c r="T711" s="151" t="s">
        <v>41</v>
      </c>
      <c r="U711" s="151" t="s">
        <v>754</v>
      </c>
      <c r="V711" s="151" t="s">
        <v>116</v>
      </c>
      <c r="W711" s="151" t="s">
        <v>117</v>
      </c>
    </row>
    <row r="712" s="40" customFormat="1" customHeight="1" spans="1:23">
      <c r="A712" s="151"/>
      <c r="B712" s="152"/>
      <c r="C712" s="152"/>
      <c r="D712" s="152"/>
      <c r="E712" s="152"/>
      <c r="F712" s="154"/>
      <c r="G712" s="154"/>
      <c r="H712" s="155"/>
      <c r="I712" s="155" t="s">
        <v>86</v>
      </c>
      <c r="J712" s="156" t="s">
        <v>87</v>
      </c>
      <c r="K712" s="155" t="s">
        <v>93</v>
      </c>
      <c r="L712" s="157">
        <v>2</v>
      </c>
      <c r="M712" s="157" t="s">
        <v>89</v>
      </c>
      <c r="N712" s="155" t="s">
        <v>110</v>
      </c>
      <c r="O712" s="152"/>
      <c r="P712" s="158"/>
      <c r="Q712" s="151"/>
      <c r="R712" s="151"/>
      <c r="S712" s="151"/>
      <c r="T712" s="151"/>
      <c r="U712" s="151"/>
      <c r="V712" s="151"/>
      <c r="W712" s="151"/>
    </row>
    <row r="713" s="40" customFormat="1" customHeight="1" spans="1:23">
      <c r="A713" s="151"/>
      <c r="B713" s="152"/>
      <c r="C713" s="152"/>
      <c r="D713" s="152"/>
      <c r="E713" s="152"/>
      <c r="F713" s="154"/>
      <c r="G713" s="154"/>
      <c r="H713" s="155"/>
      <c r="I713" s="155" t="s">
        <v>267</v>
      </c>
      <c r="J713" s="156" t="s">
        <v>87</v>
      </c>
      <c r="K713" s="155" t="s">
        <v>93</v>
      </c>
      <c r="L713" s="157">
        <v>4.5</v>
      </c>
      <c r="M713" s="157" t="s">
        <v>89</v>
      </c>
      <c r="N713" s="155" t="s">
        <v>110</v>
      </c>
      <c r="O713" s="152"/>
      <c r="P713" s="158"/>
      <c r="Q713" s="151"/>
      <c r="R713" s="151"/>
      <c r="S713" s="151"/>
      <c r="T713" s="151"/>
      <c r="U713" s="151"/>
      <c r="V713" s="151"/>
      <c r="W713" s="151"/>
    </row>
    <row r="714" s="40" customFormat="1" ht="15.75" spans="1:23">
      <c r="A714" s="151"/>
      <c r="B714" s="152"/>
      <c r="C714" s="152"/>
      <c r="D714" s="152"/>
      <c r="E714" s="152"/>
      <c r="F714" s="154"/>
      <c r="G714" s="154"/>
      <c r="H714" s="155"/>
      <c r="I714" s="155" t="s">
        <v>192</v>
      </c>
      <c r="J714" s="156" t="s">
        <v>108</v>
      </c>
      <c r="K714" s="155" t="s">
        <v>93</v>
      </c>
      <c r="L714" s="157">
        <v>2</v>
      </c>
      <c r="M714" s="157"/>
      <c r="N714" s="155" t="s">
        <v>99</v>
      </c>
      <c r="O714" s="152"/>
      <c r="P714" s="158"/>
      <c r="Q714" s="151"/>
      <c r="R714" s="151"/>
      <c r="S714" s="151"/>
      <c r="T714" s="151"/>
      <c r="U714" s="151"/>
      <c r="V714" s="151"/>
      <c r="W714" s="151"/>
    </row>
    <row r="715" s="40" customFormat="1" customHeight="1" spans="1:23">
      <c r="A715" s="151"/>
      <c r="B715" s="152"/>
      <c r="C715" s="152"/>
      <c r="D715" s="152"/>
      <c r="E715" s="152"/>
      <c r="F715" s="154"/>
      <c r="G715" s="154"/>
      <c r="H715" s="159" t="s">
        <v>132</v>
      </c>
      <c r="I715" s="155" t="s">
        <v>133</v>
      </c>
      <c r="J715" s="156" t="s">
        <v>87</v>
      </c>
      <c r="K715" s="155" t="s">
        <v>134</v>
      </c>
      <c r="L715" s="157">
        <v>10</v>
      </c>
      <c r="M715" s="157"/>
      <c r="N715" s="155" t="s">
        <v>99</v>
      </c>
      <c r="O715" s="152"/>
      <c r="P715" s="158"/>
      <c r="Q715" s="151"/>
      <c r="R715" s="151"/>
      <c r="S715" s="151"/>
      <c r="T715" s="151"/>
      <c r="U715" s="151"/>
      <c r="V715" s="151"/>
      <c r="W715" s="151"/>
    </row>
    <row r="716" s="40" customFormat="1" customHeight="1" spans="1:23">
      <c r="A716" s="151"/>
      <c r="B716" s="152"/>
      <c r="C716" s="152"/>
      <c r="D716" s="152"/>
      <c r="E716" s="152"/>
      <c r="F716" s="154"/>
      <c r="G716" s="154"/>
      <c r="H716" s="160"/>
      <c r="I716" s="155" t="s">
        <v>755</v>
      </c>
      <c r="J716" s="156" t="s">
        <v>87</v>
      </c>
      <c r="K716" s="155" t="s">
        <v>134</v>
      </c>
      <c r="L716" s="157">
        <v>3</v>
      </c>
      <c r="M716" s="157"/>
      <c r="N716" s="155" t="s">
        <v>99</v>
      </c>
      <c r="O716" s="152"/>
      <c r="P716" s="158"/>
      <c r="Q716" s="151"/>
      <c r="R716" s="151"/>
      <c r="S716" s="151"/>
      <c r="T716" s="151"/>
      <c r="U716" s="151"/>
      <c r="V716" s="151"/>
      <c r="W716" s="151"/>
    </row>
    <row r="717" s="40" customFormat="1" customHeight="1" spans="1:23">
      <c r="A717" s="151"/>
      <c r="B717" s="152"/>
      <c r="C717" s="152"/>
      <c r="D717" s="152"/>
      <c r="E717" s="152"/>
      <c r="F717" s="154"/>
      <c r="G717" s="154"/>
      <c r="H717" s="155" t="s">
        <v>91</v>
      </c>
      <c r="I717" s="155" t="s">
        <v>92</v>
      </c>
      <c r="J717" s="156" t="s">
        <v>87</v>
      </c>
      <c r="K717" s="155" t="s">
        <v>93</v>
      </c>
      <c r="L717" s="157">
        <v>10</v>
      </c>
      <c r="M717" s="157" t="s">
        <v>756</v>
      </c>
      <c r="N717" s="155" t="s">
        <v>99</v>
      </c>
      <c r="O717" s="152"/>
      <c r="P717" s="158"/>
      <c r="Q717" s="151"/>
      <c r="R717" s="151"/>
      <c r="S717" s="151"/>
      <c r="T717" s="151"/>
      <c r="U717" s="151"/>
      <c r="V717" s="151"/>
      <c r="W717" s="151"/>
    </row>
    <row r="718" s="40" customFormat="1" ht="15.75" spans="1:23">
      <c r="A718" s="151"/>
      <c r="B718" s="152"/>
      <c r="C718" s="152"/>
      <c r="D718" s="152"/>
      <c r="E718" s="152"/>
      <c r="F718" s="154"/>
      <c r="G718" s="154"/>
      <c r="H718" s="155"/>
      <c r="I718" s="155" t="s">
        <v>475</v>
      </c>
      <c r="J718" s="156" t="s">
        <v>108</v>
      </c>
      <c r="K718" s="155" t="s">
        <v>93</v>
      </c>
      <c r="L718" s="157">
        <v>4</v>
      </c>
      <c r="M718" s="157" t="s">
        <v>757</v>
      </c>
      <c r="N718" s="155" t="s">
        <v>99</v>
      </c>
      <c r="O718" s="152"/>
      <c r="P718" s="158"/>
      <c r="Q718" s="151"/>
      <c r="R718" s="151"/>
      <c r="S718" s="151"/>
      <c r="T718" s="151"/>
      <c r="U718" s="151"/>
      <c r="V718" s="151"/>
      <c r="W718" s="151"/>
    </row>
    <row r="719" s="40" customFormat="1" ht="15.75" spans="1:23">
      <c r="A719" s="151"/>
      <c r="B719" s="152"/>
      <c r="C719" s="152"/>
      <c r="D719" s="152"/>
      <c r="E719" s="152"/>
      <c r="F719" s="154"/>
      <c r="G719" s="154"/>
      <c r="H719" s="155" t="s">
        <v>106</v>
      </c>
      <c r="I719" s="155" t="s">
        <v>283</v>
      </c>
      <c r="J719" s="156" t="s">
        <v>108</v>
      </c>
      <c r="K719" s="155" t="s">
        <v>134</v>
      </c>
      <c r="L719" s="157">
        <v>5.5</v>
      </c>
      <c r="M719" s="157"/>
      <c r="N719" s="155" t="s">
        <v>99</v>
      </c>
      <c r="O719" s="152"/>
      <c r="P719" s="158"/>
      <c r="Q719" s="151"/>
      <c r="R719" s="151"/>
      <c r="S719" s="151"/>
      <c r="T719" s="151"/>
      <c r="U719" s="151"/>
      <c r="V719" s="151"/>
      <c r="W719" s="151"/>
    </row>
    <row r="720" s="40" customFormat="1" customHeight="1" spans="1:23">
      <c r="A720" s="151"/>
      <c r="B720" s="152"/>
      <c r="C720" s="152"/>
      <c r="D720" s="152"/>
      <c r="E720" s="152"/>
      <c r="F720" s="154"/>
      <c r="G720" s="154"/>
      <c r="H720" s="155"/>
      <c r="I720" s="155" t="s">
        <v>249</v>
      </c>
      <c r="J720" s="155" t="s">
        <v>87</v>
      </c>
      <c r="K720" s="155" t="s">
        <v>134</v>
      </c>
      <c r="L720" s="157">
        <v>1</v>
      </c>
      <c r="M720" s="157"/>
      <c r="N720" s="155" t="s">
        <v>99</v>
      </c>
      <c r="O720" s="152"/>
      <c r="P720" s="158"/>
      <c r="Q720" s="151"/>
      <c r="R720" s="151"/>
      <c r="S720" s="151"/>
      <c r="T720" s="151"/>
      <c r="U720" s="151"/>
      <c r="V720" s="151"/>
      <c r="W720" s="151"/>
    </row>
    <row r="721" s="40" customFormat="1" ht="15.75" spans="1:23">
      <c r="A721" s="151"/>
      <c r="B721" s="152"/>
      <c r="C721" s="152"/>
      <c r="D721" s="152"/>
      <c r="E721" s="152"/>
      <c r="F721" s="154"/>
      <c r="G721" s="154"/>
      <c r="H721" s="155" t="s">
        <v>141</v>
      </c>
      <c r="I721" s="155" t="s">
        <v>457</v>
      </c>
      <c r="J721" s="156" t="s">
        <v>108</v>
      </c>
      <c r="K721" s="155" t="s">
        <v>134</v>
      </c>
      <c r="L721" s="157">
        <v>15</v>
      </c>
      <c r="M721" s="157" t="s">
        <v>756</v>
      </c>
      <c r="N721" s="155" t="s">
        <v>99</v>
      </c>
      <c r="O721" s="152"/>
      <c r="P721" s="158"/>
      <c r="Q721" s="151"/>
      <c r="R721" s="151"/>
      <c r="S721" s="151"/>
      <c r="T721" s="151"/>
      <c r="U721" s="151"/>
      <c r="V721" s="151"/>
      <c r="W721" s="151"/>
    </row>
    <row r="722" s="40" customFormat="1" ht="15.75" spans="1:23">
      <c r="A722" s="151"/>
      <c r="B722" s="152"/>
      <c r="C722" s="152"/>
      <c r="D722" s="152"/>
      <c r="E722" s="152"/>
      <c r="F722" s="154"/>
      <c r="G722" s="154"/>
      <c r="H722" s="155"/>
      <c r="I722" s="155" t="s">
        <v>759</v>
      </c>
      <c r="J722" s="156" t="s">
        <v>108</v>
      </c>
      <c r="K722" s="155" t="s">
        <v>93</v>
      </c>
      <c r="L722" s="157">
        <v>20</v>
      </c>
      <c r="M722" s="157" t="s">
        <v>760</v>
      </c>
      <c r="N722" s="155" t="s">
        <v>99</v>
      </c>
      <c r="O722" s="152"/>
      <c r="P722" s="158"/>
      <c r="Q722" s="151"/>
      <c r="R722" s="151"/>
      <c r="S722" s="151"/>
      <c r="T722" s="151"/>
      <c r="U722" s="151"/>
      <c r="V722" s="151"/>
      <c r="W722" s="151"/>
    </row>
    <row r="723" s="40" customFormat="1" ht="15.75" spans="1:23">
      <c r="A723" s="151"/>
      <c r="B723" s="152"/>
      <c r="C723" s="152"/>
      <c r="D723" s="152"/>
      <c r="E723" s="152"/>
      <c r="F723" s="154"/>
      <c r="G723" s="154"/>
      <c r="H723" s="155"/>
      <c r="I723" s="155" t="s">
        <v>150</v>
      </c>
      <c r="J723" s="156" t="s">
        <v>108</v>
      </c>
      <c r="K723" s="155" t="s">
        <v>93</v>
      </c>
      <c r="L723" s="157">
        <v>35</v>
      </c>
      <c r="M723" s="157"/>
      <c r="N723" s="155" t="s">
        <v>99</v>
      </c>
      <c r="O723" s="152"/>
      <c r="P723" s="158"/>
      <c r="Q723" s="151"/>
      <c r="R723" s="151"/>
      <c r="S723" s="151"/>
      <c r="T723" s="151"/>
      <c r="U723" s="151"/>
      <c r="V723" s="151"/>
      <c r="W723" s="151"/>
    </row>
    <row r="724" s="40" customFormat="1" ht="15.75" spans="1:23">
      <c r="A724" s="151"/>
      <c r="B724" s="152"/>
      <c r="C724" s="152"/>
      <c r="D724" s="152"/>
      <c r="E724" s="152"/>
      <c r="F724" s="154"/>
      <c r="G724" s="154"/>
      <c r="H724" s="155"/>
      <c r="I724" s="155" t="s">
        <v>761</v>
      </c>
      <c r="J724" s="156" t="s">
        <v>108</v>
      </c>
      <c r="K724" s="155" t="s">
        <v>93</v>
      </c>
      <c r="L724" s="157">
        <v>40</v>
      </c>
      <c r="M724" s="157" t="s">
        <v>756</v>
      </c>
      <c r="N724" s="155" t="s">
        <v>99</v>
      </c>
      <c r="O724" s="152"/>
      <c r="P724" s="158"/>
      <c r="Q724" s="151"/>
      <c r="R724" s="151"/>
      <c r="S724" s="151"/>
      <c r="T724" s="151"/>
      <c r="U724" s="151"/>
      <c r="V724" s="151"/>
      <c r="W724" s="151"/>
    </row>
    <row r="725" s="40" customFormat="1" ht="15.75" spans="1:23">
      <c r="A725" s="151"/>
      <c r="B725" s="152"/>
      <c r="C725" s="152"/>
      <c r="D725" s="152"/>
      <c r="E725" s="152"/>
      <c r="F725" s="154"/>
      <c r="G725" s="154"/>
      <c r="H725" s="155"/>
      <c r="I725" s="155" t="s">
        <v>479</v>
      </c>
      <c r="J725" s="156" t="s">
        <v>97</v>
      </c>
      <c r="K725" s="155" t="s">
        <v>134</v>
      </c>
      <c r="L725" s="157" t="s">
        <v>762</v>
      </c>
      <c r="M725" s="157"/>
      <c r="N725" s="155" t="s">
        <v>99</v>
      </c>
      <c r="O725" s="152"/>
      <c r="P725" s="158"/>
      <c r="Q725" s="151"/>
      <c r="R725" s="151"/>
      <c r="S725" s="151"/>
      <c r="T725" s="151"/>
      <c r="U725" s="151"/>
      <c r="V725" s="151"/>
      <c r="W725" s="151"/>
    </row>
    <row r="726" s="40" customFormat="1" ht="15.75" spans="1:23">
      <c r="A726" s="151"/>
      <c r="B726" s="152"/>
      <c r="C726" s="152"/>
      <c r="D726" s="152"/>
      <c r="E726" s="152"/>
      <c r="F726" s="154"/>
      <c r="G726" s="154"/>
      <c r="H726" s="155"/>
      <c r="I726" s="155" t="s">
        <v>142</v>
      </c>
      <c r="J726" s="156" t="s">
        <v>97</v>
      </c>
      <c r="K726" s="155" t="s">
        <v>93</v>
      </c>
      <c r="L726" s="157">
        <v>20</v>
      </c>
      <c r="M726" s="157"/>
      <c r="N726" s="155" t="s">
        <v>99</v>
      </c>
      <c r="O726" s="152"/>
      <c r="P726" s="158"/>
      <c r="Q726" s="151"/>
      <c r="R726" s="151"/>
      <c r="S726" s="151"/>
      <c r="T726" s="151"/>
      <c r="U726" s="151"/>
      <c r="V726" s="151"/>
      <c r="W726" s="151"/>
    </row>
    <row r="727" s="40" customFormat="1" ht="15.75" spans="1:23">
      <c r="A727" s="151"/>
      <c r="B727" s="152"/>
      <c r="C727" s="152"/>
      <c r="D727" s="152"/>
      <c r="E727" s="152"/>
      <c r="F727" s="154"/>
      <c r="G727" s="154"/>
      <c r="H727" s="155"/>
      <c r="I727" s="155" t="s">
        <v>763</v>
      </c>
      <c r="J727" s="156" t="s">
        <v>108</v>
      </c>
      <c r="K727" s="155" t="s">
        <v>134</v>
      </c>
      <c r="L727" s="157">
        <v>8</v>
      </c>
      <c r="M727" s="157" t="s">
        <v>756</v>
      </c>
      <c r="N727" s="155" t="s">
        <v>99</v>
      </c>
      <c r="O727" s="152"/>
      <c r="P727" s="158"/>
      <c r="Q727" s="151"/>
      <c r="R727" s="151"/>
      <c r="S727" s="151"/>
      <c r="T727" s="151"/>
      <c r="U727" s="151"/>
      <c r="V727" s="151"/>
      <c r="W727" s="151"/>
    </row>
    <row r="728" s="40" customFormat="1" ht="15.75" spans="1:23">
      <c r="A728" s="151" t="s">
        <v>823</v>
      </c>
      <c r="B728" s="152" t="s">
        <v>824</v>
      </c>
      <c r="C728" s="152" t="s">
        <v>173</v>
      </c>
      <c r="D728" s="153" t="s">
        <v>102</v>
      </c>
      <c r="E728" s="153" t="s">
        <v>103</v>
      </c>
      <c r="F728" s="154" t="s">
        <v>825</v>
      </c>
      <c r="G728" s="154" t="s">
        <v>826</v>
      </c>
      <c r="H728" s="155" t="s">
        <v>85</v>
      </c>
      <c r="I728" s="155" t="s">
        <v>209</v>
      </c>
      <c r="J728" s="156" t="s">
        <v>108</v>
      </c>
      <c r="K728" s="155" t="s">
        <v>93</v>
      </c>
      <c r="L728" s="157">
        <v>12</v>
      </c>
      <c r="M728" s="157"/>
      <c r="N728" s="155" t="s">
        <v>99</v>
      </c>
      <c r="O728" s="152" t="s">
        <v>39</v>
      </c>
      <c r="P728" s="158" t="s">
        <v>143</v>
      </c>
      <c r="Q728" s="151" t="s">
        <v>112</v>
      </c>
      <c r="R728" s="151" t="s">
        <v>113</v>
      </c>
      <c r="S728" s="151" t="s">
        <v>753</v>
      </c>
      <c r="T728" s="151" t="s">
        <v>41</v>
      </c>
      <c r="U728" s="151" t="s">
        <v>754</v>
      </c>
      <c r="V728" s="151" t="s">
        <v>116</v>
      </c>
      <c r="W728" s="151" t="s">
        <v>117</v>
      </c>
    </row>
    <row r="729" s="40" customFormat="1" customHeight="1" spans="1:23">
      <c r="A729" s="151"/>
      <c r="B729" s="152"/>
      <c r="C729" s="152"/>
      <c r="D729" s="152"/>
      <c r="E729" s="152"/>
      <c r="F729" s="154"/>
      <c r="G729" s="154"/>
      <c r="H729" s="155"/>
      <c r="I729" s="155" t="s">
        <v>86</v>
      </c>
      <c r="J729" s="156" t="s">
        <v>87</v>
      </c>
      <c r="K729" s="155" t="s">
        <v>93</v>
      </c>
      <c r="L729" s="157">
        <v>2</v>
      </c>
      <c r="M729" s="157" t="s">
        <v>89</v>
      </c>
      <c r="N729" s="155" t="s">
        <v>110</v>
      </c>
      <c r="O729" s="152"/>
      <c r="P729" s="158"/>
      <c r="Q729" s="151"/>
      <c r="R729" s="151"/>
      <c r="S729" s="151"/>
      <c r="T729" s="151"/>
      <c r="U729" s="151"/>
      <c r="V729" s="151"/>
      <c r="W729" s="151"/>
    </row>
    <row r="730" s="40" customFormat="1" customHeight="1" spans="1:23">
      <c r="A730" s="151"/>
      <c r="B730" s="152"/>
      <c r="C730" s="152"/>
      <c r="D730" s="152"/>
      <c r="E730" s="152"/>
      <c r="F730" s="154"/>
      <c r="G730" s="154"/>
      <c r="H730" s="155"/>
      <c r="I730" s="155" t="s">
        <v>267</v>
      </c>
      <c r="J730" s="156" t="s">
        <v>87</v>
      </c>
      <c r="K730" s="155" t="s">
        <v>93</v>
      </c>
      <c r="L730" s="157">
        <v>4.5</v>
      </c>
      <c r="M730" s="157" t="s">
        <v>89</v>
      </c>
      <c r="N730" s="155" t="s">
        <v>110</v>
      </c>
      <c r="O730" s="152"/>
      <c r="P730" s="158"/>
      <c r="Q730" s="151"/>
      <c r="R730" s="151"/>
      <c r="S730" s="151"/>
      <c r="T730" s="151"/>
      <c r="U730" s="151"/>
      <c r="V730" s="151"/>
      <c r="W730" s="151"/>
    </row>
    <row r="731" s="40" customFormat="1" ht="15.75" spans="1:23">
      <c r="A731" s="151"/>
      <c r="B731" s="152"/>
      <c r="C731" s="152"/>
      <c r="D731" s="152"/>
      <c r="E731" s="152"/>
      <c r="F731" s="154"/>
      <c r="G731" s="154"/>
      <c r="H731" s="155"/>
      <c r="I731" s="155" t="s">
        <v>192</v>
      </c>
      <c r="J731" s="156" t="s">
        <v>108</v>
      </c>
      <c r="K731" s="155" t="s">
        <v>93</v>
      </c>
      <c r="L731" s="157">
        <v>2</v>
      </c>
      <c r="M731" s="157"/>
      <c r="N731" s="155" t="s">
        <v>99</v>
      </c>
      <c r="O731" s="152"/>
      <c r="P731" s="158"/>
      <c r="Q731" s="151"/>
      <c r="R731" s="151"/>
      <c r="S731" s="151"/>
      <c r="T731" s="151"/>
      <c r="U731" s="151"/>
      <c r="V731" s="151"/>
      <c r="W731" s="151"/>
    </row>
    <row r="732" s="40" customFormat="1" customHeight="1" spans="1:23">
      <c r="A732" s="151"/>
      <c r="B732" s="152"/>
      <c r="C732" s="152"/>
      <c r="D732" s="152"/>
      <c r="E732" s="152"/>
      <c r="F732" s="154"/>
      <c r="G732" s="154"/>
      <c r="H732" s="159" t="s">
        <v>132</v>
      </c>
      <c r="I732" s="155" t="s">
        <v>133</v>
      </c>
      <c r="J732" s="156" t="s">
        <v>87</v>
      </c>
      <c r="K732" s="155" t="s">
        <v>134</v>
      </c>
      <c r="L732" s="157">
        <v>10</v>
      </c>
      <c r="M732" s="157"/>
      <c r="N732" s="155" t="s">
        <v>99</v>
      </c>
      <c r="O732" s="152"/>
      <c r="P732" s="158"/>
      <c r="Q732" s="151"/>
      <c r="R732" s="151"/>
      <c r="S732" s="151"/>
      <c r="T732" s="151"/>
      <c r="U732" s="151"/>
      <c r="V732" s="151"/>
      <c r="W732" s="151"/>
    </row>
    <row r="733" s="40" customFormat="1" customHeight="1" spans="1:23">
      <c r="A733" s="151"/>
      <c r="B733" s="152"/>
      <c r="C733" s="152"/>
      <c r="D733" s="152"/>
      <c r="E733" s="152"/>
      <c r="F733" s="154"/>
      <c r="G733" s="154"/>
      <c r="H733" s="160"/>
      <c r="I733" s="155" t="s">
        <v>755</v>
      </c>
      <c r="J733" s="156" t="s">
        <v>87</v>
      </c>
      <c r="K733" s="155" t="s">
        <v>134</v>
      </c>
      <c r="L733" s="157">
        <v>3</v>
      </c>
      <c r="M733" s="157"/>
      <c r="N733" s="155" t="s">
        <v>99</v>
      </c>
      <c r="O733" s="152"/>
      <c r="P733" s="158"/>
      <c r="Q733" s="151"/>
      <c r="R733" s="151"/>
      <c r="S733" s="151"/>
      <c r="T733" s="151"/>
      <c r="U733" s="151"/>
      <c r="V733" s="151"/>
      <c r="W733" s="151"/>
    </row>
    <row r="734" s="40" customFormat="1" customHeight="1" spans="1:23">
      <c r="A734" s="151"/>
      <c r="B734" s="152"/>
      <c r="C734" s="152"/>
      <c r="D734" s="152"/>
      <c r="E734" s="152"/>
      <c r="F734" s="154"/>
      <c r="G734" s="154"/>
      <c r="H734" s="155" t="s">
        <v>91</v>
      </c>
      <c r="I734" s="155" t="s">
        <v>92</v>
      </c>
      <c r="J734" s="156" t="s">
        <v>87</v>
      </c>
      <c r="K734" s="155" t="s">
        <v>93</v>
      </c>
      <c r="L734" s="157">
        <v>10</v>
      </c>
      <c r="M734" s="157" t="s">
        <v>756</v>
      </c>
      <c r="N734" s="155" t="s">
        <v>99</v>
      </c>
      <c r="O734" s="152"/>
      <c r="P734" s="158"/>
      <c r="Q734" s="151"/>
      <c r="R734" s="151"/>
      <c r="S734" s="151"/>
      <c r="T734" s="151"/>
      <c r="U734" s="151"/>
      <c r="V734" s="151"/>
      <c r="W734" s="151"/>
    </row>
    <row r="735" s="40" customFormat="1" ht="15.75" spans="1:23">
      <c r="A735" s="151"/>
      <c r="B735" s="152"/>
      <c r="C735" s="152"/>
      <c r="D735" s="152"/>
      <c r="E735" s="152"/>
      <c r="F735" s="154"/>
      <c r="G735" s="154"/>
      <c r="H735" s="155"/>
      <c r="I735" s="155" t="s">
        <v>475</v>
      </c>
      <c r="J735" s="156" t="s">
        <v>108</v>
      </c>
      <c r="K735" s="155" t="s">
        <v>93</v>
      </c>
      <c r="L735" s="157">
        <v>4</v>
      </c>
      <c r="M735" s="157" t="s">
        <v>757</v>
      </c>
      <c r="N735" s="155" t="s">
        <v>99</v>
      </c>
      <c r="O735" s="152"/>
      <c r="P735" s="158"/>
      <c r="Q735" s="151"/>
      <c r="R735" s="151"/>
      <c r="S735" s="151"/>
      <c r="T735" s="151"/>
      <c r="U735" s="151"/>
      <c r="V735" s="151"/>
      <c r="W735" s="151"/>
    </row>
    <row r="736" s="40" customFormat="1" ht="15.75" spans="1:23">
      <c r="A736" s="151"/>
      <c r="B736" s="152"/>
      <c r="C736" s="152"/>
      <c r="D736" s="152"/>
      <c r="E736" s="152"/>
      <c r="F736" s="154"/>
      <c r="G736" s="154"/>
      <c r="H736" s="155" t="s">
        <v>106</v>
      </c>
      <c r="I736" s="155" t="s">
        <v>283</v>
      </c>
      <c r="J736" s="156" t="s">
        <v>108</v>
      </c>
      <c r="K736" s="155" t="s">
        <v>134</v>
      </c>
      <c r="L736" s="157">
        <v>5.5</v>
      </c>
      <c r="M736" s="157"/>
      <c r="N736" s="155" t="s">
        <v>99</v>
      </c>
      <c r="O736" s="152"/>
      <c r="P736" s="158"/>
      <c r="Q736" s="151"/>
      <c r="R736" s="151"/>
      <c r="S736" s="151"/>
      <c r="T736" s="151"/>
      <c r="U736" s="151"/>
      <c r="V736" s="151"/>
      <c r="W736" s="151"/>
    </row>
    <row r="737" s="40" customFormat="1" customHeight="1" spans="1:23">
      <c r="A737" s="151"/>
      <c r="B737" s="152"/>
      <c r="C737" s="152"/>
      <c r="D737" s="152"/>
      <c r="E737" s="152"/>
      <c r="F737" s="154"/>
      <c r="G737" s="154"/>
      <c r="H737" s="155"/>
      <c r="I737" s="155" t="s">
        <v>249</v>
      </c>
      <c r="J737" s="155" t="s">
        <v>87</v>
      </c>
      <c r="K737" s="155" t="s">
        <v>134</v>
      </c>
      <c r="L737" s="157">
        <v>1</v>
      </c>
      <c r="M737" s="157"/>
      <c r="N737" s="155" t="s">
        <v>99</v>
      </c>
      <c r="O737" s="152"/>
      <c r="P737" s="158"/>
      <c r="Q737" s="151"/>
      <c r="R737" s="151"/>
      <c r="S737" s="151"/>
      <c r="T737" s="151"/>
      <c r="U737" s="151"/>
      <c r="V737" s="151"/>
      <c r="W737" s="151"/>
    </row>
    <row r="738" s="40" customFormat="1" ht="15.75" spans="1:23">
      <c r="A738" s="151"/>
      <c r="B738" s="152"/>
      <c r="C738" s="152"/>
      <c r="D738" s="152"/>
      <c r="E738" s="152"/>
      <c r="F738" s="154"/>
      <c r="G738" s="154"/>
      <c r="H738" s="155" t="s">
        <v>141</v>
      </c>
      <c r="I738" s="155" t="s">
        <v>457</v>
      </c>
      <c r="J738" s="156" t="s">
        <v>108</v>
      </c>
      <c r="K738" s="155" t="s">
        <v>134</v>
      </c>
      <c r="L738" s="157">
        <v>15</v>
      </c>
      <c r="M738" s="157" t="s">
        <v>756</v>
      </c>
      <c r="N738" s="155" t="s">
        <v>99</v>
      </c>
      <c r="O738" s="152"/>
      <c r="P738" s="158"/>
      <c r="Q738" s="151"/>
      <c r="R738" s="151"/>
      <c r="S738" s="151"/>
      <c r="T738" s="151"/>
      <c r="U738" s="151"/>
      <c r="V738" s="151"/>
      <c r="W738" s="151"/>
    </row>
    <row r="739" s="40" customFormat="1" ht="15.75" spans="1:23">
      <c r="A739" s="151"/>
      <c r="B739" s="152"/>
      <c r="C739" s="152"/>
      <c r="D739" s="152"/>
      <c r="E739" s="152"/>
      <c r="F739" s="154"/>
      <c r="G739" s="154"/>
      <c r="H739" s="155"/>
      <c r="I739" s="155" t="s">
        <v>759</v>
      </c>
      <c r="J739" s="156" t="s">
        <v>108</v>
      </c>
      <c r="K739" s="155" t="s">
        <v>93</v>
      </c>
      <c r="L739" s="157">
        <v>20</v>
      </c>
      <c r="M739" s="157" t="s">
        <v>760</v>
      </c>
      <c r="N739" s="155" t="s">
        <v>99</v>
      </c>
      <c r="O739" s="152"/>
      <c r="P739" s="158"/>
      <c r="Q739" s="151"/>
      <c r="R739" s="151"/>
      <c r="S739" s="151"/>
      <c r="T739" s="151"/>
      <c r="U739" s="151"/>
      <c r="V739" s="151"/>
      <c r="W739" s="151"/>
    </row>
    <row r="740" s="40" customFormat="1" ht="15.75" spans="1:23">
      <c r="A740" s="151"/>
      <c r="B740" s="152"/>
      <c r="C740" s="152"/>
      <c r="D740" s="152"/>
      <c r="E740" s="152"/>
      <c r="F740" s="154"/>
      <c r="G740" s="154"/>
      <c r="H740" s="155"/>
      <c r="I740" s="155" t="s">
        <v>150</v>
      </c>
      <c r="J740" s="156" t="s">
        <v>108</v>
      </c>
      <c r="K740" s="155" t="s">
        <v>93</v>
      </c>
      <c r="L740" s="157">
        <v>35</v>
      </c>
      <c r="M740" s="157"/>
      <c r="N740" s="155" t="s">
        <v>99</v>
      </c>
      <c r="O740" s="152"/>
      <c r="P740" s="158"/>
      <c r="Q740" s="151"/>
      <c r="R740" s="151"/>
      <c r="S740" s="151"/>
      <c r="T740" s="151"/>
      <c r="U740" s="151"/>
      <c r="V740" s="151"/>
      <c r="W740" s="151"/>
    </row>
    <row r="741" s="40" customFormat="1" ht="15.75" spans="1:23">
      <c r="A741" s="151"/>
      <c r="B741" s="152"/>
      <c r="C741" s="152"/>
      <c r="D741" s="152"/>
      <c r="E741" s="152"/>
      <c r="F741" s="154"/>
      <c r="G741" s="154"/>
      <c r="H741" s="155"/>
      <c r="I741" s="155" t="s">
        <v>761</v>
      </c>
      <c r="J741" s="156" t="s">
        <v>108</v>
      </c>
      <c r="K741" s="155" t="s">
        <v>93</v>
      </c>
      <c r="L741" s="157">
        <v>40</v>
      </c>
      <c r="M741" s="157" t="s">
        <v>756</v>
      </c>
      <c r="N741" s="155" t="s">
        <v>99</v>
      </c>
      <c r="O741" s="152"/>
      <c r="P741" s="158"/>
      <c r="Q741" s="151"/>
      <c r="R741" s="151"/>
      <c r="S741" s="151"/>
      <c r="T741" s="151"/>
      <c r="U741" s="151"/>
      <c r="V741" s="151"/>
      <c r="W741" s="151"/>
    </row>
    <row r="742" s="40" customFormat="1" ht="15.75" spans="1:23">
      <c r="A742" s="151"/>
      <c r="B742" s="152"/>
      <c r="C742" s="152"/>
      <c r="D742" s="152"/>
      <c r="E742" s="152"/>
      <c r="F742" s="154"/>
      <c r="G742" s="154"/>
      <c r="H742" s="155"/>
      <c r="I742" s="155" t="s">
        <v>479</v>
      </c>
      <c r="J742" s="156" t="s">
        <v>97</v>
      </c>
      <c r="K742" s="155" t="s">
        <v>134</v>
      </c>
      <c r="L742" s="157" t="s">
        <v>762</v>
      </c>
      <c r="M742" s="157"/>
      <c r="N742" s="155" t="s">
        <v>99</v>
      </c>
      <c r="O742" s="152"/>
      <c r="P742" s="158"/>
      <c r="Q742" s="151"/>
      <c r="R742" s="151"/>
      <c r="S742" s="151"/>
      <c r="T742" s="151"/>
      <c r="U742" s="151"/>
      <c r="V742" s="151"/>
      <c r="W742" s="151"/>
    </row>
    <row r="743" s="40" customFormat="1" ht="15.75" spans="1:23">
      <c r="A743" s="151"/>
      <c r="B743" s="152"/>
      <c r="C743" s="152"/>
      <c r="D743" s="152"/>
      <c r="E743" s="152"/>
      <c r="F743" s="154"/>
      <c r="G743" s="154"/>
      <c r="H743" s="155"/>
      <c r="I743" s="155" t="s">
        <v>142</v>
      </c>
      <c r="J743" s="156" t="s">
        <v>97</v>
      </c>
      <c r="K743" s="155" t="s">
        <v>93</v>
      </c>
      <c r="L743" s="157">
        <v>20</v>
      </c>
      <c r="M743" s="157"/>
      <c r="N743" s="155" t="s">
        <v>99</v>
      </c>
      <c r="O743" s="152"/>
      <c r="P743" s="158"/>
      <c r="Q743" s="151"/>
      <c r="R743" s="151"/>
      <c r="S743" s="151"/>
      <c r="T743" s="151"/>
      <c r="U743" s="151"/>
      <c r="V743" s="151"/>
      <c r="W743" s="151"/>
    </row>
    <row r="744" s="40" customFormat="1" ht="15.75" spans="1:23">
      <c r="A744" s="151"/>
      <c r="B744" s="152"/>
      <c r="C744" s="152"/>
      <c r="D744" s="152"/>
      <c r="E744" s="152"/>
      <c r="F744" s="154"/>
      <c r="G744" s="154"/>
      <c r="H744" s="155"/>
      <c r="I744" s="155" t="s">
        <v>763</v>
      </c>
      <c r="J744" s="156" t="s">
        <v>108</v>
      </c>
      <c r="K744" s="155" t="s">
        <v>134</v>
      </c>
      <c r="L744" s="157">
        <v>8</v>
      </c>
      <c r="M744" s="157" t="s">
        <v>756</v>
      </c>
      <c r="N744" s="155" t="s">
        <v>99</v>
      </c>
      <c r="O744" s="152"/>
      <c r="P744" s="158"/>
      <c r="Q744" s="151"/>
      <c r="R744" s="151"/>
      <c r="S744" s="151"/>
      <c r="T744" s="151"/>
      <c r="U744" s="151"/>
      <c r="V744" s="151"/>
      <c r="W744" s="151"/>
    </row>
    <row r="745" customHeight="1" spans="1:23">
      <c r="A745" s="161" t="s">
        <v>12</v>
      </c>
      <c r="B745" s="162" t="s">
        <v>11</v>
      </c>
      <c r="C745" s="162" t="s">
        <v>173</v>
      </c>
      <c r="D745" s="162" t="s">
        <v>102</v>
      </c>
      <c r="E745" s="162" t="s">
        <v>103</v>
      </c>
      <c r="F745" s="163" t="s">
        <v>827</v>
      </c>
      <c r="G745" s="163" t="s">
        <v>828</v>
      </c>
      <c r="H745" s="164" t="s">
        <v>106</v>
      </c>
      <c r="I745" s="164" t="s">
        <v>281</v>
      </c>
      <c r="J745" s="164" t="s">
        <v>87</v>
      </c>
      <c r="K745" s="164" t="s">
        <v>90</v>
      </c>
      <c r="L745" s="161">
        <v>42</v>
      </c>
      <c r="M745" s="164" t="s">
        <v>280</v>
      </c>
      <c r="N745" s="164" t="s">
        <v>110</v>
      </c>
      <c r="O745" s="162" t="s">
        <v>11</v>
      </c>
      <c r="P745" s="164" t="s">
        <v>275</v>
      </c>
      <c r="Q745" s="161" t="s">
        <v>112</v>
      </c>
      <c r="R745" s="161" t="s">
        <v>829</v>
      </c>
      <c r="S745" s="161" t="s">
        <v>830</v>
      </c>
      <c r="T745" s="161" t="s">
        <v>13</v>
      </c>
      <c r="U745" s="161" t="s">
        <v>831</v>
      </c>
      <c r="V745" s="161" t="s">
        <v>116</v>
      </c>
      <c r="W745" s="161" t="s">
        <v>117</v>
      </c>
    </row>
    <row r="746" ht="15.75" customHeight="1" spans="1:23">
      <c r="A746" s="161"/>
      <c r="B746" s="162"/>
      <c r="C746" s="162"/>
      <c r="D746" s="162" t="s">
        <v>102</v>
      </c>
      <c r="E746" s="162" t="s">
        <v>103</v>
      </c>
      <c r="F746" s="163"/>
      <c r="G746" s="163"/>
      <c r="H746" s="164" t="s">
        <v>106</v>
      </c>
      <c r="I746" s="164" t="s">
        <v>107</v>
      </c>
      <c r="J746" s="164" t="s">
        <v>108</v>
      </c>
      <c r="K746" s="164" t="s">
        <v>90</v>
      </c>
      <c r="L746" s="161">
        <v>63</v>
      </c>
      <c r="M746" s="164" t="s">
        <v>832</v>
      </c>
      <c r="N746" s="164" t="s">
        <v>99</v>
      </c>
      <c r="O746" s="162" t="s">
        <v>11</v>
      </c>
      <c r="P746" s="164" t="s">
        <v>275</v>
      </c>
      <c r="Q746" s="161" t="s">
        <v>112</v>
      </c>
      <c r="R746" s="161" t="s">
        <v>829</v>
      </c>
      <c r="S746" s="161" t="s">
        <v>830</v>
      </c>
      <c r="T746" s="161" t="s">
        <v>13</v>
      </c>
      <c r="U746" s="161" t="s">
        <v>831</v>
      </c>
      <c r="V746" s="161" t="s">
        <v>116</v>
      </c>
      <c r="W746" s="161" t="s">
        <v>117</v>
      </c>
    </row>
    <row r="747" customHeight="1" spans="1:23">
      <c r="A747" s="161"/>
      <c r="B747" s="162"/>
      <c r="C747" s="162"/>
      <c r="D747" s="162" t="s">
        <v>102</v>
      </c>
      <c r="E747" s="162" t="s">
        <v>103</v>
      </c>
      <c r="F747" s="163"/>
      <c r="G747" s="163"/>
      <c r="H747" s="164" t="s">
        <v>106</v>
      </c>
      <c r="I747" s="164" t="s">
        <v>249</v>
      </c>
      <c r="J747" s="164" t="s">
        <v>87</v>
      </c>
      <c r="K747" s="164" t="s">
        <v>110</v>
      </c>
      <c r="L747" s="161">
        <v>21</v>
      </c>
      <c r="M747" s="164" t="s">
        <v>98</v>
      </c>
      <c r="N747" s="164" t="s">
        <v>110</v>
      </c>
      <c r="O747" s="162" t="s">
        <v>11</v>
      </c>
      <c r="P747" s="164" t="s">
        <v>275</v>
      </c>
      <c r="Q747" s="161" t="s">
        <v>112</v>
      </c>
      <c r="R747" s="161" t="s">
        <v>829</v>
      </c>
      <c r="S747" s="161" t="s">
        <v>830</v>
      </c>
      <c r="T747" s="161" t="s">
        <v>13</v>
      </c>
      <c r="U747" s="161" t="s">
        <v>831</v>
      </c>
      <c r="V747" s="161" t="s">
        <v>116</v>
      </c>
      <c r="W747" s="161" t="s">
        <v>117</v>
      </c>
    </row>
    <row r="748" ht="15.75" customHeight="1" spans="1:23">
      <c r="A748" s="161"/>
      <c r="B748" s="162"/>
      <c r="C748" s="162"/>
      <c r="D748" s="162" t="s">
        <v>102</v>
      </c>
      <c r="E748" s="162" t="s">
        <v>103</v>
      </c>
      <c r="F748" s="163"/>
      <c r="G748" s="163"/>
      <c r="H748" s="164" t="s">
        <v>106</v>
      </c>
      <c r="I748" s="164" t="s">
        <v>170</v>
      </c>
      <c r="J748" s="164" t="s">
        <v>108</v>
      </c>
      <c r="K748" s="164" t="s">
        <v>90</v>
      </c>
      <c r="L748" s="161">
        <v>21</v>
      </c>
      <c r="M748" s="164" t="s">
        <v>280</v>
      </c>
      <c r="N748" s="164" t="s">
        <v>99</v>
      </c>
      <c r="O748" s="162" t="s">
        <v>11</v>
      </c>
      <c r="P748" s="164" t="s">
        <v>275</v>
      </c>
      <c r="Q748" s="161" t="s">
        <v>112</v>
      </c>
      <c r="R748" s="161" t="s">
        <v>829</v>
      </c>
      <c r="S748" s="161" t="s">
        <v>830</v>
      </c>
      <c r="T748" s="161" t="s">
        <v>13</v>
      </c>
      <c r="U748" s="161" t="s">
        <v>831</v>
      </c>
      <c r="V748" s="161" t="s">
        <v>116</v>
      </c>
      <c r="W748" s="161" t="s">
        <v>117</v>
      </c>
    </row>
    <row r="749" ht="15.75" customHeight="1" spans="1:23">
      <c r="A749" s="161"/>
      <c r="B749" s="162"/>
      <c r="C749" s="162"/>
      <c r="D749" s="162" t="s">
        <v>102</v>
      </c>
      <c r="E749" s="162" t="s">
        <v>103</v>
      </c>
      <c r="F749" s="163"/>
      <c r="G749" s="163"/>
      <c r="H749" s="164" t="s">
        <v>95</v>
      </c>
      <c r="I749" s="163" t="s">
        <v>285</v>
      </c>
      <c r="J749" s="164" t="s">
        <v>108</v>
      </c>
      <c r="K749" s="164" t="s">
        <v>110</v>
      </c>
      <c r="L749" s="161">
        <v>10.5</v>
      </c>
      <c r="M749" s="164" t="s">
        <v>98</v>
      </c>
      <c r="N749" s="164" t="s">
        <v>99</v>
      </c>
      <c r="O749" s="162" t="s">
        <v>11</v>
      </c>
      <c r="P749" s="164" t="s">
        <v>275</v>
      </c>
      <c r="Q749" s="161" t="s">
        <v>112</v>
      </c>
      <c r="R749" s="161" t="s">
        <v>829</v>
      </c>
      <c r="S749" s="161" t="s">
        <v>830</v>
      </c>
      <c r="T749" s="161" t="s">
        <v>13</v>
      </c>
      <c r="U749" s="161" t="s">
        <v>831</v>
      </c>
      <c r="V749" s="161" t="s">
        <v>116</v>
      </c>
      <c r="W749" s="161" t="s">
        <v>117</v>
      </c>
    </row>
    <row r="750" ht="15.75" customHeight="1" spans="1:23">
      <c r="A750" s="161"/>
      <c r="B750" s="162"/>
      <c r="C750" s="162"/>
      <c r="D750" s="162" t="s">
        <v>102</v>
      </c>
      <c r="E750" s="162" t="s">
        <v>103</v>
      </c>
      <c r="F750" s="163"/>
      <c r="G750" s="163"/>
      <c r="H750" s="164" t="s">
        <v>95</v>
      </c>
      <c r="I750" s="163" t="s">
        <v>176</v>
      </c>
      <c r="J750" s="164" t="s">
        <v>97</v>
      </c>
      <c r="K750" s="164" t="s">
        <v>99</v>
      </c>
      <c r="L750" s="161">
        <v>10.5</v>
      </c>
      <c r="M750" s="164" t="s">
        <v>98</v>
      </c>
      <c r="N750" s="164" t="s">
        <v>99</v>
      </c>
      <c r="O750" s="162" t="s">
        <v>11</v>
      </c>
      <c r="P750" s="164" t="s">
        <v>275</v>
      </c>
      <c r="Q750" s="161" t="s">
        <v>112</v>
      </c>
      <c r="R750" s="161" t="s">
        <v>829</v>
      </c>
      <c r="S750" s="161" t="s">
        <v>830</v>
      </c>
      <c r="T750" s="161" t="s">
        <v>13</v>
      </c>
      <c r="U750" s="161" t="s">
        <v>831</v>
      </c>
      <c r="V750" s="161" t="s">
        <v>116</v>
      </c>
      <c r="W750" s="161" t="s">
        <v>117</v>
      </c>
    </row>
    <row r="751" customHeight="1" spans="1:23">
      <c r="A751" s="161" t="s">
        <v>833</v>
      </c>
      <c r="B751" s="162" t="s">
        <v>834</v>
      </c>
      <c r="C751" s="162" t="s">
        <v>173</v>
      </c>
      <c r="D751" s="162" t="s">
        <v>102</v>
      </c>
      <c r="E751" s="162" t="s">
        <v>103</v>
      </c>
      <c r="F751" s="163" t="s">
        <v>835</v>
      </c>
      <c r="G751" s="163" t="s">
        <v>836</v>
      </c>
      <c r="H751" s="164" t="s">
        <v>106</v>
      </c>
      <c r="I751" s="163" t="s">
        <v>281</v>
      </c>
      <c r="J751" s="164" t="s">
        <v>87</v>
      </c>
      <c r="K751" s="164" t="s">
        <v>90</v>
      </c>
      <c r="L751" s="161">
        <v>48</v>
      </c>
      <c r="M751" s="164" t="s">
        <v>279</v>
      </c>
      <c r="N751" s="164" t="s">
        <v>110</v>
      </c>
      <c r="O751" s="162" t="s">
        <v>11</v>
      </c>
      <c r="P751" s="164" t="s">
        <v>275</v>
      </c>
      <c r="Q751" s="161" t="s">
        <v>112</v>
      </c>
      <c r="R751" s="161" t="s">
        <v>829</v>
      </c>
      <c r="S751" s="161" t="s">
        <v>830</v>
      </c>
      <c r="T751" s="161" t="s">
        <v>13</v>
      </c>
      <c r="U751" s="161" t="s">
        <v>837</v>
      </c>
      <c r="V751" s="161" t="s">
        <v>116</v>
      </c>
      <c r="W751" s="161" t="s">
        <v>117</v>
      </c>
    </row>
    <row r="752" ht="15.75" customHeight="1" spans="1:23">
      <c r="A752" s="161"/>
      <c r="B752" s="162"/>
      <c r="C752" s="162"/>
      <c r="D752" s="162" t="s">
        <v>102</v>
      </c>
      <c r="E752" s="162" t="s">
        <v>103</v>
      </c>
      <c r="F752" s="163"/>
      <c r="G752" s="163"/>
      <c r="H752" s="164" t="s">
        <v>95</v>
      </c>
      <c r="I752" s="163" t="s">
        <v>193</v>
      </c>
      <c r="J752" s="164" t="s">
        <v>108</v>
      </c>
      <c r="K752" s="164" t="s">
        <v>90</v>
      </c>
      <c r="L752" s="161">
        <v>20</v>
      </c>
      <c r="M752" s="164" t="s">
        <v>98</v>
      </c>
      <c r="N752" s="164" t="s">
        <v>99</v>
      </c>
      <c r="O752" s="162" t="s">
        <v>11</v>
      </c>
      <c r="P752" s="164" t="s">
        <v>275</v>
      </c>
      <c r="Q752" s="161" t="s">
        <v>112</v>
      </c>
      <c r="R752" s="161" t="s">
        <v>829</v>
      </c>
      <c r="S752" s="161" t="s">
        <v>830</v>
      </c>
      <c r="T752" s="161" t="s">
        <v>13</v>
      </c>
      <c r="U752" s="161" t="s">
        <v>837</v>
      </c>
      <c r="V752" s="161" t="s">
        <v>116</v>
      </c>
      <c r="W752" s="161" t="s">
        <v>117</v>
      </c>
    </row>
    <row r="753" ht="15.75" customHeight="1" spans="1:23">
      <c r="A753" s="161"/>
      <c r="B753" s="162"/>
      <c r="C753" s="162"/>
      <c r="D753" s="162" t="s">
        <v>102</v>
      </c>
      <c r="E753" s="162" t="s">
        <v>103</v>
      </c>
      <c r="F753" s="163"/>
      <c r="G753" s="163"/>
      <c r="H753" s="164" t="s">
        <v>95</v>
      </c>
      <c r="I753" s="163" t="s">
        <v>176</v>
      </c>
      <c r="J753" s="164" t="s">
        <v>97</v>
      </c>
      <c r="K753" s="164" t="s">
        <v>90</v>
      </c>
      <c r="L753" s="161">
        <v>30</v>
      </c>
      <c r="M753" s="164" t="s">
        <v>98</v>
      </c>
      <c r="N753" s="164" t="s">
        <v>99</v>
      </c>
      <c r="O753" s="162" t="s">
        <v>11</v>
      </c>
      <c r="P753" s="164" t="s">
        <v>275</v>
      </c>
      <c r="Q753" s="161" t="s">
        <v>112</v>
      </c>
      <c r="R753" s="161" t="s">
        <v>829</v>
      </c>
      <c r="S753" s="161" t="s">
        <v>830</v>
      </c>
      <c r="T753" s="161" t="s">
        <v>13</v>
      </c>
      <c r="U753" s="161" t="s">
        <v>837</v>
      </c>
      <c r="V753" s="161" t="s">
        <v>116</v>
      </c>
      <c r="W753" s="161" t="s">
        <v>117</v>
      </c>
    </row>
    <row r="754" customHeight="1" spans="1:23">
      <c r="A754" s="161"/>
      <c r="B754" s="162"/>
      <c r="C754" s="162"/>
      <c r="D754" s="162" t="s">
        <v>102</v>
      </c>
      <c r="E754" s="162" t="s">
        <v>103</v>
      </c>
      <c r="F754" s="163"/>
      <c r="G754" s="163"/>
      <c r="H754" s="164" t="s">
        <v>85</v>
      </c>
      <c r="I754" s="163" t="s">
        <v>267</v>
      </c>
      <c r="J754" s="164" t="s">
        <v>87</v>
      </c>
      <c r="K754" s="164" t="s">
        <v>99</v>
      </c>
      <c r="L754" s="161">
        <v>10</v>
      </c>
      <c r="M754" s="164" t="s">
        <v>832</v>
      </c>
      <c r="N754" s="164" t="s">
        <v>90</v>
      </c>
      <c r="O754" s="162" t="s">
        <v>11</v>
      </c>
      <c r="P754" s="164" t="s">
        <v>275</v>
      </c>
      <c r="Q754" s="161" t="s">
        <v>112</v>
      </c>
      <c r="R754" s="161" t="s">
        <v>829</v>
      </c>
      <c r="S754" s="161" t="s">
        <v>830</v>
      </c>
      <c r="T754" s="161" t="s">
        <v>13</v>
      </c>
      <c r="U754" s="161" t="s">
        <v>837</v>
      </c>
      <c r="V754" s="161" t="s">
        <v>116</v>
      </c>
      <c r="W754" s="161" t="s">
        <v>117</v>
      </c>
    </row>
    <row r="755" ht="15.75" customHeight="1" spans="1:23">
      <c r="A755" s="161"/>
      <c r="B755" s="162"/>
      <c r="C755" s="162"/>
      <c r="D755" s="162" t="s">
        <v>102</v>
      </c>
      <c r="E755" s="162" t="s">
        <v>103</v>
      </c>
      <c r="F755" s="163"/>
      <c r="G755" s="163"/>
      <c r="H755" s="164" t="s">
        <v>157</v>
      </c>
      <c r="I755" s="163" t="s">
        <v>158</v>
      </c>
      <c r="J755" s="164" t="s">
        <v>108</v>
      </c>
      <c r="K755" s="164" t="s">
        <v>90</v>
      </c>
      <c r="L755" s="161">
        <v>48</v>
      </c>
      <c r="M755" s="164" t="s">
        <v>838</v>
      </c>
      <c r="N755" s="164" t="s">
        <v>110</v>
      </c>
      <c r="O755" s="162" t="s">
        <v>11</v>
      </c>
      <c r="P755" s="164" t="s">
        <v>275</v>
      </c>
      <c r="Q755" s="161" t="s">
        <v>112</v>
      </c>
      <c r="R755" s="161" t="s">
        <v>829</v>
      </c>
      <c r="S755" s="161" t="s">
        <v>830</v>
      </c>
      <c r="T755" s="161" t="s">
        <v>13</v>
      </c>
      <c r="U755" s="161" t="s">
        <v>837</v>
      </c>
      <c r="V755" s="161" t="s">
        <v>116</v>
      </c>
      <c r="W755" s="161" t="s">
        <v>117</v>
      </c>
    </row>
    <row r="756" customHeight="1" spans="1:23">
      <c r="A756" s="161"/>
      <c r="B756" s="162"/>
      <c r="C756" s="162"/>
      <c r="D756" s="162" t="s">
        <v>102</v>
      </c>
      <c r="E756" s="162" t="s">
        <v>103</v>
      </c>
      <c r="F756" s="163"/>
      <c r="G756" s="163"/>
      <c r="H756" s="164" t="s">
        <v>91</v>
      </c>
      <c r="I756" s="163" t="s">
        <v>92</v>
      </c>
      <c r="J756" s="164" t="s">
        <v>87</v>
      </c>
      <c r="K756" s="164" t="s">
        <v>99</v>
      </c>
      <c r="L756" s="161">
        <v>12</v>
      </c>
      <c r="M756" s="164" t="s">
        <v>838</v>
      </c>
      <c r="N756" s="164" t="s">
        <v>90</v>
      </c>
      <c r="O756" s="162" t="s">
        <v>11</v>
      </c>
      <c r="P756" s="164" t="s">
        <v>275</v>
      </c>
      <c r="Q756" s="161" t="s">
        <v>112</v>
      </c>
      <c r="R756" s="161" t="s">
        <v>829</v>
      </c>
      <c r="S756" s="161" t="s">
        <v>830</v>
      </c>
      <c r="T756" s="161" t="s">
        <v>13</v>
      </c>
      <c r="U756" s="161" t="s">
        <v>837</v>
      </c>
      <c r="V756" s="161" t="s">
        <v>116</v>
      </c>
      <c r="W756" s="161" t="s">
        <v>117</v>
      </c>
    </row>
    <row r="757" customHeight="1" spans="1:23">
      <c r="A757" s="161" t="s">
        <v>839</v>
      </c>
      <c r="B757" s="162" t="s">
        <v>840</v>
      </c>
      <c r="C757" s="162" t="s">
        <v>83</v>
      </c>
      <c r="D757" s="162" t="s">
        <v>102</v>
      </c>
      <c r="E757" s="162" t="s">
        <v>103</v>
      </c>
      <c r="F757" s="163" t="s">
        <v>841</v>
      </c>
      <c r="G757" s="163" t="s">
        <v>842</v>
      </c>
      <c r="H757" s="164" t="s">
        <v>91</v>
      </c>
      <c r="I757" s="163" t="s">
        <v>328</v>
      </c>
      <c r="J757" s="164" t="s">
        <v>87</v>
      </c>
      <c r="K757" s="164" t="s">
        <v>110</v>
      </c>
      <c r="L757" s="161">
        <v>60</v>
      </c>
      <c r="M757" s="164" t="s">
        <v>843</v>
      </c>
      <c r="N757" s="164" t="s">
        <v>110</v>
      </c>
      <c r="O757" s="162" t="s">
        <v>11</v>
      </c>
      <c r="P757" s="164" t="s">
        <v>275</v>
      </c>
      <c r="Q757" s="161" t="s">
        <v>112</v>
      </c>
      <c r="R757" s="161" t="s">
        <v>829</v>
      </c>
      <c r="S757" s="161" t="s">
        <v>830</v>
      </c>
      <c r="T757" s="161" t="s">
        <v>13</v>
      </c>
      <c r="U757" s="161" t="s">
        <v>844</v>
      </c>
      <c r="V757" s="161" t="s">
        <v>116</v>
      </c>
      <c r="W757" s="161" t="s">
        <v>117</v>
      </c>
    </row>
    <row r="758" customHeight="1" spans="1:23">
      <c r="A758" s="161"/>
      <c r="B758" s="162"/>
      <c r="C758" s="162"/>
      <c r="D758" s="162" t="s">
        <v>102</v>
      </c>
      <c r="E758" s="162" t="s">
        <v>103</v>
      </c>
      <c r="F758" s="163"/>
      <c r="G758" s="163"/>
      <c r="H758" s="164" t="s">
        <v>132</v>
      </c>
      <c r="I758" s="163" t="s">
        <v>755</v>
      </c>
      <c r="J758" s="164" t="s">
        <v>87</v>
      </c>
      <c r="K758" s="164" t="s">
        <v>110</v>
      </c>
      <c r="L758" s="161">
        <v>30</v>
      </c>
      <c r="M758" s="164" t="s">
        <v>843</v>
      </c>
      <c r="N758" s="164" t="s">
        <v>110</v>
      </c>
      <c r="O758" s="162" t="s">
        <v>11</v>
      </c>
      <c r="P758" s="164" t="s">
        <v>275</v>
      </c>
      <c r="Q758" s="161" t="s">
        <v>112</v>
      </c>
      <c r="R758" s="161" t="s">
        <v>829</v>
      </c>
      <c r="S758" s="161" t="s">
        <v>830</v>
      </c>
      <c r="T758" s="161" t="s">
        <v>13</v>
      </c>
      <c r="U758" s="161" t="s">
        <v>844</v>
      </c>
      <c r="V758" s="161" t="s">
        <v>116</v>
      </c>
      <c r="W758" s="161" t="s">
        <v>117</v>
      </c>
    </row>
    <row r="759" ht="15.75" customHeight="1" spans="1:23">
      <c r="A759" s="161"/>
      <c r="B759" s="162"/>
      <c r="C759" s="162"/>
      <c r="D759" s="162" t="s">
        <v>102</v>
      </c>
      <c r="E759" s="162" t="s">
        <v>103</v>
      </c>
      <c r="F759" s="163"/>
      <c r="G759" s="163"/>
      <c r="H759" s="164" t="s">
        <v>95</v>
      </c>
      <c r="I759" s="163" t="s">
        <v>193</v>
      </c>
      <c r="J759" s="164" t="s">
        <v>108</v>
      </c>
      <c r="K759" s="164" t="s">
        <v>110</v>
      </c>
      <c r="L759" s="161">
        <v>60</v>
      </c>
      <c r="M759" s="164" t="s">
        <v>843</v>
      </c>
      <c r="N759" s="164" t="s">
        <v>110</v>
      </c>
      <c r="O759" s="162" t="s">
        <v>11</v>
      </c>
      <c r="P759" s="164" t="s">
        <v>275</v>
      </c>
      <c r="Q759" s="161" t="s">
        <v>112</v>
      </c>
      <c r="R759" s="161" t="s">
        <v>829</v>
      </c>
      <c r="S759" s="161" t="s">
        <v>830</v>
      </c>
      <c r="T759" s="161" t="s">
        <v>13</v>
      </c>
      <c r="U759" s="161" t="s">
        <v>844</v>
      </c>
      <c r="V759" s="161" t="s">
        <v>116</v>
      </c>
      <c r="W759" s="161" t="s">
        <v>117</v>
      </c>
    </row>
    <row r="760" customHeight="1" spans="1:23">
      <c r="A760" s="161" t="s">
        <v>845</v>
      </c>
      <c r="B760" s="162" t="s">
        <v>846</v>
      </c>
      <c r="C760" s="162" t="s">
        <v>173</v>
      </c>
      <c r="D760" s="162" t="s">
        <v>102</v>
      </c>
      <c r="E760" s="162" t="s">
        <v>103</v>
      </c>
      <c r="F760" s="163" t="s">
        <v>847</v>
      </c>
      <c r="G760" s="163" t="s">
        <v>848</v>
      </c>
      <c r="H760" s="164" t="s">
        <v>106</v>
      </c>
      <c r="I760" s="163" t="s">
        <v>281</v>
      </c>
      <c r="J760" s="164" t="s">
        <v>87</v>
      </c>
      <c r="K760" s="164" t="s">
        <v>110</v>
      </c>
      <c r="L760" s="161">
        <v>24</v>
      </c>
      <c r="M760" s="164" t="s">
        <v>279</v>
      </c>
      <c r="N760" s="164" t="s">
        <v>110</v>
      </c>
      <c r="O760" s="162" t="s">
        <v>11</v>
      </c>
      <c r="P760" s="164" t="s">
        <v>275</v>
      </c>
      <c r="Q760" s="161" t="s">
        <v>112</v>
      </c>
      <c r="R760" s="161" t="s">
        <v>829</v>
      </c>
      <c r="S760" s="161" t="s">
        <v>830</v>
      </c>
      <c r="T760" s="161" t="s">
        <v>13</v>
      </c>
      <c r="U760" s="161" t="s">
        <v>849</v>
      </c>
      <c r="V760" s="161" t="s">
        <v>116</v>
      </c>
      <c r="W760" s="161" t="s">
        <v>117</v>
      </c>
    </row>
    <row r="761" ht="15.75" customHeight="1" spans="1:23">
      <c r="A761" s="161"/>
      <c r="B761" s="162"/>
      <c r="C761" s="162"/>
      <c r="D761" s="162" t="s">
        <v>102</v>
      </c>
      <c r="E761" s="162" t="s">
        <v>103</v>
      </c>
      <c r="F761" s="163"/>
      <c r="G761" s="163"/>
      <c r="H761" s="164" t="s">
        <v>95</v>
      </c>
      <c r="I761" s="163" t="s">
        <v>285</v>
      </c>
      <c r="J761" s="164" t="s">
        <v>108</v>
      </c>
      <c r="K761" s="164" t="s">
        <v>90</v>
      </c>
      <c r="L761" s="161">
        <v>48</v>
      </c>
      <c r="M761" s="164" t="s">
        <v>838</v>
      </c>
      <c r="N761" s="164" t="s">
        <v>99</v>
      </c>
      <c r="O761" s="162" t="s">
        <v>11</v>
      </c>
      <c r="P761" s="164" t="s">
        <v>275</v>
      </c>
      <c r="Q761" s="161" t="s">
        <v>112</v>
      </c>
      <c r="R761" s="161" t="s">
        <v>829</v>
      </c>
      <c r="S761" s="161" t="s">
        <v>830</v>
      </c>
      <c r="T761" s="161" t="s">
        <v>13</v>
      </c>
      <c r="U761" s="161" t="s">
        <v>849</v>
      </c>
      <c r="V761" s="161" t="s">
        <v>116</v>
      </c>
      <c r="W761" s="161" t="s">
        <v>117</v>
      </c>
    </row>
    <row r="762" ht="15.75" customHeight="1" spans="1:23">
      <c r="A762" s="161"/>
      <c r="B762" s="162"/>
      <c r="C762" s="162"/>
      <c r="D762" s="162" t="s">
        <v>102</v>
      </c>
      <c r="E762" s="162" t="s">
        <v>103</v>
      </c>
      <c r="F762" s="163"/>
      <c r="G762" s="163"/>
      <c r="H762" s="164" t="s">
        <v>95</v>
      </c>
      <c r="I762" s="163" t="s">
        <v>377</v>
      </c>
      <c r="J762" s="164" t="s">
        <v>108</v>
      </c>
      <c r="K762" s="164" t="s">
        <v>99</v>
      </c>
      <c r="L762" s="161">
        <v>12</v>
      </c>
      <c r="M762" s="164" t="s">
        <v>98</v>
      </c>
      <c r="N762" s="164" t="s">
        <v>99</v>
      </c>
      <c r="O762" s="162" t="s">
        <v>11</v>
      </c>
      <c r="P762" s="164" t="s">
        <v>275</v>
      </c>
      <c r="Q762" s="161" t="s">
        <v>112</v>
      </c>
      <c r="R762" s="161" t="s">
        <v>829</v>
      </c>
      <c r="S762" s="161" t="s">
        <v>830</v>
      </c>
      <c r="T762" s="161" t="s">
        <v>13</v>
      </c>
      <c r="U762" s="161" t="s">
        <v>849</v>
      </c>
      <c r="V762" s="161" t="s">
        <v>116</v>
      </c>
      <c r="W762" s="161" t="s">
        <v>117</v>
      </c>
    </row>
    <row r="763" ht="28.5" customHeight="1" spans="1:23">
      <c r="A763" s="161"/>
      <c r="B763" s="162"/>
      <c r="C763" s="162"/>
      <c r="D763" s="162" t="s">
        <v>102</v>
      </c>
      <c r="E763" s="162" t="s">
        <v>103</v>
      </c>
      <c r="F763" s="163"/>
      <c r="G763" s="163"/>
      <c r="H763" s="164" t="s">
        <v>218</v>
      </c>
      <c r="I763" s="163" t="s">
        <v>219</v>
      </c>
      <c r="J763" s="164" t="s">
        <v>108</v>
      </c>
      <c r="K763" s="164" t="s">
        <v>110</v>
      </c>
      <c r="L763" s="161">
        <v>24</v>
      </c>
      <c r="M763" s="164" t="s">
        <v>279</v>
      </c>
      <c r="N763" s="164" t="s">
        <v>99</v>
      </c>
      <c r="O763" s="162" t="s">
        <v>11</v>
      </c>
      <c r="P763" s="164" t="s">
        <v>275</v>
      </c>
      <c r="Q763" s="161" t="s">
        <v>112</v>
      </c>
      <c r="R763" s="161" t="s">
        <v>829</v>
      </c>
      <c r="S763" s="161" t="s">
        <v>830</v>
      </c>
      <c r="T763" s="161" t="s">
        <v>13</v>
      </c>
      <c r="U763" s="161" t="s">
        <v>849</v>
      </c>
      <c r="V763" s="161" t="s">
        <v>116</v>
      </c>
      <c r="W763" s="161" t="s">
        <v>117</v>
      </c>
    </row>
    <row r="764" customHeight="1" spans="1:23">
      <c r="A764" s="161"/>
      <c r="B764" s="162"/>
      <c r="C764" s="162"/>
      <c r="D764" s="162" t="s">
        <v>102</v>
      </c>
      <c r="E764" s="162" t="s">
        <v>103</v>
      </c>
      <c r="F764" s="163"/>
      <c r="G764" s="163"/>
      <c r="H764" s="164" t="s">
        <v>91</v>
      </c>
      <c r="I764" s="163" t="s">
        <v>92</v>
      </c>
      <c r="J764" s="164" t="s">
        <v>87</v>
      </c>
      <c r="K764" s="164" t="s">
        <v>90</v>
      </c>
      <c r="L764" s="161">
        <v>36</v>
      </c>
      <c r="M764" s="164" t="s">
        <v>838</v>
      </c>
      <c r="N764" s="164" t="s">
        <v>90</v>
      </c>
      <c r="O764" s="162" t="s">
        <v>11</v>
      </c>
      <c r="P764" s="164" t="s">
        <v>275</v>
      </c>
      <c r="Q764" s="161" t="s">
        <v>112</v>
      </c>
      <c r="R764" s="161" t="s">
        <v>829</v>
      </c>
      <c r="S764" s="161" t="s">
        <v>830</v>
      </c>
      <c r="T764" s="161" t="s">
        <v>13</v>
      </c>
      <c r="U764" s="161" t="s">
        <v>849</v>
      </c>
      <c r="V764" s="161" t="s">
        <v>116</v>
      </c>
      <c r="W764" s="161" t="s">
        <v>117</v>
      </c>
    </row>
    <row r="765" ht="15.75" customHeight="1" spans="1:23">
      <c r="A765" s="161"/>
      <c r="B765" s="162"/>
      <c r="C765" s="162"/>
      <c r="D765" s="162" t="s">
        <v>102</v>
      </c>
      <c r="E765" s="162" t="s">
        <v>103</v>
      </c>
      <c r="F765" s="163"/>
      <c r="G765" s="163"/>
      <c r="H765" s="164" t="s">
        <v>157</v>
      </c>
      <c r="I765" s="163" t="s">
        <v>284</v>
      </c>
      <c r="J765" s="164" t="s">
        <v>108</v>
      </c>
      <c r="K765" s="164" t="s">
        <v>110</v>
      </c>
      <c r="L765" s="161">
        <v>24</v>
      </c>
      <c r="M765" s="164" t="s">
        <v>838</v>
      </c>
      <c r="N765" s="164" t="s">
        <v>99</v>
      </c>
      <c r="O765" s="162" t="s">
        <v>11</v>
      </c>
      <c r="P765" s="164" t="s">
        <v>275</v>
      </c>
      <c r="Q765" s="161" t="s">
        <v>112</v>
      </c>
      <c r="R765" s="161" t="s">
        <v>829</v>
      </c>
      <c r="S765" s="161" t="s">
        <v>830</v>
      </c>
      <c r="T765" s="161" t="s">
        <v>13</v>
      </c>
      <c r="U765" s="161" t="s">
        <v>849</v>
      </c>
      <c r="V765" s="161" t="s">
        <v>116</v>
      </c>
      <c r="W765" s="161" t="s">
        <v>117</v>
      </c>
    </row>
    <row r="766" ht="15.75" customHeight="1" spans="1:23">
      <c r="A766" s="161" t="s">
        <v>850</v>
      </c>
      <c r="B766" s="162" t="s">
        <v>851</v>
      </c>
      <c r="C766" s="162" t="s">
        <v>83</v>
      </c>
      <c r="D766" s="162" t="s">
        <v>102</v>
      </c>
      <c r="E766" s="162" t="s">
        <v>103</v>
      </c>
      <c r="F766" s="163" t="s">
        <v>852</v>
      </c>
      <c r="G766" s="163" t="s">
        <v>853</v>
      </c>
      <c r="H766" s="164" t="s">
        <v>141</v>
      </c>
      <c r="I766" s="164" t="s">
        <v>142</v>
      </c>
      <c r="J766" s="164" t="s">
        <v>97</v>
      </c>
      <c r="K766" s="164" t="s">
        <v>99</v>
      </c>
      <c r="L766" s="161">
        <v>60</v>
      </c>
      <c r="M766" s="164" t="s">
        <v>98</v>
      </c>
      <c r="N766" s="164" t="s">
        <v>99</v>
      </c>
      <c r="O766" s="162" t="s">
        <v>11</v>
      </c>
      <c r="P766" s="164" t="s">
        <v>143</v>
      </c>
      <c r="Q766" s="161" t="s">
        <v>112</v>
      </c>
      <c r="R766" s="161" t="s">
        <v>829</v>
      </c>
      <c r="S766" s="161" t="s">
        <v>830</v>
      </c>
      <c r="T766" s="161" t="s">
        <v>13</v>
      </c>
      <c r="U766" s="161" t="s">
        <v>854</v>
      </c>
      <c r="V766" s="161" t="s">
        <v>855</v>
      </c>
      <c r="W766" s="161" t="s">
        <v>856</v>
      </c>
    </row>
    <row r="767" ht="15.75" customHeight="1" spans="1:23">
      <c r="A767" s="161"/>
      <c r="B767" s="162"/>
      <c r="C767" s="162"/>
      <c r="D767" s="162" t="s">
        <v>102</v>
      </c>
      <c r="E767" s="162" t="s">
        <v>103</v>
      </c>
      <c r="F767" s="163"/>
      <c r="G767" s="163"/>
      <c r="H767" s="164" t="s">
        <v>141</v>
      </c>
      <c r="I767" s="164" t="s">
        <v>150</v>
      </c>
      <c r="J767" s="164" t="s">
        <v>108</v>
      </c>
      <c r="K767" s="164" t="s">
        <v>110</v>
      </c>
      <c r="L767" s="161">
        <v>103</v>
      </c>
      <c r="M767" s="164" t="s">
        <v>857</v>
      </c>
      <c r="N767" s="164" t="s">
        <v>110</v>
      </c>
      <c r="O767" s="162" t="s">
        <v>11</v>
      </c>
      <c r="P767" s="164" t="s">
        <v>143</v>
      </c>
      <c r="Q767" s="161" t="s">
        <v>112</v>
      </c>
      <c r="R767" s="161" t="s">
        <v>829</v>
      </c>
      <c r="S767" s="161" t="s">
        <v>830</v>
      </c>
      <c r="T767" s="161" t="s">
        <v>13</v>
      </c>
      <c r="U767" s="161" t="s">
        <v>854</v>
      </c>
      <c r="V767" s="161" t="s">
        <v>855</v>
      </c>
      <c r="W767" s="161" t="s">
        <v>856</v>
      </c>
    </row>
    <row r="768" customHeight="1" spans="1:23">
      <c r="A768" s="161"/>
      <c r="B768" s="162"/>
      <c r="C768" s="162"/>
      <c r="D768" s="162" t="s">
        <v>102</v>
      </c>
      <c r="E768" s="162" t="s">
        <v>103</v>
      </c>
      <c r="F768" s="163"/>
      <c r="G768" s="163"/>
      <c r="H768" s="164" t="s">
        <v>91</v>
      </c>
      <c r="I768" s="163" t="s">
        <v>92</v>
      </c>
      <c r="J768" s="164" t="s">
        <v>87</v>
      </c>
      <c r="K768" s="164" t="s">
        <v>110</v>
      </c>
      <c r="L768" s="161">
        <v>5</v>
      </c>
      <c r="M768" s="164" t="s">
        <v>858</v>
      </c>
      <c r="N768" s="164" t="s">
        <v>90</v>
      </c>
      <c r="O768" s="162" t="s">
        <v>11</v>
      </c>
      <c r="P768" s="164" t="s">
        <v>143</v>
      </c>
      <c r="Q768" s="161" t="s">
        <v>112</v>
      </c>
      <c r="R768" s="161" t="s">
        <v>829</v>
      </c>
      <c r="S768" s="161" t="s">
        <v>830</v>
      </c>
      <c r="T768" s="161" t="s">
        <v>13</v>
      </c>
      <c r="U768" s="161" t="s">
        <v>854</v>
      </c>
      <c r="V768" s="161" t="s">
        <v>855</v>
      </c>
      <c r="W768" s="161" t="s">
        <v>856</v>
      </c>
    </row>
    <row r="769" ht="28.5" customHeight="1" spans="1:23">
      <c r="A769" s="161" t="s">
        <v>859</v>
      </c>
      <c r="B769" s="162" t="s">
        <v>860</v>
      </c>
      <c r="C769" s="162" t="s">
        <v>173</v>
      </c>
      <c r="D769" s="162" t="s">
        <v>102</v>
      </c>
      <c r="E769" s="162" t="s">
        <v>103</v>
      </c>
      <c r="F769" s="163" t="s">
        <v>861</v>
      </c>
      <c r="G769" s="163" t="s">
        <v>862</v>
      </c>
      <c r="H769" s="164" t="s">
        <v>218</v>
      </c>
      <c r="I769" s="163" t="s">
        <v>219</v>
      </c>
      <c r="J769" s="164" t="s">
        <v>108</v>
      </c>
      <c r="K769" s="164" t="s">
        <v>110</v>
      </c>
      <c r="L769" s="161">
        <v>32</v>
      </c>
      <c r="M769" s="164" t="s">
        <v>279</v>
      </c>
      <c r="N769" s="164" t="s">
        <v>110</v>
      </c>
      <c r="O769" s="162" t="s">
        <v>11</v>
      </c>
      <c r="P769" s="164" t="s">
        <v>275</v>
      </c>
      <c r="Q769" s="161" t="s">
        <v>112</v>
      </c>
      <c r="R769" s="161" t="s">
        <v>829</v>
      </c>
      <c r="S769" s="161" t="s">
        <v>830</v>
      </c>
      <c r="T769" s="161" t="s">
        <v>13</v>
      </c>
      <c r="U769" s="161" t="s">
        <v>863</v>
      </c>
      <c r="V769" s="161" t="s">
        <v>116</v>
      </c>
      <c r="W769" s="161" t="s">
        <v>117</v>
      </c>
    </row>
    <row r="770" ht="15.75" customHeight="1" spans="1:23">
      <c r="A770" s="161"/>
      <c r="B770" s="162"/>
      <c r="C770" s="162"/>
      <c r="D770" s="162" t="s">
        <v>102</v>
      </c>
      <c r="E770" s="162" t="s">
        <v>103</v>
      </c>
      <c r="F770" s="163"/>
      <c r="G770" s="163"/>
      <c r="H770" s="164" t="s">
        <v>85</v>
      </c>
      <c r="I770" s="163" t="s">
        <v>209</v>
      </c>
      <c r="J770" s="164" t="s">
        <v>108</v>
      </c>
      <c r="K770" s="164" t="s">
        <v>110</v>
      </c>
      <c r="L770" s="161">
        <v>30</v>
      </c>
      <c r="M770" s="164" t="s">
        <v>279</v>
      </c>
      <c r="N770" s="164" t="s">
        <v>110</v>
      </c>
      <c r="O770" s="162" t="s">
        <v>11</v>
      </c>
      <c r="P770" s="164" t="s">
        <v>275</v>
      </c>
      <c r="Q770" s="161" t="s">
        <v>112</v>
      </c>
      <c r="R770" s="161" t="s">
        <v>829</v>
      </c>
      <c r="S770" s="161" t="s">
        <v>830</v>
      </c>
      <c r="T770" s="161" t="s">
        <v>13</v>
      </c>
      <c r="U770" s="161" t="s">
        <v>863</v>
      </c>
      <c r="V770" s="161" t="s">
        <v>116</v>
      </c>
      <c r="W770" s="161" t="s">
        <v>117</v>
      </c>
    </row>
    <row r="771" customHeight="1" spans="1:23">
      <c r="A771" s="161"/>
      <c r="B771" s="162"/>
      <c r="C771" s="162"/>
      <c r="D771" s="162" t="s">
        <v>102</v>
      </c>
      <c r="E771" s="162" t="s">
        <v>103</v>
      </c>
      <c r="F771" s="163"/>
      <c r="G771" s="163"/>
      <c r="H771" s="164" t="s">
        <v>106</v>
      </c>
      <c r="I771" s="163" t="s">
        <v>281</v>
      </c>
      <c r="J771" s="164" t="s">
        <v>87</v>
      </c>
      <c r="K771" s="164" t="s">
        <v>90</v>
      </c>
      <c r="L771" s="161">
        <v>38</v>
      </c>
      <c r="M771" s="164" t="s">
        <v>279</v>
      </c>
      <c r="N771" s="164" t="s">
        <v>110</v>
      </c>
      <c r="O771" s="162" t="s">
        <v>11</v>
      </c>
      <c r="P771" s="164" t="s">
        <v>275</v>
      </c>
      <c r="Q771" s="161" t="s">
        <v>112</v>
      </c>
      <c r="R771" s="161" t="s">
        <v>829</v>
      </c>
      <c r="S771" s="161" t="s">
        <v>830</v>
      </c>
      <c r="T771" s="161" t="s">
        <v>13</v>
      </c>
      <c r="U771" s="161" t="s">
        <v>863</v>
      </c>
      <c r="V771" s="161" t="s">
        <v>116</v>
      </c>
      <c r="W771" s="161" t="s">
        <v>117</v>
      </c>
    </row>
    <row r="772" ht="15.75" customHeight="1" spans="1:23">
      <c r="A772" s="161"/>
      <c r="B772" s="162"/>
      <c r="C772" s="162"/>
      <c r="D772" s="162" t="s">
        <v>102</v>
      </c>
      <c r="E772" s="162" t="s">
        <v>103</v>
      </c>
      <c r="F772" s="163"/>
      <c r="G772" s="163"/>
      <c r="H772" s="164" t="s">
        <v>157</v>
      </c>
      <c r="I772" s="163" t="s">
        <v>188</v>
      </c>
      <c r="J772" s="164" t="s">
        <v>108</v>
      </c>
      <c r="K772" s="164" t="s">
        <v>110</v>
      </c>
      <c r="L772" s="161">
        <v>20</v>
      </c>
      <c r="M772" s="164" t="s">
        <v>98</v>
      </c>
      <c r="N772" s="164" t="s">
        <v>99</v>
      </c>
      <c r="O772" s="162" t="s">
        <v>11</v>
      </c>
      <c r="P772" s="164" t="s">
        <v>275</v>
      </c>
      <c r="Q772" s="161" t="s">
        <v>112</v>
      </c>
      <c r="R772" s="161" t="s">
        <v>829</v>
      </c>
      <c r="S772" s="161" t="s">
        <v>830</v>
      </c>
      <c r="T772" s="161" t="s">
        <v>13</v>
      </c>
      <c r="U772" s="161" t="s">
        <v>863</v>
      </c>
      <c r="V772" s="161" t="s">
        <v>116</v>
      </c>
      <c r="W772" s="161" t="s">
        <v>117</v>
      </c>
    </row>
    <row r="773" ht="15.75" customHeight="1" spans="1:23">
      <c r="A773" s="161"/>
      <c r="B773" s="162"/>
      <c r="C773" s="162"/>
      <c r="D773" s="162" t="s">
        <v>102</v>
      </c>
      <c r="E773" s="162" t="s">
        <v>103</v>
      </c>
      <c r="F773" s="163"/>
      <c r="G773" s="163"/>
      <c r="H773" s="164" t="s">
        <v>95</v>
      </c>
      <c r="I773" s="163" t="s">
        <v>285</v>
      </c>
      <c r="J773" s="164" t="s">
        <v>108</v>
      </c>
      <c r="K773" s="164" t="s">
        <v>90</v>
      </c>
      <c r="L773" s="161">
        <v>48</v>
      </c>
      <c r="M773" s="164" t="s">
        <v>279</v>
      </c>
      <c r="N773" s="164" t="s">
        <v>110</v>
      </c>
      <c r="O773" s="162" t="s">
        <v>11</v>
      </c>
      <c r="P773" s="164" t="s">
        <v>275</v>
      </c>
      <c r="Q773" s="161" t="s">
        <v>112</v>
      </c>
      <c r="R773" s="161" t="s">
        <v>829</v>
      </c>
      <c r="S773" s="161" t="s">
        <v>830</v>
      </c>
      <c r="T773" s="161" t="s">
        <v>13</v>
      </c>
      <c r="U773" s="161" t="s">
        <v>863</v>
      </c>
      <c r="V773" s="161" t="s">
        <v>116</v>
      </c>
      <c r="W773" s="161" t="s">
        <v>117</v>
      </c>
    </row>
    <row r="774" ht="15.75" customHeight="1" spans="1:23">
      <c r="A774" s="161" t="s">
        <v>864</v>
      </c>
      <c r="B774" s="162" t="s">
        <v>865</v>
      </c>
      <c r="C774" s="162" t="s">
        <v>173</v>
      </c>
      <c r="D774" s="162" t="s">
        <v>102</v>
      </c>
      <c r="E774" s="162" t="s">
        <v>103</v>
      </c>
      <c r="F774" s="163" t="s">
        <v>866</v>
      </c>
      <c r="G774" s="163" t="s">
        <v>867</v>
      </c>
      <c r="H774" s="164" t="s">
        <v>218</v>
      </c>
      <c r="I774" s="164" t="s">
        <v>219</v>
      </c>
      <c r="J774" s="164" t="s">
        <v>108</v>
      </c>
      <c r="K774" s="164" t="s">
        <v>90</v>
      </c>
      <c r="L774" s="161">
        <v>42</v>
      </c>
      <c r="M774" s="164" t="s">
        <v>832</v>
      </c>
      <c r="N774" s="164" t="s">
        <v>99</v>
      </c>
      <c r="O774" s="162" t="s">
        <v>11</v>
      </c>
      <c r="P774" s="164" t="s">
        <v>275</v>
      </c>
      <c r="Q774" s="161" t="s">
        <v>112</v>
      </c>
      <c r="R774" s="161" t="s">
        <v>829</v>
      </c>
      <c r="S774" s="161" t="s">
        <v>830</v>
      </c>
      <c r="T774" s="161" t="s">
        <v>13</v>
      </c>
      <c r="U774" s="161" t="s">
        <v>868</v>
      </c>
      <c r="V774" s="161" t="s">
        <v>116</v>
      </c>
      <c r="W774" s="161" t="s">
        <v>117</v>
      </c>
    </row>
    <row r="775" ht="15.75" customHeight="1" spans="1:23">
      <c r="A775" s="161"/>
      <c r="B775" s="162"/>
      <c r="C775" s="162"/>
      <c r="D775" s="162" t="s">
        <v>102</v>
      </c>
      <c r="E775" s="162" t="s">
        <v>103</v>
      </c>
      <c r="F775" s="163"/>
      <c r="G775" s="163"/>
      <c r="H775" s="164" t="s">
        <v>85</v>
      </c>
      <c r="I775" s="164" t="s">
        <v>209</v>
      </c>
      <c r="J775" s="164" t="s">
        <v>108</v>
      </c>
      <c r="K775" s="164" t="s">
        <v>90</v>
      </c>
      <c r="L775" s="161">
        <v>42</v>
      </c>
      <c r="M775" s="164" t="s">
        <v>869</v>
      </c>
      <c r="N775" s="164" t="s">
        <v>99</v>
      </c>
      <c r="O775" s="162" t="s">
        <v>11</v>
      </c>
      <c r="P775" s="164" t="s">
        <v>275</v>
      </c>
      <c r="Q775" s="161" t="s">
        <v>112</v>
      </c>
      <c r="R775" s="161" t="s">
        <v>829</v>
      </c>
      <c r="S775" s="161" t="s">
        <v>830</v>
      </c>
      <c r="T775" s="161" t="s">
        <v>13</v>
      </c>
      <c r="U775" s="161" t="s">
        <v>868</v>
      </c>
      <c r="V775" s="161" t="s">
        <v>116</v>
      </c>
      <c r="W775" s="161" t="s">
        <v>117</v>
      </c>
    </row>
    <row r="776" ht="15.75" customHeight="1" spans="1:23">
      <c r="A776" s="161"/>
      <c r="B776" s="162"/>
      <c r="C776" s="162"/>
      <c r="D776" s="162" t="s">
        <v>102</v>
      </c>
      <c r="E776" s="162" t="s">
        <v>103</v>
      </c>
      <c r="F776" s="163"/>
      <c r="G776" s="163"/>
      <c r="H776" s="164" t="s">
        <v>95</v>
      </c>
      <c r="I776" s="164" t="s">
        <v>96</v>
      </c>
      <c r="J776" s="164" t="s">
        <v>97</v>
      </c>
      <c r="K776" s="164" t="s">
        <v>99</v>
      </c>
      <c r="L776" s="161">
        <v>24</v>
      </c>
      <c r="M776" s="164" t="s">
        <v>869</v>
      </c>
      <c r="N776" s="164" t="s">
        <v>99</v>
      </c>
      <c r="O776" s="162" t="s">
        <v>11</v>
      </c>
      <c r="P776" s="164" t="s">
        <v>275</v>
      </c>
      <c r="Q776" s="161" t="s">
        <v>112</v>
      </c>
      <c r="R776" s="161" t="s">
        <v>829</v>
      </c>
      <c r="S776" s="161" t="s">
        <v>830</v>
      </c>
      <c r="T776" s="161" t="s">
        <v>13</v>
      </c>
      <c r="U776" s="161" t="s">
        <v>868</v>
      </c>
      <c r="V776" s="161" t="s">
        <v>116</v>
      </c>
      <c r="W776" s="161" t="s">
        <v>117</v>
      </c>
    </row>
    <row r="777" customHeight="1" spans="1:23">
      <c r="A777" s="17"/>
      <c r="B777" s="17"/>
      <c r="C777" s="162"/>
      <c r="D777" s="162" t="s">
        <v>102</v>
      </c>
      <c r="E777" s="162" t="s">
        <v>103</v>
      </c>
      <c r="F777" s="165"/>
      <c r="G777" s="165"/>
      <c r="H777" s="17" t="s">
        <v>132</v>
      </c>
      <c r="I777" s="17" t="s">
        <v>480</v>
      </c>
      <c r="J777" s="17" t="s">
        <v>87</v>
      </c>
      <c r="K777" s="17" t="s">
        <v>90</v>
      </c>
      <c r="L777" s="17">
        <v>60</v>
      </c>
      <c r="M777" s="17" t="s">
        <v>832</v>
      </c>
      <c r="N777" s="17" t="s">
        <v>90</v>
      </c>
      <c r="O777" s="17" t="s">
        <v>11</v>
      </c>
      <c r="P777" s="17" t="s">
        <v>275</v>
      </c>
      <c r="Q777" s="17" t="s">
        <v>112</v>
      </c>
      <c r="R777" s="17" t="s">
        <v>829</v>
      </c>
      <c r="S777" s="17" t="s">
        <v>830</v>
      </c>
      <c r="T777" s="17" t="s">
        <v>13</v>
      </c>
      <c r="U777" s="17" t="s">
        <v>868</v>
      </c>
      <c r="V777" s="17" t="s">
        <v>116</v>
      </c>
      <c r="W777" s="17" t="s">
        <v>117</v>
      </c>
    </row>
    <row r="778" customHeight="1" spans="1:23">
      <c r="A778" s="161" t="s">
        <v>870</v>
      </c>
      <c r="B778" s="162" t="s">
        <v>871</v>
      </c>
      <c r="C778" s="162" t="s">
        <v>173</v>
      </c>
      <c r="D778" s="162" t="s">
        <v>102</v>
      </c>
      <c r="E778" s="162" t="s">
        <v>103</v>
      </c>
      <c r="F778" s="166" t="s">
        <v>872</v>
      </c>
      <c r="G778" s="166" t="s">
        <v>873</v>
      </c>
      <c r="H778" s="164" t="s">
        <v>91</v>
      </c>
      <c r="I778" s="164" t="s">
        <v>92</v>
      </c>
      <c r="J778" s="164" t="s">
        <v>87</v>
      </c>
      <c r="K778" s="164" t="s">
        <v>110</v>
      </c>
      <c r="L778" s="161">
        <v>8</v>
      </c>
      <c r="M778" s="164" t="s">
        <v>874</v>
      </c>
      <c r="N778" s="164" t="s">
        <v>90</v>
      </c>
      <c r="O778" s="162" t="s">
        <v>11</v>
      </c>
      <c r="P778" s="164" t="s">
        <v>275</v>
      </c>
      <c r="Q778" s="161" t="s">
        <v>112</v>
      </c>
      <c r="R778" s="161" t="s">
        <v>829</v>
      </c>
      <c r="S778" s="161" t="s">
        <v>875</v>
      </c>
      <c r="T778" s="161" t="s">
        <v>876</v>
      </c>
      <c r="U778" s="161" t="s">
        <v>877</v>
      </c>
      <c r="V778" s="161" t="s">
        <v>116</v>
      </c>
      <c r="W778" s="161" t="s">
        <v>117</v>
      </c>
    </row>
    <row r="779" ht="15.75" customHeight="1" spans="1:23">
      <c r="A779" s="161"/>
      <c r="B779" s="162"/>
      <c r="C779" s="162"/>
      <c r="D779" s="162" t="s">
        <v>102</v>
      </c>
      <c r="E779" s="162" t="s">
        <v>103</v>
      </c>
      <c r="F779" s="166"/>
      <c r="G779" s="166"/>
      <c r="H779" s="164" t="s">
        <v>132</v>
      </c>
      <c r="I779" s="164" t="s">
        <v>133</v>
      </c>
      <c r="J779" s="164" t="s">
        <v>108</v>
      </c>
      <c r="K779" s="164" t="s">
        <v>110</v>
      </c>
      <c r="L779" s="161">
        <v>8</v>
      </c>
      <c r="M779" s="164" t="s">
        <v>874</v>
      </c>
      <c r="N779" s="164" t="s">
        <v>90</v>
      </c>
      <c r="O779" s="162" t="s">
        <v>11</v>
      </c>
      <c r="P779" s="164" t="s">
        <v>275</v>
      </c>
      <c r="Q779" s="161" t="s">
        <v>112</v>
      </c>
      <c r="R779" s="161" t="s">
        <v>829</v>
      </c>
      <c r="S779" s="161" t="s">
        <v>875</v>
      </c>
      <c r="T779" s="161" t="s">
        <v>876</v>
      </c>
      <c r="U779" s="161" t="s">
        <v>877</v>
      </c>
      <c r="V779" s="161" t="s">
        <v>116</v>
      </c>
      <c r="W779" s="161" t="s">
        <v>117</v>
      </c>
    </row>
    <row r="780" ht="15.75" customHeight="1" spans="1:23">
      <c r="A780" s="161"/>
      <c r="B780" s="162"/>
      <c r="C780" s="162"/>
      <c r="D780" s="162" t="s">
        <v>102</v>
      </c>
      <c r="E780" s="162" t="s">
        <v>103</v>
      </c>
      <c r="F780" s="166"/>
      <c r="G780" s="166"/>
      <c r="H780" s="164" t="s">
        <v>95</v>
      </c>
      <c r="I780" s="164" t="s">
        <v>285</v>
      </c>
      <c r="J780" s="164" t="s">
        <v>108</v>
      </c>
      <c r="K780" s="164" t="s">
        <v>110</v>
      </c>
      <c r="L780" s="161">
        <v>24</v>
      </c>
      <c r="M780" s="164" t="s">
        <v>874</v>
      </c>
      <c r="N780" s="164" t="s">
        <v>99</v>
      </c>
      <c r="O780" s="162" t="s">
        <v>11</v>
      </c>
      <c r="P780" s="164" t="s">
        <v>275</v>
      </c>
      <c r="Q780" s="161" t="s">
        <v>112</v>
      </c>
      <c r="R780" s="161" t="s">
        <v>829</v>
      </c>
      <c r="S780" s="161" t="s">
        <v>875</v>
      </c>
      <c r="T780" s="161" t="s">
        <v>876</v>
      </c>
      <c r="U780" s="161" t="s">
        <v>877</v>
      </c>
      <c r="V780" s="161" t="s">
        <v>116</v>
      </c>
      <c r="W780" s="161" t="s">
        <v>117</v>
      </c>
    </row>
    <row r="781" ht="15.75" customHeight="1" spans="1:23">
      <c r="A781" s="161"/>
      <c r="B781" s="162"/>
      <c r="C781" s="162"/>
      <c r="D781" s="162" t="s">
        <v>102</v>
      </c>
      <c r="E781" s="162" t="s">
        <v>103</v>
      </c>
      <c r="F781" s="166"/>
      <c r="G781" s="166"/>
      <c r="H781" s="164" t="s">
        <v>157</v>
      </c>
      <c r="I781" s="164" t="s">
        <v>166</v>
      </c>
      <c r="J781" s="164" t="s">
        <v>108</v>
      </c>
      <c r="K781" s="164" t="s">
        <v>99</v>
      </c>
      <c r="L781" s="161">
        <v>24</v>
      </c>
      <c r="M781" s="164" t="s">
        <v>279</v>
      </c>
      <c r="N781" s="164" t="s">
        <v>99</v>
      </c>
      <c r="O781" s="162" t="s">
        <v>11</v>
      </c>
      <c r="P781" s="164" t="s">
        <v>275</v>
      </c>
      <c r="Q781" s="161" t="s">
        <v>112</v>
      </c>
      <c r="R781" s="161" t="s">
        <v>829</v>
      </c>
      <c r="S781" s="161" t="s">
        <v>875</v>
      </c>
      <c r="T781" s="161" t="s">
        <v>876</v>
      </c>
      <c r="U781" s="161" t="s">
        <v>877</v>
      </c>
      <c r="V781" s="161" t="s">
        <v>116</v>
      </c>
      <c r="W781" s="161" t="s">
        <v>117</v>
      </c>
    </row>
    <row r="782" ht="15.75" customHeight="1" spans="1:23">
      <c r="A782" s="161"/>
      <c r="B782" s="162"/>
      <c r="C782" s="162"/>
      <c r="D782" s="162" t="s">
        <v>102</v>
      </c>
      <c r="E782" s="162" t="s">
        <v>103</v>
      </c>
      <c r="F782" s="166"/>
      <c r="G782" s="166"/>
      <c r="H782" s="164" t="s">
        <v>95</v>
      </c>
      <c r="I782" s="164" t="s">
        <v>176</v>
      </c>
      <c r="J782" s="164" t="s">
        <v>97</v>
      </c>
      <c r="K782" s="164" t="s">
        <v>99</v>
      </c>
      <c r="L782" s="161">
        <v>24</v>
      </c>
      <c r="M782" s="164" t="s">
        <v>874</v>
      </c>
      <c r="N782" s="164" t="s">
        <v>99</v>
      </c>
      <c r="O782" s="162" t="s">
        <v>11</v>
      </c>
      <c r="P782" s="164" t="s">
        <v>275</v>
      </c>
      <c r="Q782" s="161" t="s">
        <v>112</v>
      </c>
      <c r="R782" s="161" t="s">
        <v>829</v>
      </c>
      <c r="S782" s="161" t="s">
        <v>875</v>
      </c>
      <c r="T782" s="161" t="s">
        <v>876</v>
      </c>
      <c r="U782" s="161" t="s">
        <v>877</v>
      </c>
      <c r="V782" s="161" t="s">
        <v>116</v>
      </c>
      <c r="W782" s="161" t="s">
        <v>117</v>
      </c>
    </row>
    <row r="783" ht="15.75" customHeight="1" spans="1:23">
      <c r="A783" s="161"/>
      <c r="B783" s="162"/>
      <c r="C783" s="162"/>
      <c r="D783" s="162" t="s">
        <v>102</v>
      </c>
      <c r="E783" s="162" t="s">
        <v>103</v>
      </c>
      <c r="F783" s="166"/>
      <c r="G783" s="166"/>
      <c r="H783" s="164" t="s">
        <v>119</v>
      </c>
      <c r="I783" s="164" t="s">
        <v>211</v>
      </c>
      <c r="J783" s="164" t="s">
        <v>108</v>
      </c>
      <c r="K783" s="164" t="s">
        <v>99</v>
      </c>
      <c r="L783" s="161">
        <v>24</v>
      </c>
      <c r="M783" s="164" t="s">
        <v>279</v>
      </c>
      <c r="N783" s="164" t="s">
        <v>99</v>
      </c>
      <c r="O783" s="162" t="s">
        <v>11</v>
      </c>
      <c r="P783" s="164" t="s">
        <v>275</v>
      </c>
      <c r="Q783" s="161" t="s">
        <v>112</v>
      </c>
      <c r="R783" s="161" t="s">
        <v>829</v>
      </c>
      <c r="S783" s="161" t="s">
        <v>875</v>
      </c>
      <c r="T783" s="161" t="s">
        <v>876</v>
      </c>
      <c r="U783" s="161" t="s">
        <v>877</v>
      </c>
      <c r="V783" s="161" t="s">
        <v>116</v>
      </c>
      <c r="W783" s="161" t="s">
        <v>117</v>
      </c>
    </row>
    <row r="784" ht="15.75" customHeight="1" spans="1:23">
      <c r="A784" s="161"/>
      <c r="B784" s="162"/>
      <c r="C784" s="162"/>
      <c r="D784" s="162" t="s">
        <v>102</v>
      </c>
      <c r="E784" s="162" t="s">
        <v>103</v>
      </c>
      <c r="F784" s="166"/>
      <c r="G784" s="166"/>
      <c r="H784" s="164" t="s">
        <v>95</v>
      </c>
      <c r="I784" s="164" t="s">
        <v>136</v>
      </c>
      <c r="J784" s="164" t="s">
        <v>108</v>
      </c>
      <c r="K784" s="164" t="s">
        <v>99</v>
      </c>
      <c r="L784" s="161">
        <v>32</v>
      </c>
      <c r="M784" s="164" t="s">
        <v>279</v>
      </c>
      <c r="N784" s="164" t="s">
        <v>110</v>
      </c>
      <c r="O784" s="162" t="s">
        <v>11</v>
      </c>
      <c r="P784" s="164" t="s">
        <v>275</v>
      </c>
      <c r="Q784" s="161" t="s">
        <v>112</v>
      </c>
      <c r="R784" s="161" t="s">
        <v>829</v>
      </c>
      <c r="S784" s="161" t="s">
        <v>875</v>
      </c>
      <c r="T784" s="161" t="s">
        <v>876</v>
      </c>
      <c r="U784" s="161" t="s">
        <v>877</v>
      </c>
      <c r="V784" s="161" t="s">
        <v>116</v>
      </c>
      <c r="W784" s="161" t="s">
        <v>117</v>
      </c>
    </row>
    <row r="785" ht="15.75" customHeight="1" spans="1:23">
      <c r="A785" s="161"/>
      <c r="B785" s="162"/>
      <c r="C785" s="162"/>
      <c r="D785" s="162" t="s">
        <v>102</v>
      </c>
      <c r="E785" s="162" t="s">
        <v>103</v>
      </c>
      <c r="F785" s="166"/>
      <c r="G785" s="166"/>
      <c r="H785" s="164" t="s">
        <v>95</v>
      </c>
      <c r="I785" s="164" t="s">
        <v>96</v>
      </c>
      <c r="J785" s="164" t="s">
        <v>97</v>
      </c>
      <c r="K785" s="164" t="s">
        <v>99</v>
      </c>
      <c r="L785" s="161">
        <v>24</v>
      </c>
      <c r="M785" s="164" t="s">
        <v>279</v>
      </c>
      <c r="N785" s="164" t="s">
        <v>99</v>
      </c>
      <c r="O785" s="162" t="s">
        <v>11</v>
      </c>
      <c r="P785" s="164" t="s">
        <v>275</v>
      </c>
      <c r="Q785" s="161" t="s">
        <v>112</v>
      </c>
      <c r="R785" s="161" t="s">
        <v>829</v>
      </c>
      <c r="S785" s="161" t="s">
        <v>875</v>
      </c>
      <c r="T785" s="161" t="s">
        <v>876</v>
      </c>
      <c r="U785" s="161" t="s">
        <v>877</v>
      </c>
      <c r="V785" s="161" t="s">
        <v>116</v>
      </c>
      <c r="W785" s="161" t="s">
        <v>117</v>
      </c>
    </row>
    <row r="786" ht="15.75" customHeight="1" spans="1:23">
      <c r="A786" s="161" t="s">
        <v>878</v>
      </c>
      <c r="B786" s="162" t="s">
        <v>879</v>
      </c>
      <c r="C786" s="162" t="s">
        <v>173</v>
      </c>
      <c r="D786" s="162" t="s">
        <v>102</v>
      </c>
      <c r="E786" s="162" t="s">
        <v>103</v>
      </c>
      <c r="F786" s="163" t="s">
        <v>880</v>
      </c>
      <c r="G786" s="163" t="s">
        <v>881</v>
      </c>
      <c r="H786" s="164" t="s">
        <v>95</v>
      </c>
      <c r="I786" s="164" t="s">
        <v>285</v>
      </c>
      <c r="J786" s="164" t="s">
        <v>108</v>
      </c>
      <c r="K786" s="164" t="s">
        <v>110</v>
      </c>
      <c r="L786" s="161">
        <v>22</v>
      </c>
      <c r="M786" s="164" t="s">
        <v>94</v>
      </c>
      <c r="N786" s="164" t="s">
        <v>99</v>
      </c>
      <c r="O786" s="162" t="s">
        <v>11</v>
      </c>
      <c r="P786" s="164" t="s">
        <v>275</v>
      </c>
      <c r="Q786" s="161" t="s">
        <v>112</v>
      </c>
      <c r="R786" s="161" t="s">
        <v>829</v>
      </c>
      <c r="S786" s="161" t="s">
        <v>875</v>
      </c>
      <c r="T786" s="161" t="s">
        <v>876</v>
      </c>
      <c r="U786" s="161" t="s">
        <v>882</v>
      </c>
      <c r="V786" s="161" t="s">
        <v>116</v>
      </c>
      <c r="W786" s="161" t="s">
        <v>117</v>
      </c>
    </row>
    <row r="787" ht="15.75" customHeight="1" spans="1:23">
      <c r="A787" s="161"/>
      <c r="B787" s="162"/>
      <c r="C787" s="162"/>
      <c r="D787" s="162" t="s">
        <v>102</v>
      </c>
      <c r="E787" s="162" t="s">
        <v>103</v>
      </c>
      <c r="F787" s="163"/>
      <c r="G787" s="163"/>
      <c r="H787" s="164" t="s">
        <v>95</v>
      </c>
      <c r="I787" s="164" t="s">
        <v>176</v>
      </c>
      <c r="J787" s="164" t="s">
        <v>97</v>
      </c>
      <c r="K787" s="164" t="s">
        <v>99</v>
      </c>
      <c r="L787" s="161">
        <v>80</v>
      </c>
      <c r="M787" s="164" t="s">
        <v>135</v>
      </c>
      <c r="N787" s="164" t="s">
        <v>99</v>
      </c>
      <c r="O787" s="162" t="s">
        <v>11</v>
      </c>
      <c r="P787" s="164" t="s">
        <v>275</v>
      </c>
      <c r="Q787" s="161" t="s">
        <v>112</v>
      </c>
      <c r="R787" s="161" t="s">
        <v>829</v>
      </c>
      <c r="S787" s="161" t="s">
        <v>875</v>
      </c>
      <c r="T787" s="161" t="s">
        <v>876</v>
      </c>
      <c r="U787" s="161" t="s">
        <v>882</v>
      </c>
      <c r="V787" s="161" t="s">
        <v>116</v>
      </c>
      <c r="W787" s="161" t="s">
        <v>117</v>
      </c>
    </row>
    <row r="788" customHeight="1" spans="1:23">
      <c r="A788" s="17"/>
      <c r="B788" s="17"/>
      <c r="C788" s="162"/>
      <c r="D788" s="162" t="s">
        <v>102</v>
      </c>
      <c r="E788" s="162" t="s">
        <v>103</v>
      </c>
      <c r="F788" s="165"/>
      <c r="G788" s="165"/>
      <c r="H788" s="17" t="s">
        <v>132</v>
      </c>
      <c r="I788" s="17" t="s">
        <v>480</v>
      </c>
      <c r="J788" s="17" t="s">
        <v>87</v>
      </c>
      <c r="K788" s="17" t="s">
        <v>110</v>
      </c>
      <c r="L788" s="17">
        <v>36</v>
      </c>
      <c r="M788" s="17" t="s">
        <v>832</v>
      </c>
      <c r="N788" s="17" t="s">
        <v>90</v>
      </c>
      <c r="O788" s="17" t="s">
        <v>11</v>
      </c>
      <c r="P788" s="17" t="s">
        <v>275</v>
      </c>
      <c r="Q788" s="17" t="s">
        <v>112</v>
      </c>
      <c r="R788" s="17" t="s">
        <v>829</v>
      </c>
      <c r="S788" s="17" t="s">
        <v>875</v>
      </c>
      <c r="T788" s="17" t="s">
        <v>876</v>
      </c>
      <c r="U788" s="17" t="s">
        <v>882</v>
      </c>
      <c r="V788" s="17" t="s">
        <v>116</v>
      </c>
      <c r="W788" s="17" t="s">
        <v>117</v>
      </c>
    </row>
    <row r="789" ht="15.75" customHeight="1" spans="1:23">
      <c r="A789" s="161"/>
      <c r="B789" s="162"/>
      <c r="C789" s="162"/>
      <c r="D789" s="162" t="s">
        <v>102</v>
      </c>
      <c r="E789" s="162" t="s">
        <v>103</v>
      </c>
      <c r="F789" s="163"/>
      <c r="G789" s="163"/>
      <c r="H789" s="164" t="s">
        <v>218</v>
      </c>
      <c r="I789" s="164" t="s">
        <v>219</v>
      </c>
      <c r="J789" s="164" t="s">
        <v>108</v>
      </c>
      <c r="K789" s="164" t="s">
        <v>110</v>
      </c>
      <c r="L789" s="161">
        <v>30</v>
      </c>
      <c r="M789" s="164" t="s">
        <v>94</v>
      </c>
      <c r="N789" s="164" t="s">
        <v>99</v>
      </c>
      <c r="O789" s="162" t="s">
        <v>11</v>
      </c>
      <c r="P789" s="164" t="s">
        <v>275</v>
      </c>
      <c r="Q789" s="161" t="s">
        <v>112</v>
      </c>
      <c r="R789" s="161" t="s">
        <v>829</v>
      </c>
      <c r="S789" s="161" t="s">
        <v>875</v>
      </c>
      <c r="T789" s="161" t="s">
        <v>876</v>
      </c>
      <c r="U789" s="161" t="s">
        <v>882</v>
      </c>
      <c r="V789" s="161" t="s">
        <v>116</v>
      </c>
      <c r="W789" s="161" t="s">
        <v>117</v>
      </c>
    </row>
    <row r="790" customHeight="1" spans="1:23">
      <c r="A790" s="161" t="s">
        <v>883</v>
      </c>
      <c r="B790" s="162" t="s">
        <v>884</v>
      </c>
      <c r="C790" s="162" t="s">
        <v>83</v>
      </c>
      <c r="D790" s="162" t="s">
        <v>102</v>
      </c>
      <c r="E790" s="162" t="s">
        <v>103</v>
      </c>
      <c r="F790" s="163" t="s">
        <v>885</v>
      </c>
      <c r="G790" s="163" t="s">
        <v>886</v>
      </c>
      <c r="H790" s="164" t="s">
        <v>106</v>
      </c>
      <c r="I790" s="163" t="s">
        <v>281</v>
      </c>
      <c r="J790" s="164" t="s">
        <v>87</v>
      </c>
      <c r="K790" s="164" t="s">
        <v>110</v>
      </c>
      <c r="L790" s="167">
        <v>32</v>
      </c>
      <c r="M790" s="164" t="s">
        <v>279</v>
      </c>
      <c r="N790" s="164" t="s">
        <v>110</v>
      </c>
      <c r="O790" s="162" t="s">
        <v>11</v>
      </c>
      <c r="P790" s="164" t="s">
        <v>275</v>
      </c>
      <c r="Q790" s="161" t="s">
        <v>112</v>
      </c>
      <c r="R790" s="161" t="s">
        <v>829</v>
      </c>
      <c r="S790" s="161" t="s">
        <v>875</v>
      </c>
      <c r="T790" s="161" t="s">
        <v>876</v>
      </c>
      <c r="U790" s="161" t="s">
        <v>887</v>
      </c>
      <c r="V790" s="161" t="s">
        <v>116</v>
      </c>
      <c r="W790" s="161" t="s">
        <v>117</v>
      </c>
    </row>
    <row r="791" ht="15.75" customHeight="1" spans="1:23">
      <c r="A791" s="161"/>
      <c r="B791" s="162"/>
      <c r="C791" s="162"/>
      <c r="D791" s="162" t="s">
        <v>102</v>
      </c>
      <c r="E791" s="162" t="s">
        <v>103</v>
      </c>
      <c r="F791" s="163"/>
      <c r="G791" s="163"/>
      <c r="H791" s="164" t="s">
        <v>95</v>
      </c>
      <c r="I791" s="164" t="s">
        <v>285</v>
      </c>
      <c r="J791" s="164" t="s">
        <v>108</v>
      </c>
      <c r="K791" s="164" t="s">
        <v>90</v>
      </c>
      <c r="L791" s="167">
        <v>80</v>
      </c>
      <c r="M791" s="164" t="s">
        <v>838</v>
      </c>
      <c r="N791" s="164" t="s">
        <v>99</v>
      </c>
      <c r="O791" s="162" t="s">
        <v>11</v>
      </c>
      <c r="P791" s="164" t="s">
        <v>275</v>
      </c>
      <c r="Q791" s="161" t="s">
        <v>112</v>
      </c>
      <c r="R791" s="161" t="s">
        <v>829</v>
      </c>
      <c r="S791" s="161" t="s">
        <v>875</v>
      </c>
      <c r="T791" s="161" t="s">
        <v>876</v>
      </c>
      <c r="U791" s="161" t="s">
        <v>887</v>
      </c>
      <c r="V791" s="161" t="s">
        <v>116</v>
      </c>
      <c r="W791" s="161" t="s">
        <v>117</v>
      </c>
    </row>
    <row r="792" ht="15.75" customHeight="1" spans="1:23">
      <c r="A792" s="161"/>
      <c r="B792" s="162"/>
      <c r="C792" s="162"/>
      <c r="D792" s="162" t="s">
        <v>102</v>
      </c>
      <c r="E792" s="162" t="s">
        <v>103</v>
      </c>
      <c r="F792" s="163"/>
      <c r="G792" s="163"/>
      <c r="H792" s="164" t="s">
        <v>95</v>
      </c>
      <c r="I792" s="164" t="s">
        <v>176</v>
      </c>
      <c r="J792" s="164" t="s">
        <v>97</v>
      </c>
      <c r="K792" s="164" t="s">
        <v>90</v>
      </c>
      <c r="L792" s="167">
        <v>80</v>
      </c>
      <c r="M792" s="164" t="s">
        <v>838</v>
      </c>
      <c r="N792" s="164" t="s">
        <v>99</v>
      </c>
      <c r="O792" s="162" t="s">
        <v>11</v>
      </c>
      <c r="P792" s="164" t="s">
        <v>275</v>
      </c>
      <c r="Q792" s="161" t="s">
        <v>112</v>
      </c>
      <c r="R792" s="161" t="s">
        <v>829</v>
      </c>
      <c r="S792" s="161" t="s">
        <v>875</v>
      </c>
      <c r="T792" s="161" t="s">
        <v>876</v>
      </c>
      <c r="U792" s="161" t="s">
        <v>887</v>
      </c>
      <c r="V792" s="161" t="s">
        <v>116</v>
      </c>
      <c r="W792" s="161" t="s">
        <v>117</v>
      </c>
    </row>
    <row r="793" ht="15.75" customHeight="1" spans="1:23">
      <c r="A793" s="161"/>
      <c r="B793" s="162"/>
      <c r="C793" s="162"/>
      <c r="D793" s="162" t="s">
        <v>102</v>
      </c>
      <c r="E793" s="162" t="s">
        <v>103</v>
      </c>
      <c r="F793" s="163"/>
      <c r="G793" s="163"/>
      <c r="H793" s="164" t="s">
        <v>132</v>
      </c>
      <c r="I793" s="164" t="s">
        <v>133</v>
      </c>
      <c r="J793" s="164" t="s">
        <v>108</v>
      </c>
      <c r="K793" s="164" t="s">
        <v>90</v>
      </c>
      <c r="L793" s="167">
        <v>40</v>
      </c>
      <c r="M793" s="164" t="s">
        <v>838</v>
      </c>
      <c r="N793" s="164" t="s">
        <v>90</v>
      </c>
      <c r="O793" s="162" t="s">
        <v>11</v>
      </c>
      <c r="P793" s="164" t="s">
        <v>275</v>
      </c>
      <c r="Q793" s="161" t="s">
        <v>112</v>
      </c>
      <c r="R793" s="161" t="s">
        <v>829</v>
      </c>
      <c r="S793" s="161" t="s">
        <v>875</v>
      </c>
      <c r="T793" s="161" t="s">
        <v>876</v>
      </c>
      <c r="U793" s="161" t="s">
        <v>887</v>
      </c>
      <c r="V793" s="161" t="s">
        <v>116</v>
      </c>
      <c r="W793" s="161" t="s">
        <v>117</v>
      </c>
    </row>
    <row r="794" customHeight="1" spans="1:23">
      <c r="A794" s="161"/>
      <c r="B794" s="162"/>
      <c r="C794" s="162"/>
      <c r="D794" s="162" t="s">
        <v>102</v>
      </c>
      <c r="E794" s="162" t="s">
        <v>103</v>
      </c>
      <c r="F794" s="163"/>
      <c r="G794" s="163"/>
      <c r="H794" s="164" t="s">
        <v>91</v>
      </c>
      <c r="I794" s="164" t="s">
        <v>92</v>
      </c>
      <c r="J794" s="164" t="s">
        <v>87</v>
      </c>
      <c r="K794" s="164" t="s">
        <v>90</v>
      </c>
      <c r="L794" s="167">
        <v>40</v>
      </c>
      <c r="M794" s="164" t="s">
        <v>838</v>
      </c>
      <c r="N794" s="164" t="s">
        <v>90</v>
      </c>
      <c r="O794" s="162" t="s">
        <v>11</v>
      </c>
      <c r="P794" s="164" t="s">
        <v>275</v>
      </c>
      <c r="Q794" s="161" t="s">
        <v>112</v>
      </c>
      <c r="R794" s="161" t="s">
        <v>829</v>
      </c>
      <c r="S794" s="161" t="s">
        <v>875</v>
      </c>
      <c r="T794" s="161" t="s">
        <v>876</v>
      </c>
      <c r="U794" s="161" t="s">
        <v>887</v>
      </c>
      <c r="V794" s="161" t="s">
        <v>116</v>
      </c>
      <c r="W794" s="161" t="s">
        <v>117</v>
      </c>
    </row>
    <row r="795" ht="15.75" customHeight="1" spans="1:23">
      <c r="A795" s="161"/>
      <c r="B795" s="162"/>
      <c r="C795" s="162"/>
      <c r="D795" s="162" t="s">
        <v>102</v>
      </c>
      <c r="E795" s="162" t="s">
        <v>103</v>
      </c>
      <c r="F795" s="163"/>
      <c r="G795" s="163"/>
      <c r="H795" s="164" t="s">
        <v>157</v>
      </c>
      <c r="I795" s="164" t="s">
        <v>284</v>
      </c>
      <c r="J795" s="164" t="s">
        <v>108</v>
      </c>
      <c r="K795" s="164" t="s">
        <v>99</v>
      </c>
      <c r="L795" s="167">
        <v>54</v>
      </c>
      <c r="M795" s="164" t="s">
        <v>838</v>
      </c>
      <c r="N795" s="164" t="s">
        <v>99</v>
      </c>
      <c r="O795" s="162" t="s">
        <v>11</v>
      </c>
      <c r="P795" s="164" t="s">
        <v>275</v>
      </c>
      <c r="Q795" s="161" t="s">
        <v>112</v>
      </c>
      <c r="R795" s="161" t="s">
        <v>829</v>
      </c>
      <c r="S795" s="161" t="s">
        <v>875</v>
      </c>
      <c r="T795" s="161" t="s">
        <v>876</v>
      </c>
      <c r="U795" s="161" t="s">
        <v>887</v>
      </c>
      <c r="V795" s="161" t="s">
        <v>116</v>
      </c>
      <c r="W795" s="161" t="s">
        <v>117</v>
      </c>
    </row>
    <row r="796" ht="15.75" customHeight="1" spans="1:23">
      <c r="A796" s="161"/>
      <c r="B796" s="162"/>
      <c r="C796" s="162"/>
      <c r="D796" s="162" t="s">
        <v>102</v>
      </c>
      <c r="E796" s="162" t="s">
        <v>103</v>
      </c>
      <c r="F796" s="163"/>
      <c r="G796" s="163"/>
      <c r="H796" s="164" t="s">
        <v>95</v>
      </c>
      <c r="I796" s="164" t="s">
        <v>96</v>
      </c>
      <c r="J796" s="164" t="s">
        <v>97</v>
      </c>
      <c r="K796" s="164" t="s">
        <v>110</v>
      </c>
      <c r="L796" s="167">
        <v>32</v>
      </c>
      <c r="M796" s="164" t="s">
        <v>279</v>
      </c>
      <c r="N796" s="164" t="s">
        <v>99</v>
      </c>
      <c r="O796" s="162" t="s">
        <v>11</v>
      </c>
      <c r="P796" s="164" t="s">
        <v>275</v>
      </c>
      <c r="Q796" s="161" t="s">
        <v>112</v>
      </c>
      <c r="R796" s="161" t="s">
        <v>829</v>
      </c>
      <c r="S796" s="161" t="s">
        <v>875</v>
      </c>
      <c r="T796" s="161" t="s">
        <v>876</v>
      </c>
      <c r="U796" s="161" t="s">
        <v>887</v>
      </c>
      <c r="V796" s="161" t="s">
        <v>116</v>
      </c>
      <c r="W796" s="161" t="s">
        <v>117</v>
      </c>
    </row>
    <row r="797" ht="15.75" customHeight="1" spans="1:23">
      <c r="A797" s="161" t="s">
        <v>888</v>
      </c>
      <c r="B797" s="162" t="s">
        <v>889</v>
      </c>
      <c r="C797" s="162" t="s">
        <v>83</v>
      </c>
      <c r="D797" s="162" t="s">
        <v>102</v>
      </c>
      <c r="E797" s="162" t="s">
        <v>103</v>
      </c>
      <c r="F797" s="163" t="s">
        <v>890</v>
      </c>
      <c r="G797" s="163" t="s">
        <v>891</v>
      </c>
      <c r="H797" s="164" t="s">
        <v>95</v>
      </c>
      <c r="I797" s="163" t="s">
        <v>193</v>
      </c>
      <c r="J797" s="164" t="s">
        <v>108</v>
      </c>
      <c r="K797" s="164" t="s">
        <v>110</v>
      </c>
      <c r="L797" s="161">
        <v>21</v>
      </c>
      <c r="M797" s="164" t="s">
        <v>98</v>
      </c>
      <c r="N797" s="164" t="s">
        <v>99</v>
      </c>
      <c r="O797" s="162" t="s">
        <v>11</v>
      </c>
      <c r="P797" s="164" t="s">
        <v>275</v>
      </c>
      <c r="Q797" s="161" t="s">
        <v>112</v>
      </c>
      <c r="R797" s="161" t="s">
        <v>829</v>
      </c>
      <c r="S797" s="161" t="s">
        <v>875</v>
      </c>
      <c r="T797" s="161" t="s">
        <v>876</v>
      </c>
      <c r="U797" s="161" t="s">
        <v>892</v>
      </c>
      <c r="V797" s="161" t="s">
        <v>116</v>
      </c>
      <c r="W797" s="161" t="s">
        <v>117</v>
      </c>
    </row>
    <row r="798" customHeight="1" spans="1:23">
      <c r="A798" s="161"/>
      <c r="B798" s="162"/>
      <c r="C798" s="162"/>
      <c r="D798" s="162" t="s">
        <v>102</v>
      </c>
      <c r="E798" s="162" t="s">
        <v>103</v>
      </c>
      <c r="F798" s="163"/>
      <c r="G798" s="163"/>
      <c r="H798" s="164" t="s">
        <v>106</v>
      </c>
      <c r="I798" s="163" t="s">
        <v>281</v>
      </c>
      <c r="J798" s="164" t="s">
        <v>87</v>
      </c>
      <c r="K798" s="164" t="s">
        <v>90</v>
      </c>
      <c r="L798" s="161">
        <v>42</v>
      </c>
      <c r="M798" s="164" t="s">
        <v>98</v>
      </c>
      <c r="N798" s="164" t="s">
        <v>110</v>
      </c>
      <c r="O798" s="162" t="s">
        <v>11</v>
      </c>
      <c r="P798" s="164" t="s">
        <v>275</v>
      </c>
      <c r="Q798" s="161" t="s">
        <v>112</v>
      </c>
      <c r="R798" s="161" t="s">
        <v>829</v>
      </c>
      <c r="S798" s="161" t="s">
        <v>875</v>
      </c>
      <c r="T798" s="161" t="s">
        <v>876</v>
      </c>
      <c r="U798" s="161" t="s">
        <v>892</v>
      </c>
      <c r="V798" s="161" t="s">
        <v>116</v>
      </c>
      <c r="W798" s="161" t="s">
        <v>117</v>
      </c>
    </row>
    <row r="799" ht="15.75" customHeight="1" spans="1:23">
      <c r="A799" s="161"/>
      <c r="B799" s="162"/>
      <c r="C799" s="162"/>
      <c r="D799" s="162" t="s">
        <v>102</v>
      </c>
      <c r="E799" s="162" t="s">
        <v>103</v>
      </c>
      <c r="F799" s="163"/>
      <c r="G799" s="163"/>
      <c r="H799" s="164" t="s">
        <v>132</v>
      </c>
      <c r="I799" s="164" t="s">
        <v>133</v>
      </c>
      <c r="J799" s="164" t="s">
        <v>108</v>
      </c>
      <c r="K799" s="164" t="s">
        <v>99</v>
      </c>
      <c r="L799" s="161">
        <v>21</v>
      </c>
      <c r="M799" s="164" t="s">
        <v>280</v>
      </c>
      <c r="N799" s="164" t="s">
        <v>90</v>
      </c>
      <c r="O799" s="162" t="s">
        <v>11</v>
      </c>
      <c r="P799" s="164" t="s">
        <v>275</v>
      </c>
      <c r="Q799" s="161" t="s">
        <v>112</v>
      </c>
      <c r="R799" s="161" t="s">
        <v>829</v>
      </c>
      <c r="S799" s="161" t="s">
        <v>875</v>
      </c>
      <c r="T799" s="161" t="s">
        <v>876</v>
      </c>
      <c r="U799" s="161" t="s">
        <v>892</v>
      </c>
      <c r="V799" s="161" t="s">
        <v>116</v>
      </c>
      <c r="W799" s="161" t="s">
        <v>117</v>
      </c>
    </row>
    <row r="800" ht="15.75" customHeight="1" spans="1:23">
      <c r="A800" s="161"/>
      <c r="B800" s="162"/>
      <c r="C800" s="162"/>
      <c r="D800" s="162" t="s">
        <v>102</v>
      </c>
      <c r="E800" s="162" t="s">
        <v>103</v>
      </c>
      <c r="F800" s="163"/>
      <c r="G800" s="163"/>
      <c r="H800" s="164" t="s">
        <v>95</v>
      </c>
      <c r="I800" s="164" t="s">
        <v>136</v>
      </c>
      <c r="J800" s="164" t="s">
        <v>108</v>
      </c>
      <c r="K800" s="164" t="s">
        <v>110</v>
      </c>
      <c r="L800" s="161">
        <v>84</v>
      </c>
      <c r="M800" s="164" t="s">
        <v>98</v>
      </c>
      <c r="N800" s="164" t="s">
        <v>99</v>
      </c>
      <c r="O800" s="162" t="s">
        <v>11</v>
      </c>
      <c r="P800" s="164" t="s">
        <v>275</v>
      </c>
      <c r="Q800" s="161" t="s">
        <v>112</v>
      </c>
      <c r="R800" s="161" t="s">
        <v>829</v>
      </c>
      <c r="S800" s="161" t="s">
        <v>875</v>
      </c>
      <c r="T800" s="161" t="s">
        <v>876</v>
      </c>
      <c r="U800" s="161" t="s">
        <v>892</v>
      </c>
      <c r="V800" s="161" t="s">
        <v>116</v>
      </c>
      <c r="W800" s="161" t="s">
        <v>117</v>
      </c>
    </row>
    <row r="801" customHeight="1" spans="1:23">
      <c r="A801" s="161"/>
      <c r="B801" s="162"/>
      <c r="C801" s="162"/>
      <c r="D801" s="162" t="s">
        <v>102</v>
      </c>
      <c r="E801" s="162" t="s">
        <v>103</v>
      </c>
      <c r="F801" s="163"/>
      <c r="G801" s="163"/>
      <c r="H801" s="164" t="s">
        <v>91</v>
      </c>
      <c r="I801" s="164" t="s">
        <v>92</v>
      </c>
      <c r="J801" s="164" t="s">
        <v>87</v>
      </c>
      <c r="K801" s="164" t="s">
        <v>110</v>
      </c>
      <c r="L801" s="161">
        <v>21</v>
      </c>
      <c r="M801" s="164" t="s">
        <v>98</v>
      </c>
      <c r="N801" s="164" t="s">
        <v>90</v>
      </c>
      <c r="O801" s="162" t="s">
        <v>11</v>
      </c>
      <c r="P801" s="164" t="s">
        <v>275</v>
      </c>
      <c r="Q801" s="161" t="s">
        <v>112</v>
      </c>
      <c r="R801" s="161" t="s">
        <v>829</v>
      </c>
      <c r="S801" s="161" t="s">
        <v>875</v>
      </c>
      <c r="T801" s="161" t="s">
        <v>876</v>
      </c>
      <c r="U801" s="161" t="s">
        <v>892</v>
      </c>
      <c r="V801" s="161" t="s">
        <v>116</v>
      </c>
      <c r="W801" s="161" t="s">
        <v>117</v>
      </c>
    </row>
    <row r="802" customHeight="1" spans="1:23">
      <c r="A802" s="161" t="s">
        <v>893</v>
      </c>
      <c r="B802" s="162" t="s">
        <v>894</v>
      </c>
      <c r="C802" s="162" t="s">
        <v>83</v>
      </c>
      <c r="D802" s="162" t="s">
        <v>102</v>
      </c>
      <c r="E802" s="162" t="s">
        <v>103</v>
      </c>
      <c r="F802" s="163" t="s">
        <v>895</v>
      </c>
      <c r="G802" s="163" t="s">
        <v>896</v>
      </c>
      <c r="H802" s="164" t="s">
        <v>106</v>
      </c>
      <c r="I802" s="163" t="s">
        <v>281</v>
      </c>
      <c r="J802" s="164" t="s">
        <v>87</v>
      </c>
      <c r="K802" s="164" t="s">
        <v>99</v>
      </c>
      <c r="L802" s="161">
        <v>0</v>
      </c>
      <c r="M802" s="164" t="s">
        <v>98</v>
      </c>
      <c r="N802" s="164" t="s">
        <v>99</v>
      </c>
      <c r="O802" s="162" t="s">
        <v>11</v>
      </c>
      <c r="P802" s="164" t="s">
        <v>275</v>
      </c>
      <c r="Q802" s="161" t="s">
        <v>112</v>
      </c>
      <c r="R802" s="161" t="s">
        <v>829</v>
      </c>
      <c r="S802" s="161" t="s">
        <v>875</v>
      </c>
      <c r="T802" s="161" t="s">
        <v>876</v>
      </c>
      <c r="U802" s="161" t="s">
        <v>897</v>
      </c>
      <c r="V802" s="161" t="s">
        <v>116</v>
      </c>
      <c r="W802" s="161" t="s">
        <v>117</v>
      </c>
    </row>
    <row r="803" ht="15.75" customHeight="1" spans="1:23">
      <c r="A803" s="161"/>
      <c r="B803" s="162"/>
      <c r="C803" s="162"/>
      <c r="D803" s="162" t="s">
        <v>102</v>
      </c>
      <c r="E803" s="162" t="s">
        <v>103</v>
      </c>
      <c r="F803" s="163"/>
      <c r="G803" s="163"/>
      <c r="H803" s="164" t="s">
        <v>132</v>
      </c>
      <c r="I803" s="164" t="s">
        <v>133</v>
      </c>
      <c r="J803" s="164" t="s">
        <v>108</v>
      </c>
      <c r="K803" s="164" t="s">
        <v>90</v>
      </c>
      <c r="L803" s="161">
        <v>10</v>
      </c>
      <c r="M803" s="164" t="s">
        <v>838</v>
      </c>
      <c r="N803" s="164" t="s">
        <v>90</v>
      </c>
      <c r="O803" s="162" t="s">
        <v>11</v>
      </c>
      <c r="P803" s="164" t="s">
        <v>275</v>
      </c>
      <c r="Q803" s="161" t="s">
        <v>112</v>
      </c>
      <c r="R803" s="161" t="s">
        <v>829</v>
      </c>
      <c r="S803" s="161" t="s">
        <v>875</v>
      </c>
      <c r="T803" s="161" t="s">
        <v>876</v>
      </c>
      <c r="U803" s="161" t="s">
        <v>897</v>
      </c>
      <c r="V803" s="161" t="s">
        <v>116</v>
      </c>
      <c r="W803" s="161" t="s">
        <v>117</v>
      </c>
    </row>
    <row r="804" customHeight="1" spans="1:23">
      <c r="A804" s="17"/>
      <c r="B804" s="17"/>
      <c r="C804" s="162"/>
      <c r="D804" s="162" t="s">
        <v>102</v>
      </c>
      <c r="E804" s="162" t="s">
        <v>103</v>
      </c>
      <c r="F804" s="165"/>
      <c r="G804" s="165"/>
      <c r="H804" s="17" t="s">
        <v>132</v>
      </c>
      <c r="I804" s="17" t="s">
        <v>480</v>
      </c>
      <c r="J804" s="17" t="s">
        <v>87</v>
      </c>
      <c r="K804" s="17" t="s">
        <v>90</v>
      </c>
      <c r="L804" s="17">
        <v>10</v>
      </c>
      <c r="M804" s="17" t="s">
        <v>838</v>
      </c>
      <c r="N804" s="17" t="s">
        <v>90</v>
      </c>
      <c r="O804" s="17" t="s">
        <v>11</v>
      </c>
      <c r="P804" s="17" t="s">
        <v>275</v>
      </c>
      <c r="Q804" s="17" t="s">
        <v>112</v>
      </c>
      <c r="R804" s="17" t="s">
        <v>829</v>
      </c>
      <c r="S804" s="17" t="s">
        <v>875</v>
      </c>
      <c r="T804" s="17" t="s">
        <v>876</v>
      </c>
      <c r="U804" s="17" t="s">
        <v>897</v>
      </c>
      <c r="V804" s="17" t="s">
        <v>116</v>
      </c>
      <c r="W804" s="17" t="s">
        <v>117</v>
      </c>
    </row>
    <row r="805" ht="15.75" customHeight="1" spans="1:23">
      <c r="A805" s="161"/>
      <c r="B805" s="162"/>
      <c r="C805" s="162"/>
      <c r="D805" s="162" t="s">
        <v>102</v>
      </c>
      <c r="E805" s="162" t="s">
        <v>103</v>
      </c>
      <c r="F805" s="163"/>
      <c r="G805" s="163"/>
      <c r="H805" s="164" t="s">
        <v>157</v>
      </c>
      <c r="I805" s="164" t="s">
        <v>284</v>
      </c>
      <c r="J805" s="164" t="s">
        <v>108</v>
      </c>
      <c r="K805" s="164" t="s">
        <v>110</v>
      </c>
      <c r="L805" s="161">
        <v>30</v>
      </c>
      <c r="M805" s="164" t="s">
        <v>838</v>
      </c>
      <c r="N805" s="164" t="s">
        <v>99</v>
      </c>
      <c r="O805" s="162" t="s">
        <v>11</v>
      </c>
      <c r="P805" s="164" t="s">
        <v>275</v>
      </c>
      <c r="Q805" s="161" t="s">
        <v>112</v>
      </c>
      <c r="R805" s="161" t="s">
        <v>829</v>
      </c>
      <c r="S805" s="161" t="s">
        <v>875</v>
      </c>
      <c r="T805" s="161" t="s">
        <v>876</v>
      </c>
      <c r="U805" s="161" t="s">
        <v>897</v>
      </c>
      <c r="V805" s="161" t="s">
        <v>116</v>
      </c>
      <c r="W805" s="161" t="s">
        <v>117</v>
      </c>
    </row>
    <row r="806" ht="15.75" customHeight="1" spans="1:23">
      <c r="A806" s="161"/>
      <c r="B806" s="162"/>
      <c r="C806" s="162"/>
      <c r="D806" s="162" t="s">
        <v>102</v>
      </c>
      <c r="E806" s="162" t="s">
        <v>103</v>
      </c>
      <c r="F806" s="163"/>
      <c r="G806" s="163"/>
      <c r="H806" s="164" t="s">
        <v>157</v>
      </c>
      <c r="I806" s="164" t="s">
        <v>158</v>
      </c>
      <c r="J806" s="164" t="s">
        <v>108</v>
      </c>
      <c r="K806" s="164" t="s">
        <v>110</v>
      </c>
      <c r="L806" s="161">
        <v>30</v>
      </c>
      <c r="M806" s="164" t="s">
        <v>838</v>
      </c>
      <c r="N806" s="164" t="s">
        <v>99</v>
      </c>
      <c r="O806" s="162" t="s">
        <v>11</v>
      </c>
      <c r="P806" s="164" t="s">
        <v>275</v>
      </c>
      <c r="Q806" s="161" t="s">
        <v>112</v>
      </c>
      <c r="R806" s="161" t="s">
        <v>829</v>
      </c>
      <c r="S806" s="161" t="s">
        <v>875</v>
      </c>
      <c r="T806" s="161" t="s">
        <v>876</v>
      </c>
      <c r="U806" s="161" t="s">
        <v>897</v>
      </c>
      <c r="V806" s="161" t="s">
        <v>116</v>
      </c>
      <c r="W806" s="161" t="s">
        <v>117</v>
      </c>
    </row>
    <row r="807" ht="15.75" customHeight="1" spans="1:23">
      <c r="A807" s="161" t="s">
        <v>898</v>
      </c>
      <c r="B807" s="162" t="s">
        <v>899</v>
      </c>
      <c r="C807" s="162" t="s">
        <v>173</v>
      </c>
      <c r="D807" s="162" t="s">
        <v>102</v>
      </c>
      <c r="E807" s="162" t="s">
        <v>103</v>
      </c>
      <c r="F807" s="163" t="s">
        <v>900</v>
      </c>
      <c r="G807" s="163" t="s">
        <v>901</v>
      </c>
      <c r="H807" s="164" t="s">
        <v>132</v>
      </c>
      <c r="I807" s="164" t="s">
        <v>133</v>
      </c>
      <c r="J807" s="164" t="s">
        <v>108</v>
      </c>
      <c r="K807" s="164" t="s">
        <v>90</v>
      </c>
      <c r="L807" s="161">
        <v>20</v>
      </c>
      <c r="M807" s="164" t="s">
        <v>279</v>
      </c>
      <c r="N807" s="168" t="s">
        <v>99</v>
      </c>
      <c r="O807" s="162" t="s">
        <v>11</v>
      </c>
      <c r="P807" s="164" t="s">
        <v>275</v>
      </c>
      <c r="Q807" s="161" t="s">
        <v>112</v>
      </c>
      <c r="R807" s="161" t="s">
        <v>829</v>
      </c>
      <c r="S807" s="161" t="s">
        <v>875</v>
      </c>
      <c r="T807" s="161" t="s">
        <v>876</v>
      </c>
      <c r="U807" s="161" t="s">
        <v>902</v>
      </c>
      <c r="V807" s="161" t="s">
        <v>116</v>
      </c>
      <c r="W807" s="161" t="s">
        <v>117</v>
      </c>
    </row>
    <row r="808" customHeight="1" spans="1:23">
      <c r="A808" s="161"/>
      <c r="B808" s="162"/>
      <c r="C808" s="162"/>
      <c r="D808" s="162" t="s">
        <v>102</v>
      </c>
      <c r="E808" s="162" t="s">
        <v>103</v>
      </c>
      <c r="F808" s="163"/>
      <c r="G808" s="163"/>
      <c r="H808" s="164" t="s">
        <v>132</v>
      </c>
      <c r="I808" s="164" t="s">
        <v>480</v>
      </c>
      <c r="J808" s="164" t="s">
        <v>87</v>
      </c>
      <c r="K808" s="164" t="s">
        <v>90</v>
      </c>
      <c r="L808" s="161">
        <v>10</v>
      </c>
      <c r="M808" s="164" t="s">
        <v>279</v>
      </c>
      <c r="N808" s="168" t="s">
        <v>99</v>
      </c>
      <c r="O808" s="162" t="s">
        <v>11</v>
      </c>
      <c r="P808" s="164" t="s">
        <v>275</v>
      </c>
      <c r="Q808" s="161" t="s">
        <v>112</v>
      </c>
      <c r="R808" s="161" t="s">
        <v>829</v>
      </c>
      <c r="S808" s="161" t="s">
        <v>875</v>
      </c>
      <c r="T808" s="161" t="s">
        <v>876</v>
      </c>
      <c r="U808" s="161" t="s">
        <v>902</v>
      </c>
      <c r="V808" s="161" t="s">
        <v>116</v>
      </c>
      <c r="W808" s="161" t="s">
        <v>117</v>
      </c>
    </row>
    <row r="809" ht="15.75" customHeight="1" spans="1:23">
      <c r="A809" s="161"/>
      <c r="B809" s="162"/>
      <c r="C809" s="162"/>
      <c r="D809" s="162" t="s">
        <v>102</v>
      </c>
      <c r="E809" s="162" t="s">
        <v>103</v>
      </c>
      <c r="F809" s="163"/>
      <c r="G809" s="163"/>
      <c r="H809" s="164" t="s">
        <v>95</v>
      </c>
      <c r="I809" s="164" t="s">
        <v>96</v>
      </c>
      <c r="J809" s="164" t="s">
        <v>97</v>
      </c>
      <c r="K809" s="164" t="s">
        <v>110</v>
      </c>
      <c r="L809" s="161">
        <v>38</v>
      </c>
      <c r="M809" s="164" t="s">
        <v>98</v>
      </c>
      <c r="N809" s="168" t="s">
        <v>99</v>
      </c>
      <c r="O809" s="162" t="s">
        <v>11</v>
      </c>
      <c r="P809" s="164" t="s">
        <v>275</v>
      </c>
      <c r="Q809" s="161" t="s">
        <v>112</v>
      </c>
      <c r="R809" s="161" t="s">
        <v>829</v>
      </c>
      <c r="S809" s="161" t="s">
        <v>875</v>
      </c>
      <c r="T809" s="161" t="s">
        <v>876</v>
      </c>
      <c r="U809" s="161" t="s">
        <v>902</v>
      </c>
      <c r="V809" s="161" t="s">
        <v>116</v>
      </c>
      <c r="W809" s="161" t="s">
        <v>117</v>
      </c>
    </row>
    <row r="810" ht="15.75" customHeight="1" spans="1:23">
      <c r="A810" s="161"/>
      <c r="B810" s="162"/>
      <c r="C810" s="162"/>
      <c r="D810" s="162" t="s">
        <v>102</v>
      </c>
      <c r="E810" s="162" t="s">
        <v>103</v>
      </c>
      <c r="F810" s="163"/>
      <c r="G810" s="163"/>
      <c r="H810" s="164" t="s">
        <v>95</v>
      </c>
      <c r="I810" s="164" t="s">
        <v>136</v>
      </c>
      <c r="J810" s="164" t="s">
        <v>108</v>
      </c>
      <c r="K810" s="164" t="s">
        <v>99</v>
      </c>
      <c r="L810" s="161">
        <v>40</v>
      </c>
      <c r="M810" s="164" t="s">
        <v>98</v>
      </c>
      <c r="N810" s="168" t="s">
        <v>99</v>
      </c>
      <c r="O810" s="162" t="s">
        <v>11</v>
      </c>
      <c r="P810" s="164" t="s">
        <v>275</v>
      </c>
      <c r="Q810" s="161" t="s">
        <v>112</v>
      </c>
      <c r="R810" s="161" t="s">
        <v>829</v>
      </c>
      <c r="S810" s="161" t="s">
        <v>875</v>
      </c>
      <c r="T810" s="161" t="s">
        <v>876</v>
      </c>
      <c r="U810" s="161" t="s">
        <v>902</v>
      </c>
      <c r="V810" s="161" t="s">
        <v>116</v>
      </c>
      <c r="W810" s="161" t="s">
        <v>117</v>
      </c>
    </row>
    <row r="811" ht="15.75" customHeight="1" spans="1:23">
      <c r="A811" s="161"/>
      <c r="B811" s="162"/>
      <c r="C811" s="162"/>
      <c r="D811" s="162" t="s">
        <v>102</v>
      </c>
      <c r="E811" s="162" t="s">
        <v>103</v>
      </c>
      <c r="F811" s="163"/>
      <c r="G811" s="163"/>
      <c r="H811" s="164" t="s">
        <v>157</v>
      </c>
      <c r="I811" s="164" t="s">
        <v>284</v>
      </c>
      <c r="J811" s="164" t="s">
        <v>108</v>
      </c>
      <c r="K811" s="164" t="s">
        <v>110</v>
      </c>
      <c r="L811" s="161">
        <v>40</v>
      </c>
      <c r="M811" s="164" t="s">
        <v>279</v>
      </c>
      <c r="N811" s="168" t="s">
        <v>99</v>
      </c>
      <c r="O811" s="162" t="s">
        <v>11</v>
      </c>
      <c r="P811" s="164" t="s">
        <v>275</v>
      </c>
      <c r="Q811" s="161" t="s">
        <v>112</v>
      </c>
      <c r="R811" s="161" t="s">
        <v>829</v>
      </c>
      <c r="S811" s="161" t="s">
        <v>875</v>
      </c>
      <c r="T811" s="161" t="s">
        <v>876</v>
      </c>
      <c r="U811" s="161" t="s">
        <v>902</v>
      </c>
      <c r="V811" s="161" t="s">
        <v>116</v>
      </c>
      <c r="W811" s="161" t="s">
        <v>117</v>
      </c>
    </row>
    <row r="812" customHeight="1" spans="1:23">
      <c r="A812" s="161"/>
      <c r="B812" s="162"/>
      <c r="C812" s="162"/>
      <c r="D812" s="162" t="s">
        <v>102</v>
      </c>
      <c r="E812" s="162" t="s">
        <v>103</v>
      </c>
      <c r="F812" s="163"/>
      <c r="G812" s="163"/>
      <c r="H812" s="164" t="s">
        <v>91</v>
      </c>
      <c r="I812" s="164" t="s">
        <v>92</v>
      </c>
      <c r="J812" s="164" t="s">
        <v>87</v>
      </c>
      <c r="K812" s="164" t="s">
        <v>110</v>
      </c>
      <c r="L812" s="161">
        <v>20</v>
      </c>
      <c r="M812" s="164" t="s">
        <v>903</v>
      </c>
      <c r="N812" s="168" t="s">
        <v>90</v>
      </c>
      <c r="O812" s="162" t="s">
        <v>11</v>
      </c>
      <c r="P812" s="164" t="s">
        <v>275</v>
      </c>
      <c r="Q812" s="161" t="s">
        <v>112</v>
      </c>
      <c r="R812" s="161" t="s">
        <v>829</v>
      </c>
      <c r="S812" s="161" t="s">
        <v>875</v>
      </c>
      <c r="T812" s="161" t="s">
        <v>876</v>
      </c>
      <c r="U812" s="161" t="s">
        <v>902</v>
      </c>
      <c r="V812" s="161" t="s">
        <v>116</v>
      </c>
      <c r="W812" s="161" t="s">
        <v>117</v>
      </c>
    </row>
    <row r="813" ht="15.75" customHeight="1" spans="1:23">
      <c r="A813" s="161" t="s">
        <v>904</v>
      </c>
      <c r="B813" s="162" t="s">
        <v>905</v>
      </c>
      <c r="C813" s="162" t="s">
        <v>173</v>
      </c>
      <c r="D813" s="162" t="s">
        <v>102</v>
      </c>
      <c r="E813" s="162" t="s">
        <v>103</v>
      </c>
      <c r="F813" s="163" t="s">
        <v>906</v>
      </c>
      <c r="G813" s="163" t="s">
        <v>907</v>
      </c>
      <c r="H813" s="164" t="s">
        <v>157</v>
      </c>
      <c r="I813" s="164" t="s">
        <v>284</v>
      </c>
      <c r="J813" s="164" t="s">
        <v>108</v>
      </c>
      <c r="K813" s="164" t="s">
        <v>90</v>
      </c>
      <c r="L813" s="161">
        <v>21</v>
      </c>
      <c r="M813" s="164" t="s">
        <v>98</v>
      </c>
      <c r="N813" s="164" t="s">
        <v>99</v>
      </c>
      <c r="O813" s="162" t="s">
        <v>11</v>
      </c>
      <c r="P813" s="164" t="s">
        <v>275</v>
      </c>
      <c r="Q813" s="161" t="s">
        <v>112</v>
      </c>
      <c r="R813" s="161" t="s">
        <v>829</v>
      </c>
      <c r="S813" s="161" t="s">
        <v>875</v>
      </c>
      <c r="T813" s="161" t="s">
        <v>876</v>
      </c>
      <c r="U813" s="161" t="s">
        <v>908</v>
      </c>
      <c r="V813" s="161" t="s">
        <v>116</v>
      </c>
      <c r="W813" s="161" t="s">
        <v>117</v>
      </c>
    </row>
    <row r="814" ht="15.75" customHeight="1" spans="1:23">
      <c r="A814" s="161"/>
      <c r="B814" s="162"/>
      <c r="C814" s="162"/>
      <c r="D814" s="162" t="s">
        <v>102</v>
      </c>
      <c r="E814" s="162" t="s">
        <v>103</v>
      </c>
      <c r="F814" s="163"/>
      <c r="G814" s="163"/>
      <c r="H814" s="164" t="s">
        <v>218</v>
      </c>
      <c r="I814" s="164" t="s">
        <v>291</v>
      </c>
      <c r="J814" s="164" t="s">
        <v>108</v>
      </c>
      <c r="K814" s="164" t="s">
        <v>110</v>
      </c>
      <c r="L814" s="161">
        <v>5</v>
      </c>
      <c r="M814" s="164" t="s">
        <v>909</v>
      </c>
      <c r="N814" s="164" t="s">
        <v>99</v>
      </c>
      <c r="O814" s="162" t="s">
        <v>11</v>
      </c>
      <c r="P814" s="164" t="s">
        <v>275</v>
      </c>
      <c r="Q814" s="161" t="s">
        <v>112</v>
      </c>
      <c r="R814" s="161" t="s">
        <v>829</v>
      </c>
      <c r="S814" s="161" t="s">
        <v>875</v>
      </c>
      <c r="T814" s="161" t="s">
        <v>876</v>
      </c>
      <c r="U814" s="161" t="s">
        <v>908</v>
      </c>
      <c r="V814" s="161" t="s">
        <v>116</v>
      </c>
      <c r="W814" s="161" t="s">
        <v>117</v>
      </c>
    </row>
    <row r="815" ht="15.75" customHeight="1" spans="1:23">
      <c r="A815" s="161"/>
      <c r="B815" s="162"/>
      <c r="C815" s="162"/>
      <c r="D815" s="162" t="s">
        <v>102</v>
      </c>
      <c r="E815" s="162" t="s">
        <v>103</v>
      </c>
      <c r="F815" s="163"/>
      <c r="G815" s="163"/>
      <c r="H815" s="164" t="s">
        <v>218</v>
      </c>
      <c r="I815" s="164" t="s">
        <v>316</v>
      </c>
      <c r="J815" s="164" t="s">
        <v>108</v>
      </c>
      <c r="K815" s="164" t="s">
        <v>110</v>
      </c>
      <c r="L815" s="161">
        <v>4</v>
      </c>
      <c r="M815" s="164" t="s">
        <v>135</v>
      </c>
      <c r="N815" s="164" t="s">
        <v>99</v>
      </c>
      <c r="O815" s="162" t="s">
        <v>11</v>
      </c>
      <c r="P815" s="164" t="s">
        <v>275</v>
      </c>
      <c r="Q815" s="161" t="s">
        <v>112</v>
      </c>
      <c r="R815" s="161" t="s">
        <v>829</v>
      </c>
      <c r="S815" s="161" t="s">
        <v>875</v>
      </c>
      <c r="T815" s="161" t="s">
        <v>876</v>
      </c>
      <c r="U815" s="161" t="s">
        <v>908</v>
      </c>
      <c r="V815" s="161" t="s">
        <v>116</v>
      </c>
      <c r="W815" s="161" t="s">
        <v>117</v>
      </c>
    </row>
    <row r="816" ht="15.75" customHeight="1" spans="1:23">
      <c r="A816" s="161"/>
      <c r="B816" s="162"/>
      <c r="C816" s="162"/>
      <c r="D816" s="162" t="s">
        <v>102</v>
      </c>
      <c r="E816" s="162" t="s">
        <v>103</v>
      </c>
      <c r="F816" s="163"/>
      <c r="G816" s="163"/>
      <c r="H816" s="164" t="s">
        <v>95</v>
      </c>
      <c r="I816" s="164" t="s">
        <v>285</v>
      </c>
      <c r="J816" s="164" t="s">
        <v>108</v>
      </c>
      <c r="K816" s="164" t="s">
        <v>90</v>
      </c>
      <c r="L816" s="161">
        <v>100</v>
      </c>
      <c r="M816" s="164" t="s">
        <v>98</v>
      </c>
      <c r="N816" s="164" t="s">
        <v>99</v>
      </c>
      <c r="O816" s="162" t="s">
        <v>11</v>
      </c>
      <c r="P816" s="164" t="s">
        <v>275</v>
      </c>
      <c r="Q816" s="161" t="s">
        <v>112</v>
      </c>
      <c r="R816" s="161" t="s">
        <v>829</v>
      </c>
      <c r="S816" s="161" t="s">
        <v>875</v>
      </c>
      <c r="T816" s="161" t="s">
        <v>876</v>
      </c>
      <c r="U816" s="161" t="s">
        <v>908</v>
      </c>
      <c r="V816" s="161" t="s">
        <v>116</v>
      </c>
      <c r="W816" s="161" t="s">
        <v>117</v>
      </c>
    </row>
    <row r="817" ht="15.75" customHeight="1" spans="1:23">
      <c r="A817" s="161"/>
      <c r="B817" s="162"/>
      <c r="C817" s="162"/>
      <c r="D817" s="162" t="s">
        <v>102</v>
      </c>
      <c r="E817" s="162" t="s">
        <v>103</v>
      </c>
      <c r="F817" s="163"/>
      <c r="G817" s="163"/>
      <c r="H817" s="164" t="s">
        <v>95</v>
      </c>
      <c r="I817" s="164" t="s">
        <v>176</v>
      </c>
      <c r="J817" s="164" t="s">
        <v>97</v>
      </c>
      <c r="K817" s="164" t="s">
        <v>99</v>
      </c>
      <c r="L817" s="161">
        <v>60</v>
      </c>
      <c r="M817" s="164" t="s">
        <v>98</v>
      </c>
      <c r="N817" s="164" t="s">
        <v>99</v>
      </c>
      <c r="O817" s="162" t="s">
        <v>11</v>
      </c>
      <c r="P817" s="164" t="s">
        <v>275</v>
      </c>
      <c r="Q817" s="161" t="s">
        <v>112</v>
      </c>
      <c r="R817" s="161" t="s">
        <v>829</v>
      </c>
      <c r="S817" s="161" t="s">
        <v>875</v>
      </c>
      <c r="T817" s="161" t="s">
        <v>876</v>
      </c>
      <c r="U817" s="161" t="s">
        <v>908</v>
      </c>
      <c r="V817" s="161" t="s">
        <v>116</v>
      </c>
      <c r="W817" s="161" t="s">
        <v>117</v>
      </c>
    </row>
    <row r="818" ht="15.75" customHeight="1" spans="1:23">
      <c r="A818" s="161" t="s">
        <v>910</v>
      </c>
      <c r="B818" s="162" t="s">
        <v>911</v>
      </c>
      <c r="C818" s="162" t="s">
        <v>83</v>
      </c>
      <c r="D818" s="162" t="s">
        <v>102</v>
      </c>
      <c r="E818" s="162" t="s">
        <v>103</v>
      </c>
      <c r="F818" s="163" t="s">
        <v>912</v>
      </c>
      <c r="G818" s="163" t="s">
        <v>913</v>
      </c>
      <c r="H818" s="164" t="s">
        <v>218</v>
      </c>
      <c r="I818" s="164" t="s">
        <v>291</v>
      </c>
      <c r="J818" s="164" t="s">
        <v>108</v>
      </c>
      <c r="K818" s="164"/>
      <c r="L818" s="161"/>
      <c r="M818" s="164"/>
      <c r="N818" s="164"/>
      <c r="O818" s="162" t="s">
        <v>11</v>
      </c>
      <c r="P818" s="164" t="s">
        <v>178</v>
      </c>
      <c r="Q818" s="161" t="s">
        <v>112</v>
      </c>
      <c r="R818" s="161" t="s">
        <v>829</v>
      </c>
      <c r="S818" s="161" t="s">
        <v>875</v>
      </c>
      <c r="T818" s="161" t="s">
        <v>876</v>
      </c>
      <c r="U818" s="161" t="s">
        <v>914</v>
      </c>
      <c r="V818" s="161" t="s">
        <v>116</v>
      </c>
      <c r="W818" s="161" t="s">
        <v>117</v>
      </c>
    </row>
    <row r="819" customHeight="1" spans="1:23">
      <c r="A819" s="161"/>
      <c r="B819" s="162"/>
      <c r="C819" s="162"/>
      <c r="D819" s="162" t="s">
        <v>102</v>
      </c>
      <c r="E819" s="162" t="s">
        <v>103</v>
      </c>
      <c r="F819" s="163"/>
      <c r="G819" s="163"/>
      <c r="H819" s="164" t="s">
        <v>132</v>
      </c>
      <c r="I819" s="164" t="s">
        <v>480</v>
      </c>
      <c r="J819" s="164" t="s">
        <v>87</v>
      </c>
      <c r="K819" s="164"/>
      <c r="L819" s="161"/>
      <c r="M819" s="164"/>
      <c r="N819" s="164"/>
      <c r="O819" s="162" t="s">
        <v>11</v>
      </c>
      <c r="P819" s="164" t="s">
        <v>178</v>
      </c>
      <c r="Q819" s="161" t="s">
        <v>112</v>
      </c>
      <c r="R819" s="161" t="s">
        <v>829</v>
      </c>
      <c r="S819" s="161" t="s">
        <v>875</v>
      </c>
      <c r="T819" s="161" t="s">
        <v>876</v>
      </c>
      <c r="U819" s="161" t="s">
        <v>914</v>
      </c>
      <c r="V819" s="161" t="s">
        <v>116</v>
      </c>
      <c r="W819" s="161" t="s">
        <v>117</v>
      </c>
    </row>
    <row r="820" customHeight="1" spans="1:23">
      <c r="A820" s="161"/>
      <c r="B820" s="162"/>
      <c r="C820" s="162"/>
      <c r="D820" s="162" t="s">
        <v>102</v>
      </c>
      <c r="E820" s="162" t="s">
        <v>103</v>
      </c>
      <c r="F820" s="163"/>
      <c r="G820" s="163"/>
      <c r="H820" s="164" t="s">
        <v>91</v>
      </c>
      <c r="I820" s="164" t="s">
        <v>92</v>
      </c>
      <c r="J820" s="164" t="s">
        <v>87</v>
      </c>
      <c r="K820" s="164"/>
      <c r="L820" s="161"/>
      <c r="M820" s="164"/>
      <c r="N820" s="164"/>
      <c r="O820" s="162" t="s">
        <v>11</v>
      </c>
      <c r="P820" s="164" t="s">
        <v>178</v>
      </c>
      <c r="Q820" s="161" t="s">
        <v>112</v>
      </c>
      <c r="R820" s="161" t="s">
        <v>829</v>
      </c>
      <c r="S820" s="161" t="s">
        <v>875</v>
      </c>
      <c r="T820" s="161" t="s">
        <v>876</v>
      </c>
      <c r="U820" s="161" t="s">
        <v>914</v>
      </c>
      <c r="V820" s="161" t="s">
        <v>116</v>
      </c>
      <c r="W820" s="161" t="s">
        <v>117</v>
      </c>
    </row>
    <row r="821" ht="15.75" customHeight="1" spans="1:23">
      <c r="A821" s="161"/>
      <c r="B821" s="162"/>
      <c r="C821" s="162"/>
      <c r="D821" s="162" t="s">
        <v>102</v>
      </c>
      <c r="E821" s="162" t="s">
        <v>103</v>
      </c>
      <c r="F821" s="163"/>
      <c r="G821" s="163"/>
      <c r="H821" s="164" t="s">
        <v>95</v>
      </c>
      <c r="I821" s="164" t="s">
        <v>96</v>
      </c>
      <c r="J821" s="164" t="s">
        <v>97</v>
      </c>
      <c r="K821" s="164"/>
      <c r="L821" s="161"/>
      <c r="M821" s="164"/>
      <c r="N821" s="164" t="s">
        <v>99</v>
      </c>
      <c r="O821" s="162" t="s">
        <v>11</v>
      </c>
      <c r="P821" s="164" t="s">
        <v>178</v>
      </c>
      <c r="Q821" s="161" t="s">
        <v>112</v>
      </c>
      <c r="R821" s="161" t="s">
        <v>829</v>
      </c>
      <c r="S821" s="161" t="s">
        <v>875</v>
      </c>
      <c r="T821" s="161" t="s">
        <v>876</v>
      </c>
      <c r="U821" s="161" t="s">
        <v>914</v>
      </c>
      <c r="V821" s="161" t="s">
        <v>116</v>
      </c>
      <c r="W821" s="161" t="s">
        <v>117</v>
      </c>
    </row>
    <row r="822" ht="15.75" customHeight="1" spans="1:23">
      <c r="A822" s="161"/>
      <c r="B822" s="162"/>
      <c r="C822" s="162"/>
      <c r="D822" s="162" t="s">
        <v>102</v>
      </c>
      <c r="E822" s="162" t="s">
        <v>103</v>
      </c>
      <c r="F822" s="163"/>
      <c r="G822" s="163"/>
      <c r="H822" s="164" t="s">
        <v>95</v>
      </c>
      <c r="I822" s="164" t="s">
        <v>176</v>
      </c>
      <c r="J822" s="164" t="s">
        <v>97</v>
      </c>
      <c r="K822" s="164"/>
      <c r="L822" s="161"/>
      <c r="M822" s="164"/>
      <c r="N822" s="164" t="s">
        <v>99</v>
      </c>
      <c r="O822" s="162" t="s">
        <v>11</v>
      </c>
      <c r="P822" s="164" t="s">
        <v>178</v>
      </c>
      <c r="Q822" s="161" t="s">
        <v>112</v>
      </c>
      <c r="R822" s="161" t="s">
        <v>829</v>
      </c>
      <c r="S822" s="161" t="s">
        <v>875</v>
      </c>
      <c r="T822" s="161" t="s">
        <v>876</v>
      </c>
      <c r="U822" s="161" t="s">
        <v>914</v>
      </c>
      <c r="V822" s="161" t="s">
        <v>116</v>
      </c>
      <c r="W822" s="161" t="s">
        <v>117</v>
      </c>
    </row>
    <row r="823" ht="15.75" customHeight="1" spans="1:23">
      <c r="A823" s="161" t="s">
        <v>915</v>
      </c>
      <c r="B823" s="162" t="s">
        <v>916</v>
      </c>
      <c r="C823" s="162" t="s">
        <v>173</v>
      </c>
      <c r="D823" s="162" t="s">
        <v>102</v>
      </c>
      <c r="E823" s="162" t="s">
        <v>103</v>
      </c>
      <c r="F823" s="163" t="s">
        <v>917</v>
      </c>
      <c r="G823" s="163" t="s">
        <v>918</v>
      </c>
      <c r="H823" s="164" t="s">
        <v>157</v>
      </c>
      <c r="I823" s="164" t="s">
        <v>158</v>
      </c>
      <c r="J823" s="164" t="s">
        <v>108</v>
      </c>
      <c r="K823" s="164" t="s">
        <v>110</v>
      </c>
      <c r="L823" s="161">
        <v>24</v>
      </c>
      <c r="M823" s="164" t="s">
        <v>98</v>
      </c>
      <c r="N823" s="164" t="s">
        <v>99</v>
      </c>
      <c r="O823" s="162" t="s">
        <v>11</v>
      </c>
      <c r="P823" s="164" t="s">
        <v>178</v>
      </c>
      <c r="Q823" s="161" t="s">
        <v>112</v>
      </c>
      <c r="R823" s="161" t="s">
        <v>829</v>
      </c>
      <c r="S823" s="161" t="s">
        <v>875</v>
      </c>
      <c r="T823" s="161" t="s">
        <v>876</v>
      </c>
      <c r="U823" s="161" t="s">
        <v>919</v>
      </c>
      <c r="V823" s="161" t="s">
        <v>116</v>
      </c>
      <c r="W823" s="161" t="s">
        <v>117</v>
      </c>
    </row>
    <row r="824" ht="15.75" customHeight="1" spans="1:23">
      <c r="A824" s="161"/>
      <c r="B824" s="162"/>
      <c r="C824" s="162"/>
      <c r="D824" s="162" t="s">
        <v>102</v>
      </c>
      <c r="E824" s="162" t="s">
        <v>103</v>
      </c>
      <c r="F824" s="163"/>
      <c r="G824" s="163"/>
      <c r="H824" s="164" t="s">
        <v>157</v>
      </c>
      <c r="I824" s="164" t="s">
        <v>284</v>
      </c>
      <c r="J824" s="164" t="s">
        <v>108</v>
      </c>
      <c r="K824" s="164" t="s">
        <v>110</v>
      </c>
      <c r="L824" s="161">
        <v>48</v>
      </c>
      <c r="M824" s="164" t="s">
        <v>279</v>
      </c>
      <c r="N824" s="164" t="s">
        <v>110</v>
      </c>
      <c r="O824" s="162" t="s">
        <v>11</v>
      </c>
      <c r="P824" s="164" t="s">
        <v>178</v>
      </c>
      <c r="Q824" s="161" t="s">
        <v>112</v>
      </c>
      <c r="R824" s="161" t="s">
        <v>829</v>
      </c>
      <c r="S824" s="161" t="s">
        <v>875</v>
      </c>
      <c r="T824" s="161" t="s">
        <v>876</v>
      </c>
      <c r="U824" s="161" t="s">
        <v>919</v>
      </c>
      <c r="V824" s="161" t="s">
        <v>116</v>
      </c>
      <c r="W824" s="161" t="s">
        <v>117</v>
      </c>
    </row>
    <row r="825" ht="15.75" customHeight="1" spans="1:23">
      <c r="A825" s="161"/>
      <c r="B825" s="162"/>
      <c r="C825" s="162"/>
      <c r="D825" s="162" t="s">
        <v>102</v>
      </c>
      <c r="E825" s="162" t="s">
        <v>103</v>
      </c>
      <c r="F825" s="163"/>
      <c r="G825" s="163"/>
      <c r="H825" s="164" t="s">
        <v>218</v>
      </c>
      <c r="I825" s="164" t="s">
        <v>316</v>
      </c>
      <c r="J825" s="164" t="s">
        <v>108</v>
      </c>
      <c r="K825" s="164" t="s">
        <v>110</v>
      </c>
      <c r="L825" s="161">
        <v>12</v>
      </c>
      <c r="M825" s="164" t="s">
        <v>920</v>
      </c>
      <c r="N825" s="164" t="s">
        <v>110</v>
      </c>
      <c r="O825" s="162" t="s">
        <v>11</v>
      </c>
      <c r="P825" s="164" t="s">
        <v>178</v>
      </c>
      <c r="Q825" s="161" t="s">
        <v>112</v>
      </c>
      <c r="R825" s="161" t="s">
        <v>829</v>
      </c>
      <c r="S825" s="161" t="s">
        <v>875</v>
      </c>
      <c r="T825" s="161" t="s">
        <v>876</v>
      </c>
      <c r="U825" s="161" t="s">
        <v>919</v>
      </c>
      <c r="V825" s="161" t="s">
        <v>116</v>
      </c>
      <c r="W825" s="161" t="s">
        <v>117</v>
      </c>
    </row>
    <row r="826" customHeight="1" spans="1:23">
      <c r="A826" s="161"/>
      <c r="B826" s="162"/>
      <c r="C826" s="162"/>
      <c r="D826" s="162" t="s">
        <v>102</v>
      </c>
      <c r="E826" s="162" t="s">
        <v>103</v>
      </c>
      <c r="F826" s="163"/>
      <c r="G826" s="163"/>
      <c r="H826" s="164" t="s">
        <v>91</v>
      </c>
      <c r="I826" s="164" t="s">
        <v>92</v>
      </c>
      <c r="J826" s="164" t="s">
        <v>87</v>
      </c>
      <c r="K826" s="164" t="s">
        <v>110</v>
      </c>
      <c r="L826" s="161">
        <v>24</v>
      </c>
      <c r="M826" s="164" t="s">
        <v>135</v>
      </c>
      <c r="N826" s="164" t="s">
        <v>90</v>
      </c>
      <c r="O826" s="162" t="s">
        <v>11</v>
      </c>
      <c r="P826" s="164" t="s">
        <v>178</v>
      </c>
      <c r="Q826" s="161" t="s">
        <v>112</v>
      </c>
      <c r="R826" s="161" t="s">
        <v>829</v>
      </c>
      <c r="S826" s="161" t="s">
        <v>875</v>
      </c>
      <c r="T826" s="161" t="s">
        <v>876</v>
      </c>
      <c r="U826" s="161" t="s">
        <v>919</v>
      </c>
      <c r="V826" s="161" t="s">
        <v>116</v>
      </c>
      <c r="W826" s="161" t="s">
        <v>117</v>
      </c>
    </row>
    <row r="827" customHeight="1" spans="1:23">
      <c r="A827" s="161"/>
      <c r="B827" s="162"/>
      <c r="C827" s="162"/>
      <c r="D827" s="162" t="s">
        <v>102</v>
      </c>
      <c r="E827" s="162" t="s">
        <v>103</v>
      </c>
      <c r="F827" s="163"/>
      <c r="G827" s="163"/>
      <c r="H827" s="164" t="s">
        <v>106</v>
      </c>
      <c r="I827" s="164" t="s">
        <v>281</v>
      </c>
      <c r="J827" s="164" t="s">
        <v>87</v>
      </c>
      <c r="K827" s="164" t="s">
        <v>99</v>
      </c>
      <c r="L827" s="161">
        <v>36</v>
      </c>
      <c r="M827" s="164" t="s">
        <v>98</v>
      </c>
      <c r="N827" s="164" t="s">
        <v>99</v>
      </c>
      <c r="O827" s="162" t="s">
        <v>11</v>
      </c>
      <c r="P827" s="164" t="s">
        <v>178</v>
      </c>
      <c r="Q827" s="161" t="s">
        <v>112</v>
      </c>
      <c r="R827" s="161" t="s">
        <v>829</v>
      </c>
      <c r="S827" s="161" t="s">
        <v>875</v>
      </c>
      <c r="T827" s="161" t="s">
        <v>876</v>
      </c>
      <c r="U827" s="161" t="s">
        <v>919</v>
      </c>
      <c r="V827" s="161" t="s">
        <v>116</v>
      </c>
      <c r="W827" s="161" t="s">
        <v>117</v>
      </c>
    </row>
    <row r="828" ht="15.75" customHeight="1" spans="1:23">
      <c r="A828" s="161"/>
      <c r="B828" s="162"/>
      <c r="C828" s="162"/>
      <c r="D828" s="162" t="s">
        <v>102</v>
      </c>
      <c r="E828" s="162" t="s">
        <v>103</v>
      </c>
      <c r="F828" s="163"/>
      <c r="G828" s="163"/>
      <c r="H828" s="164" t="s">
        <v>95</v>
      </c>
      <c r="I828" s="164" t="s">
        <v>136</v>
      </c>
      <c r="J828" s="164" t="s">
        <v>108</v>
      </c>
      <c r="K828" s="164" t="s">
        <v>110</v>
      </c>
      <c r="L828" s="161">
        <v>24</v>
      </c>
      <c r="M828" s="164" t="s">
        <v>98</v>
      </c>
      <c r="N828" s="164" t="s">
        <v>99</v>
      </c>
      <c r="O828" s="162" t="s">
        <v>11</v>
      </c>
      <c r="P828" s="164" t="s">
        <v>178</v>
      </c>
      <c r="Q828" s="161" t="s">
        <v>112</v>
      </c>
      <c r="R828" s="161" t="s">
        <v>829</v>
      </c>
      <c r="S828" s="161" t="s">
        <v>875</v>
      </c>
      <c r="T828" s="161" t="s">
        <v>876</v>
      </c>
      <c r="U828" s="161" t="s">
        <v>919</v>
      </c>
      <c r="V828" s="161" t="s">
        <v>116</v>
      </c>
      <c r="W828" s="161" t="s">
        <v>117</v>
      </c>
    </row>
    <row r="829" ht="15.75" customHeight="1" spans="1:23">
      <c r="A829" s="161" t="s">
        <v>921</v>
      </c>
      <c r="B829" s="162" t="s">
        <v>922</v>
      </c>
      <c r="C829" s="162" t="s">
        <v>173</v>
      </c>
      <c r="D829" s="162" t="s">
        <v>102</v>
      </c>
      <c r="E829" s="162" t="s">
        <v>103</v>
      </c>
      <c r="F829" s="163" t="s">
        <v>923</v>
      </c>
      <c r="G829" s="163" t="s">
        <v>924</v>
      </c>
      <c r="H829" s="164" t="s">
        <v>254</v>
      </c>
      <c r="I829" s="164" t="s">
        <v>255</v>
      </c>
      <c r="J829" s="164" t="s">
        <v>108</v>
      </c>
      <c r="K829" s="164"/>
      <c r="L829" s="161"/>
      <c r="M829"/>
      <c r="N829" s="164" t="s">
        <v>110</v>
      </c>
      <c r="O829" s="162" t="s">
        <v>11</v>
      </c>
      <c r="P829" s="164" t="s">
        <v>275</v>
      </c>
      <c r="Q829" s="161" t="s">
        <v>112</v>
      </c>
      <c r="R829" s="161" t="s">
        <v>829</v>
      </c>
      <c r="S829" s="161" t="s">
        <v>875</v>
      </c>
      <c r="T829" s="161" t="s">
        <v>876</v>
      </c>
      <c r="U829" s="161" t="s">
        <v>925</v>
      </c>
      <c r="V829" s="161" t="s">
        <v>116</v>
      </c>
      <c r="W829" s="161" t="s">
        <v>117</v>
      </c>
    </row>
    <row r="830" ht="15.75" customHeight="1" spans="1:23">
      <c r="A830" s="161"/>
      <c r="B830" s="162"/>
      <c r="C830" s="162"/>
      <c r="D830" s="162" t="s">
        <v>102</v>
      </c>
      <c r="E830" s="162" t="s">
        <v>103</v>
      </c>
      <c r="F830" s="163"/>
      <c r="G830" s="163"/>
      <c r="H830" s="164" t="s">
        <v>218</v>
      </c>
      <c r="I830" s="164" t="s">
        <v>219</v>
      </c>
      <c r="J830" s="164" t="s">
        <v>108</v>
      </c>
      <c r="K830" s="164"/>
      <c r="L830" s="161"/>
      <c r="M830" s="164"/>
      <c r="N830" s="164" t="s">
        <v>99</v>
      </c>
      <c r="O830" s="162" t="s">
        <v>11</v>
      </c>
      <c r="P830" s="164" t="s">
        <v>275</v>
      </c>
      <c r="Q830" s="161" t="s">
        <v>112</v>
      </c>
      <c r="R830" s="161" t="s">
        <v>829</v>
      </c>
      <c r="S830" s="161" t="s">
        <v>875</v>
      </c>
      <c r="T830" s="161" t="s">
        <v>876</v>
      </c>
      <c r="U830" s="161" t="s">
        <v>925</v>
      </c>
      <c r="V830" s="161" t="s">
        <v>116</v>
      </c>
      <c r="W830" s="161" t="s">
        <v>117</v>
      </c>
    </row>
    <row r="831" ht="15.75" customHeight="1" spans="1:23">
      <c r="A831" s="161"/>
      <c r="B831" s="162"/>
      <c r="C831" s="162"/>
      <c r="D831" s="162" t="s">
        <v>102</v>
      </c>
      <c r="E831" s="162" t="s">
        <v>103</v>
      </c>
      <c r="F831" s="163"/>
      <c r="G831" s="163"/>
      <c r="H831" s="164" t="s">
        <v>157</v>
      </c>
      <c r="I831" s="164" t="s">
        <v>284</v>
      </c>
      <c r="J831" s="164" t="s">
        <v>108</v>
      </c>
      <c r="K831" s="164"/>
      <c r="L831" s="161"/>
      <c r="M831" s="164"/>
      <c r="N831" s="164" t="s">
        <v>99</v>
      </c>
      <c r="O831" s="162" t="s">
        <v>11</v>
      </c>
      <c r="P831" s="164" t="s">
        <v>275</v>
      </c>
      <c r="Q831" s="161" t="s">
        <v>112</v>
      </c>
      <c r="R831" s="161" t="s">
        <v>829</v>
      </c>
      <c r="S831" s="161" t="s">
        <v>875</v>
      </c>
      <c r="T831" s="161" t="s">
        <v>876</v>
      </c>
      <c r="U831" s="161" t="s">
        <v>925</v>
      </c>
      <c r="V831" s="161" t="s">
        <v>116</v>
      </c>
      <c r="W831" s="161" t="s">
        <v>117</v>
      </c>
    </row>
    <row r="832" customHeight="1" spans="1:23">
      <c r="A832" s="161"/>
      <c r="B832" s="162"/>
      <c r="C832" s="162"/>
      <c r="D832" s="162" t="s">
        <v>102</v>
      </c>
      <c r="E832" s="162" t="s">
        <v>103</v>
      </c>
      <c r="F832" s="163"/>
      <c r="G832" s="163"/>
      <c r="H832" s="164" t="s">
        <v>91</v>
      </c>
      <c r="I832" s="164" t="s">
        <v>92</v>
      </c>
      <c r="J832" s="164" t="s">
        <v>87</v>
      </c>
      <c r="K832" s="164"/>
      <c r="L832" s="161"/>
      <c r="M832" s="164"/>
      <c r="N832" s="164"/>
      <c r="O832" s="162" t="s">
        <v>11</v>
      </c>
      <c r="P832" s="164" t="s">
        <v>275</v>
      </c>
      <c r="Q832" s="161" t="s">
        <v>112</v>
      </c>
      <c r="R832" s="161" t="s">
        <v>829</v>
      </c>
      <c r="S832" s="161" t="s">
        <v>875</v>
      </c>
      <c r="T832" s="161" t="s">
        <v>876</v>
      </c>
      <c r="U832" s="161" t="s">
        <v>925</v>
      </c>
      <c r="V832" s="161" t="s">
        <v>116</v>
      </c>
      <c r="W832" s="161" t="s">
        <v>117</v>
      </c>
    </row>
    <row r="833" customHeight="1" spans="1:23">
      <c r="A833" s="161" t="s">
        <v>926</v>
      </c>
      <c r="B833" s="162" t="s">
        <v>927</v>
      </c>
      <c r="C833" s="162" t="s">
        <v>83</v>
      </c>
      <c r="D833" s="162" t="s">
        <v>102</v>
      </c>
      <c r="E833" s="162" t="s">
        <v>103</v>
      </c>
      <c r="F833" s="163" t="s">
        <v>928</v>
      </c>
      <c r="G833" s="163" t="s">
        <v>929</v>
      </c>
      <c r="H833" s="164" t="s">
        <v>106</v>
      </c>
      <c r="I833" s="164" t="s">
        <v>281</v>
      </c>
      <c r="J833" s="164" t="s">
        <v>87</v>
      </c>
      <c r="K833" s="164" t="s">
        <v>90</v>
      </c>
      <c r="L833" s="161">
        <v>126</v>
      </c>
      <c r="M833" s="164" t="s">
        <v>98</v>
      </c>
      <c r="N833" s="164" t="s">
        <v>99</v>
      </c>
      <c r="O833" s="162" t="s">
        <v>11</v>
      </c>
      <c r="P833" s="164" t="s">
        <v>275</v>
      </c>
      <c r="Q833" s="161" t="s">
        <v>112</v>
      </c>
      <c r="R833" s="161" t="s">
        <v>829</v>
      </c>
      <c r="S833" s="161" t="s">
        <v>875</v>
      </c>
      <c r="T833" s="161" t="s">
        <v>876</v>
      </c>
      <c r="U833" s="161" t="s">
        <v>930</v>
      </c>
      <c r="V833" s="161" t="s">
        <v>116</v>
      </c>
      <c r="W833" s="161" t="s">
        <v>117</v>
      </c>
    </row>
    <row r="834" customHeight="1" spans="1:23">
      <c r="A834" s="161"/>
      <c r="B834" s="162"/>
      <c r="C834" s="162"/>
      <c r="D834" s="162"/>
      <c r="E834" s="162"/>
      <c r="F834" s="163"/>
      <c r="G834" s="163"/>
      <c r="H834" s="164" t="s">
        <v>91</v>
      </c>
      <c r="I834" s="164" t="s">
        <v>92</v>
      </c>
      <c r="J834" s="164" t="s">
        <v>87</v>
      </c>
      <c r="K834" s="164" t="s">
        <v>110</v>
      </c>
      <c r="L834" s="161">
        <v>16</v>
      </c>
      <c r="M834" s="164" t="s">
        <v>135</v>
      </c>
      <c r="N834" s="164" t="s">
        <v>110</v>
      </c>
      <c r="O834" s="162" t="s">
        <v>11</v>
      </c>
      <c r="P834" s="164" t="s">
        <v>275</v>
      </c>
      <c r="Q834" s="161" t="s">
        <v>112</v>
      </c>
      <c r="R834" s="161" t="s">
        <v>829</v>
      </c>
      <c r="S834" s="161" t="s">
        <v>875</v>
      </c>
      <c r="T834" s="161" t="s">
        <v>876</v>
      </c>
      <c r="U834" s="161" t="s">
        <v>930</v>
      </c>
      <c r="V834" s="161" t="s">
        <v>116</v>
      </c>
      <c r="W834" s="161" t="s">
        <v>117</v>
      </c>
    </row>
    <row r="835" ht="15.75" customHeight="1" spans="1:23">
      <c r="A835" s="161"/>
      <c r="B835" s="162"/>
      <c r="C835" s="162"/>
      <c r="D835" s="162"/>
      <c r="E835" s="162"/>
      <c r="F835" s="163"/>
      <c r="G835" s="163"/>
      <c r="H835" s="164" t="s">
        <v>106</v>
      </c>
      <c r="I835" s="164" t="s">
        <v>283</v>
      </c>
      <c r="J835" s="164" t="s">
        <v>108</v>
      </c>
      <c r="K835" s="164" t="s">
        <v>110</v>
      </c>
      <c r="L835" s="161">
        <v>26</v>
      </c>
      <c r="M835" s="164" t="s">
        <v>98</v>
      </c>
      <c r="N835" s="164" t="s">
        <v>99</v>
      </c>
      <c r="O835" s="162" t="s">
        <v>11</v>
      </c>
      <c r="P835" s="164" t="s">
        <v>275</v>
      </c>
      <c r="Q835" s="161" t="s">
        <v>112</v>
      </c>
      <c r="R835" s="161" t="s">
        <v>829</v>
      </c>
      <c r="S835" s="161" t="s">
        <v>875</v>
      </c>
      <c r="T835" s="161" t="s">
        <v>876</v>
      </c>
      <c r="U835" s="161" t="s">
        <v>930</v>
      </c>
      <c r="V835" s="161" t="s">
        <v>116</v>
      </c>
      <c r="W835" s="161" t="s">
        <v>117</v>
      </c>
    </row>
    <row r="836" ht="15.75" customHeight="1" spans="1:23">
      <c r="A836" s="161" t="s">
        <v>931</v>
      </c>
      <c r="B836" s="162" t="s">
        <v>932</v>
      </c>
      <c r="C836" s="162" t="s">
        <v>83</v>
      </c>
      <c r="D836" s="162" t="s">
        <v>102</v>
      </c>
      <c r="E836" s="162" t="s">
        <v>103</v>
      </c>
      <c r="F836" s="163" t="s">
        <v>933</v>
      </c>
      <c r="G836" s="163" t="s">
        <v>934</v>
      </c>
      <c r="H836" s="164" t="s">
        <v>106</v>
      </c>
      <c r="I836" s="164" t="s">
        <v>170</v>
      </c>
      <c r="J836" s="164" t="s">
        <v>108</v>
      </c>
      <c r="K836" s="164" t="s">
        <v>99</v>
      </c>
      <c r="L836" s="161">
        <v>18</v>
      </c>
      <c r="M836" s="164" t="s">
        <v>98</v>
      </c>
      <c r="N836" s="164" t="s">
        <v>99</v>
      </c>
      <c r="O836" s="162" t="s">
        <v>11</v>
      </c>
      <c r="P836" s="164" t="s">
        <v>275</v>
      </c>
      <c r="Q836" s="161" t="s">
        <v>112</v>
      </c>
      <c r="R836" s="161" t="s">
        <v>829</v>
      </c>
      <c r="S836" s="161" t="s">
        <v>935</v>
      </c>
      <c r="T836" s="161" t="s">
        <v>936</v>
      </c>
      <c r="U836" s="161" t="s">
        <v>937</v>
      </c>
      <c r="V836" s="161" t="s">
        <v>116</v>
      </c>
      <c r="W836" s="161" t="s">
        <v>117</v>
      </c>
    </row>
    <row r="837" customHeight="1" spans="1:23">
      <c r="A837" s="161"/>
      <c r="B837" s="162"/>
      <c r="C837" s="162"/>
      <c r="D837" s="162"/>
      <c r="E837" s="162"/>
      <c r="F837" s="163"/>
      <c r="G837" s="163"/>
      <c r="H837" s="164" t="s">
        <v>91</v>
      </c>
      <c r="I837" s="164" t="s">
        <v>92</v>
      </c>
      <c r="J837" s="164" t="s">
        <v>87</v>
      </c>
      <c r="K837" s="164" t="s">
        <v>90</v>
      </c>
      <c r="L837" s="161">
        <v>40</v>
      </c>
      <c r="M837" s="164" t="s">
        <v>279</v>
      </c>
      <c r="N837" s="164" t="s">
        <v>90</v>
      </c>
      <c r="O837" s="162" t="s">
        <v>11</v>
      </c>
      <c r="P837" s="164" t="s">
        <v>275</v>
      </c>
      <c r="Q837" s="161" t="s">
        <v>112</v>
      </c>
      <c r="R837" s="161" t="s">
        <v>829</v>
      </c>
      <c r="S837" s="161" t="s">
        <v>935</v>
      </c>
      <c r="T837" s="161" t="s">
        <v>936</v>
      </c>
      <c r="U837" s="161" t="s">
        <v>937</v>
      </c>
      <c r="V837" s="161" t="s">
        <v>116</v>
      </c>
      <c r="W837" s="161" t="s">
        <v>117</v>
      </c>
    </row>
    <row r="838" ht="15.75" customHeight="1" spans="1:23">
      <c r="A838" s="161"/>
      <c r="B838" s="162"/>
      <c r="C838" s="162"/>
      <c r="D838" s="162"/>
      <c r="E838" s="162"/>
      <c r="F838" s="163"/>
      <c r="G838" s="163"/>
      <c r="H838" s="164" t="s">
        <v>95</v>
      </c>
      <c r="I838" s="164" t="s">
        <v>285</v>
      </c>
      <c r="J838" s="164" t="s">
        <v>108</v>
      </c>
      <c r="K838" s="164" t="s">
        <v>90</v>
      </c>
      <c r="L838" s="161">
        <v>40</v>
      </c>
      <c r="M838" s="164" t="s">
        <v>279</v>
      </c>
      <c r="N838" s="164" t="s">
        <v>99</v>
      </c>
      <c r="O838" s="162" t="s">
        <v>11</v>
      </c>
      <c r="P838" s="164" t="s">
        <v>275</v>
      </c>
      <c r="Q838" s="161" t="s">
        <v>112</v>
      </c>
      <c r="R838" s="161" t="s">
        <v>829</v>
      </c>
      <c r="S838" s="161" t="s">
        <v>935</v>
      </c>
      <c r="T838" s="161" t="s">
        <v>936</v>
      </c>
      <c r="U838" s="161" t="s">
        <v>937</v>
      </c>
      <c r="V838" s="161" t="s">
        <v>116</v>
      </c>
      <c r="W838" s="161" t="s">
        <v>117</v>
      </c>
    </row>
    <row r="839" ht="15.75" customHeight="1" spans="1:23">
      <c r="A839" s="161"/>
      <c r="B839" s="162"/>
      <c r="C839" s="162"/>
      <c r="D839" s="162"/>
      <c r="E839" s="162"/>
      <c r="F839" s="163"/>
      <c r="G839" s="163"/>
      <c r="H839" s="164" t="s">
        <v>95</v>
      </c>
      <c r="I839" s="164" t="s">
        <v>176</v>
      </c>
      <c r="J839" s="164" t="s">
        <v>97</v>
      </c>
      <c r="K839" s="164" t="s">
        <v>110</v>
      </c>
      <c r="L839" s="161">
        <v>70</v>
      </c>
      <c r="M839" s="164" t="s">
        <v>98</v>
      </c>
      <c r="N839" s="164" t="s">
        <v>99</v>
      </c>
      <c r="O839" s="162" t="s">
        <v>11</v>
      </c>
      <c r="P839" s="164" t="s">
        <v>275</v>
      </c>
      <c r="Q839" s="161" t="s">
        <v>112</v>
      </c>
      <c r="R839" s="161" t="s">
        <v>829</v>
      </c>
      <c r="S839" s="161" t="s">
        <v>935</v>
      </c>
      <c r="T839" s="161" t="s">
        <v>936</v>
      </c>
      <c r="U839" s="161" t="s">
        <v>937</v>
      </c>
      <c r="V839" s="161" t="s">
        <v>116</v>
      </c>
      <c r="W839" s="161" t="s">
        <v>117</v>
      </c>
    </row>
    <row r="840" ht="15.75" customHeight="1" spans="1:23">
      <c r="A840" s="161" t="s">
        <v>938</v>
      </c>
      <c r="B840" s="162" t="s">
        <v>939</v>
      </c>
      <c r="C840" s="162" t="s">
        <v>173</v>
      </c>
      <c r="D840" s="162" t="s">
        <v>102</v>
      </c>
      <c r="E840" s="162" t="s">
        <v>103</v>
      </c>
      <c r="F840" s="163" t="s">
        <v>940</v>
      </c>
      <c r="G840" s="163" t="s">
        <v>941</v>
      </c>
      <c r="H840" s="164" t="s">
        <v>106</v>
      </c>
      <c r="I840" s="164" t="s">
        <v>170</v>
      </c>
      <c r="J840" s="164" t="s">
        <v>108</v>
      </c>
      <c r="K840" s="164" t="s">
        <v>90</v>
      </c>
      <c r="L840" s="161">
        <v>30</v>
      </c>
      <c r="M840" s="164" t="s">
        <v>942</v>
      </c>
      <c r="N840" s="164" t="s">
        <v>99</v>
      </c>
      <c r="O840" s="162" t="s">
        <v>11</v>
      </c>
      <c r="P840" s="164" t="s">
        <v>275</v>
      </c>
      <c r="Q840" s="161" t="s">
        <v>112</v>
      </c>
      <c r="R840" s="161" t="s">
        <v>829</v>
      </c>
      <c r="S840" s="161" t="s">
        <v>935</v>
      </c>
      <c r="T840" s="161" t="s">
        <v>936</v>
      </c>
      <c r="U840" s="161" t="s">
        <v>943</v>
      </c>
      <c r="V840" s="161" t="s">
        <v>116</v>
      </c>
      <c r="W840" s="161" t="s">
        <v>117</v>
      </c>
    </row>
    <row r="841" customHeight="1" spans="1:23">
      <c r="A841" s="161"/>
      <c r="B841" s="162"/>
      <c r="C841" s="162"/>
      <c r="D841" s="162"/>
      <c r="E841" s="162"/>
      <c r="F841" s="163"/>
      <c r="G841" s="163"/>
      <c r="H841" s="164" t="s">
        <v>91</v>
      </c>
      <c r="I841" s="164" t="s">
        <v>92</v>
      </c>
      <c r="J841" s="164" t="s">
        <v>87</v>
      </c>
      <c r="K841" s="164" t="s">
        <v>110</v>
      </c>
      <c r="L841" s="161">
        <v>20</v>
      </c>
      <c r="M841" s="164" t="s">
        <v>944</v>
      </c>
      <c r="N841" s="164" t="s">
        <v>90</v>
      </c>
      <c r="O841" s="162" t="s">
        <v>11</v>
      </c>
      <c r="P841" s="164" t="s">
        <v>275</v>
      </c>
      <c r="Q841" s="161" t="s">
        <v>112</v>
      </c>
      <c r="R841" s="161" t="s">
        <v>829</v>
      </c>
      <c r="S841" s="161" t="s">
        <v>935</v>
      </c>
      <c r="T841" s="161" t="s">
        <v>936</v>
      </c>
      <c r="U841" s="161" t="s">
        <v>943</v>
      </c>
      <c r="V841" s="161" t="s">
        <v>116</v>
      </c>
      <c r="W841" s="161" t="s">
        <v>117</v>
      </c>
    </row>
    <row r="842" ht="15.75" customHeight="1" spans="1:23">
      <c r="A842" s="161"/>
      <c r="B842" s="162"/>
      <c r="C842" s="162"/>
      <c r="D842" s="162"/>
      <c r="E842" s="162"/>
      <c r="F842" s="163"/>
      <c r="G842" s="163"/>
      <c r="H842" s="164" t="s">
        <v>95</v>
      </c>
      <c r="I842" s="164" t="s">
        <v>285</v>
      </c>
      <c r="J842" s="164" t="s">
        <v>108</v>
      </c>
      <c r="K842" s="164" t="s">
        <v>90</v>
      </c>
      <c r="L842" s="161">
        <v>40</v>
      </c>
      <c r="M842" s="164" t="s">
        <v>832</v>
      </c>
      <c r="N842" s="164" t="s">
        <v>99</v>
      </c>
      <c r="O842" s="162" t="s">
        <v>11</v>
      </c>
      <c r="P842" s="164" t="s">
        <v>275</v>
      </c>
      <c r="Q842" s="161" t="s">
        <v>112</v>
      </c>
      <c r="R842" s="161" t="s">
        <v>829</v>
      </c>
      <c r="S842" s="161" t="s">
        <v>935</v>
      </c>
      <c r="T842" s="161" t="s">
        <v>936</v>
      </c>
      <c r="U842" s="161" t="s">
        <v>943</v>
      </c>
      <c r="V842" s="161" t="s">
        <v>116</v>
      </c>
      <c r="W842" s="161" t="s">
        <v>117</v>
      </c>
    </row>
    <row r="843" ht="15.75" customHeight="1" spans="1:23">
      <c r="A843" s="161"/>
      <c r="B843" s="162"/>
      <c r="C843" s="162"/>
      <c r="D843" s="162"/>
      <c r="E843" s="162"/>
      <c r="F843" s="163"/>
      <c r="G843" s="163"/>
      <c r="H843" s="164" t="s">
        <v>95</v>
      </c>
      <c r="I843" s="164" t="s">
        <v>176</v>
      </c>
      <c r="J843" s="164" t="s">
        <v>97</v>
      </c>
      <c r="K843" s="164" t="s">
        <v>90</v>
      </c>
      <c r="L843" s="161">
        <v>40</v>
      </c>
      <c r="M843" s="164" t="s">
        <v>832</v>
      </c>
      <c r="N843" s="164" t="s">
        <v>99</v>
      </c>
      <c r="O843" s="162" t="s">
        <v>11</v>
      </c>
      <c r="P843" s="164" t="s">
        <v>275</v>
      </c>
      <c r="Q843" s="161" t="s">
        <v>112</v>
      </c>
      <c r="R843" s="161" t="s">
        <v>829</v>
      </c>
      <c r="S843" s="161" t="s">
        <v>935</v>
      </c>
      <c r="T843" s="161" t="s">
        <v>936</v>
      </c>
      <c r="U843" s="161" t="s">
        <v>943</v>
      </c>
      <c r="V843" s="161" t="s">
        <v>116</v>
      </c>
      <c r="W843" s="161" t="s">
        <v>117</v>
      </c>
    </row>
    <row r="844" customHeight="1" spans="1:23">
      <c r="A844" s="161" t="s">
        <v>945</v>
      </c>
      <c r="B844" s="162" t="s">
        <v>946</v>
      </c>
      <c r="C844" s="162" t="s">
        <v>173</v>
      </c>
      <c r="D844" s="162" t="s">
        <v>102</v>
      </c>
      <c r="E844" s="162" t="s">
        <v>103</v>
      </c>
      <c r="F844" s="163" t="s">
        <v>947</v>
      </c>
      <c r="G844" s="163"/>
      <c r="H844" s="164" t="s">
        <v>91</v>
      </c>
      <c r="I844" s="164" t="s">
        <v>92</v>
      </c>
      <c r="J844" s="164" t="s">
        <v>87</v>
      </c>
      <c r="K844" s="164" t="s">
        <v>110</v>
      </c>
      <c r="L844" s="161">
        <v>20</v>
      </c>
      <c r="M844" s="164" t="s">
        <v>942</v>
      </c>
      <c r="N844" s="164" t="s">
        <v>99</v>
      </c>
      <c r="O844" s="162" t="s">
        <v>11</v>
      </c>
      <c r="P844" s="164" t="s">
        <v>275</v>
      </c>
      <c r="Q844" s="161" t="s">
        <v>112</v>
      </c>
      <c r="R844" s="161" t="s">
        <v>829</v>
      </c>
      <c r="S844" s="161" t="s">
        <v>935</v>
      </c>
      <c r="T844" s="161" t="s">
        <v>936</v>
      </c>
      <c r="U844" s="161" t="s">
        <v>948</v>
      </c>
      <c r="V844" s="161" t="s">
        <v>116</v>
      </c>
      <c r="W844" s="161" t="s">
        <v>117</v>
      </c>
    </row>
    <row r="845" ht="15.75" customHeight="1" spans="1:23">
      <c r="A845" s="161" t="s">
        <v>949</v>
      </c>
      <c r="B845" s="162" t="s">
        <v>950</v>
      </c>
      <c r="C845" s="162" t="s">
        <v>83</v>
      </c>
      <c r="D845" s="162" t="s">
        <v>102</v>
      </c>
      <c r="E845" s="162" t="s">
        <v>103</v>
      </c>
      <c r="F845" s="163" t="s">
        <v>951</v>
      </c>
      <c r="G845" s="163" t="s">
        <v>952</v>
      </c>
      <c r="H845" s="164" t="s">
        <v>106</v>
      </c>
      <c r="I845" s="164" t="s">
        <v>170</v>
      </c>
      <c r="J845" s="164" t="s">
        <v>108</v>
      </c>
      <c r="K845" s="164" t="s">
        <v>110</v>
      </c>
      <c r="L845" s="161">
        <v>40</v>
      </c>
      <c r="M845" s="164" t="s">
        <v>832</v>
      </c>
      <c r="N845" s="164" t="s">
        <v>99</v>
      </c>
      <c r="O845" s="162" t="s">
        <v>11</v>
      </c>
      <c r="P845" s="164" t="s">
        <v>275</v>
      </c>
      <c r="Q845" s="161" t="s">
        <v>112</v>
      </c>
      <c r="R845" s="161" t="s">
        <v>829</v>
      </c>
      <c r="S845" s="161" t="s">
        <v>935</v>
      </c>
      <c r="T845" s="161" t="s">
        <v>936</v>
      </c>
      <c r="U845" s="161" t="s">
        <v>953</v>
      </c>
      <c r="V845" s="161" t="s">
        <v>116</v>
      </c>
      <c r="W845" s="161" t="s">
        <v>117</v>
      </c>
    </row>
    <row r="846" customHeight="1" spans="1:23">
      <c r="A846" s="161"/>
      <c r="B846" s="162"/>
      <c r="C846" s="162"/>
      <c r="D846" s="162"/>
      <c r="E846" s="162"/>
      <c r="F846" s="163"/>
      <c r="G846" s="163"/>
      <c r="H846" s="164" t="s">
        <v>91</v>
      </c>
      <c r="I846" s="164" t="s">
        <v>92</v>
      </c>
      <c r="J846" s="164" t="s">
        <v>87</v>
      </c>
      <c r="K846" s="164" t="s">
        <v>110</v>
      </c>
      <c r="L846" s="161">
        <v>40</v>
      </c>
      <c r="M846" s="164" t="s">
        <v>832</v>
      </c>
      <c r="N846" s="164" t="s">
        <v>90</v>
      </c>
      <c r="O846" s="162" t="s">
        <v>11</v>
      </c>
      <c r="P846" s="164" t="s">
        <v>275</v>
      </c>
      <c r="Q846" s="161" t="s">
        <v>112</v>
      </c>
      <c r="R846" s="161" t="s">
        <v>829</v>
      </c>
      <c r="S846" s="161" t="s">
        <v>935</v>
      </c>
      <c r="T846" s="161" t="s">
        <v>936</v>
      </c>
      <c r="U846" s="161" t="s">
        <v>953</v>
      </c>
      <c r="V846" s="161" t="s">
        <v>116</v>
      </c>
      <c r="W846" s="161" t="s">
        <v>117</v>
      </c>
    </row>
    <row r="847" customHeight="1" spans="1:23">
      <c r="A847" s="161"/>
      <c r="B847" s="162"/>
      <c r="C847" s="162"/>
      <c r="D847" s="162"/>
      <c r="E847" s="162"/>
      <c r="F847" s="163"/>
      <c r="G847" s="163"/>
      <c r="H847" s="164" t="s">
        <v>106</v>
      </c>
      <c r="I847" s="164" t="s">
        <v>281</v>
      </c>
      <c r="J847" s="164" t="s">
        <v>87</v>
      </c>
      <c r="K847" s="164" t="s">
        <v>90</v>
      </c>
      <c r="L847" s="161">
        <v>30</v>
      </c>
      <c r="M847" s="164" t="s">
        <v>942</v>
      </c>
      <c r="N847" s="164" t="s">
        <v>110</v>
      </c>
      <c r="O847" s="162" t="s">
        <v>11</v>
      </c>
      <c r="P847" s="164" t="s">
        <v>275</v>
      </c>
      <c r="Q847" s="161" t="s">
        <v>112</v>
      </c>
      <c r="R847" s="161" t="s">
        <v>829</v>
      </c>
      <c r="S847" s="161" t="s">
        <v>935</v>
      </c>
      <c r="T847" s="161" t="s">
        <v>936</v>
      </c>
      <c r="U847" s="161" t="s">
        <v>953</v>
      </c>
      <c r="V847" s="161" t="s">
        <v>116</v>
      </c>
      <c r="W847" s="161" t="s">
        <v>117</v>
      </c>
    </row>
    <row r="848" customHeight="1" spans="1:23">
      <c r="A848" s="161"/>
      <c r="B848" s="162"/>
      <c r="C848" s="162"/>
      <c r="D848" s="162"/>
      <c r="E848" s="162"/>
      <c r="F848" s="163"/>
      <c r="G848" s="163"/>
      <c r="H848" s="164" t="s">
        <v>106</v>
      </c>
      <c r="I848" s="164" t="s">
        <v>249</v>
      </c>
      <c r="J848" s="164" t="s">
        <v>87</v>
      </c>
      <c r="K848" s="164" t="s">
        <v>110</v>
      </c>
      <c r="L848" s="161">
        <v>10</v>
      </c>
      <c r="M848" s="164" t="s">
        <v>903</v>
      </c>
      <c r="N848" s="164" t="s">
        <v>99</v>
      </c>
      <c r="O848" s="162" t="s">
        <v>11</v>
      </c>
      <c r="P848" s="164" t="s">
        <v>275</v>
      </c>
      <c r="Q848" s="161" t="s">
        <v>112</v>
      </c>
      <c r="R848" s="161" t="s">
        <v>829</v>
      </c>
      <c r="S848" s="161" t="s">
        <v>935</v>
      </c>
      <c r="T848" s="161" t="s">
        <v>936</v>
      </c>
      <c r="U848" s="161" t="s">
        <v>953</v>
      </c>
      <c r="V848" s="161" t="s">
        <v>116</v>
      </c>
      <c r="W848" s="161" t="s">
        <v>117</v>
      </c>
    </row>
    <row r="849" ht="15.75" customHeight="1" spans="1:23">
      <c r="A849" s="161" t="s">
        <v>954</v>
      </c>
      <c r="B849" s="162" t="s">
        <v>955</v>
      </c>
      <c r="C849" s="162" t="s">
        <v>83</v>
      </c>
      <c r="D849" s="162" t="s">
        <v>102</v>
      </c>
      <c r="E849" s="162" t="s">
        <v>103</v>
      </c>
      <c r="F849" s="163" t="s">
        <v>956</v>
      </c>
      <c r="G849" s="163" t="s">
        <v>941</v>
      </c>
      <c r="H849" s="164" t="s">
        <v>106</v>
      </c>
      <c r="I849" s="164" t="s">
        <v>170</v>
      </c>
      <c r="J849" s="164" t="s">
        <v>108</v>
      </c>
      <c r="K849" s="164" t="s">
        <v>90</v>
      </c>
      <c r="L849" s="161">
        <v>30</v>
      </c>
      <c r="M849" s="164" t="s">
        <v>942</v>
      </c>
      <c r="N849" s="164" t="s">
        <v>99</v>
      </c>
      <c r="O849" s="162" t="s">
        <v>11</v>
      </c>
      <c r="P849" s="164" t="s">
        <v>275</v>
      </c>
      <c r="Q849" s="161" t="s">
        <v>112</v>
      </c>
      <c r="R849" s="161" t="s">
        <v>829</v>
      </c>
      <c r="S849" s="161" t="s">
        <v>935</v>
      </c>
      <c r="T849" s="161" t="s">
        <v>936</v>
      </c>
      <c r="U849" s="161" t="s">
        <v>957</v>
      </c>
      <c r="V849" s="161" t="s">
        <v>116</v>
      </c>
      <c r="W849" s="161" t="s">
        <v>117</v>
      </c>
    </row>
    <row r="850" customHeight="1" spans="1:23">
      <c r="A850" s="161"/>
      <c r="B850" s="162"/>
      <c r="C850" s="162"/>
      <c r="D850" s="162"/>
      <c r="E850" s="162"/>
      <c r="F850" s="163"/>
      <c r="G850" s="163"/>
      <c r="H850" s="164" t="s">
        <v>106</v>
      </c>
      <c r="I850" s="164" t="s">
        <v>196</v>
      </c>
      <c r="J850" s="164" t="s">
        <v>87</v>
      </c>
      <c r="K850" s="164" t="s">
        <v>110</v>
      </c>
      <c r="L850" s="161">
        <v>20</v>
      </c>
      <c r="M850" s="164" t="s">
        <v>944</v>
      </c>
      <c r="N850" s="164" t="s">
        <v>90</v>
      </c>
      <c r="O850" s="162" t="s">
        <v>11</v>
      </c>
      <c r="P850" s="164" t="s">
        <v>275</v>
      </c>
      <c r="Q850" s="161" t="s">
        <v>112</v>
      </c>
      <c r="R850" s="161" t="s">
        <v>829</v>
      </c>
      <c r="S850" s="161" t="s">
        <v>935</v>
      </c>
      <c r="T850" s="161" t="s">
        <v>936</v>
      </c>
      <c r="U850" s="161" t="s">
        <v>957</v>
      </c>
      <c r="V850" s="161" t="s">
        <v>116</v>
      </c>
      <c r="W850" s="161" t="s">
        <v>117</v>
      </c>
    </row>
    <row r="851" customHeight="1" spans="1:23">
      <c r="A851" s="161"/>
      <c r="B851" s="162"/>
      <c r="C851" s="162"/>
      <c r="D851" s="162"/>
      <c r="E851" s="162"/>
      <c r="F851" s="163"/>
      <c r="G851" s="163"/>
      <c r="H851" s="164" t="s">
        <v>106</v>
      </c>
      <c r="I851" s="164" t="s">
        <v>281</v>
      </c>
      <c r="J851" s="164" t="s">
        <v>87</v>
      </c>
      <c r="K851" s="164" t="s">
        <v>90</v>
      </c>
      <c r="L851" s="161">
        <v>40</v>
      </c>
      <c r="M851" s="164" t="s">
        <v>832</v>
      </c>
      <c r="N851" s="164" t="s">
        <v>99</v>
      </c>
      <c r="O851" s="162" t="s">
        <v>11</v>
      </c>
      <c r="P851" s="164" t="s">
        <v>275</v>
      </c>
      <c r="Q851" s="161" t="s">
        <v>112</v>
      </c>
      <c r="R851" s="161" t="s">
        <v>829</v>
      </c>
      <c r="S851" s="161" t="s">
        <v>935</v>
      </c>
      <c r="T851" s="161" t="s">
        <v>936</v>
      </c>
      <c r="U851" s="161" t="s">
        <v>957</v>
      </c>
      <c r="V851" s="161" t="s">
        <v>116</v>
      </c>
      <c r="W851" s="161" t="s">
        <v>117</v>
      </c>
    </row>
    <row r="852" customHeight="1" spans="1:23">
      <c r="A852" s="161"/>
      <c r="B852" s="162"/>
      <c r="C852" s="162"/>
      <c r="D852" s="162"/>
      <c r="E852" s="162"/>
      <c r="F852" s="163"/>
      <c r="G852" s="163"/>
      <c r="H852" s="164" t="s">
        <v>106</v>
      </c>
      <c r="I852" s="164" t="s">
        <v>249</v>
      </c>
      <c r="J852" s="164" t="s">
        <v>87</v>
      </c>
      <c r="K852" s="164" t="s">
        <v>90</v>
      </c>
      <c r="L852" s="161">
        <v>40</v>
      </c>
      <c r="M852" s="164" t="s">
        <v>832</v>
      </c>
      <c r="N852" s="164" t="s">
        <v>99</v>
      </c>
      <c r="O852" s="162" t="s">
        <v>11</v>
      </c>
      <c r="P852" s="164" t="s">
        <v>275</v>
      </c>
      <c r="Q852" s="161" t="s">
        <v>112</v>
      </c>
      <c r="R852" s="161" t="s">
        <v>829</v>
      </c>
      <c r="S852" s="161" t="s">
        <v>935</v>
      </c>
      <c r="T852" s="161" t="s">
        <v>936</v>
      </c>
      <c r="U852" s="161" t="s">
        <v>957</v>
      </c>
      <c r="V852" s="161" t="s">
        <v>116</v>
      </c>
      <c r="W852" s="161" t="s">
        <v>117</v>
      </c>
    </row>
    <row r="853" ht="15.75" customHeight="1" spans="1:23">
      <c r="A853" s="169" t="s">
        <v>958</v>
      </c>
      <c r="B853" s="170" t="s">
        <v>959</v>
      </c>
      <c r="C853" s="170" t="s">
        <v>173</v>
      </c>
      <c r="D853" s="171" t="s">
        <v>102</v>
      </c>
      <c r="E853" s="171" t="s">
        <v>103</v>
      </c>
      <c r="F853" s="172" t="s">
        <v>960</v>
      </c>
      <c r="G853" s="172" t="s">
        <v>961</v>
      </c>
      <c r="H853" s="173" t="s">
        <v>85</v>
      </c>
      <c r="I853" s="174" t="s">
        <v>209</v>
      </c>
      <c r="J853" s="170" t="s">
        <v>108</v>
      </c>
      <c r="K853" s="175" t="s">
        <v>88</v>
      </c>
      <c r="L853" s="170">
        <v>8</v>
      </c>
      <c r="M853" s="176" t="s">
        <v>962</v>
      </c>
      <c r="N853" s="175" t="s">
        <v>90</v>
      </c>
      <c r="O853" s="170" t="s">
        <v>14</v>
      </c>
      <c r="P853" s="170" t="s">
        <v>963</v>
      </c>
      <c r="Q853" s="170" t="s">
        <v>112</v>
      </c>
      <c r="R853" s="170" t="s">
        <v>113</v>
      </c>
      <c r="S853" s="170" t="s">
        <v>964</v>
      </c>
      <c r="T853" s="170" t="s">
        <v>16</v>
      </c>
      <c r="U853" s="170" t="s">
        <v>965</v>
      </c>
      <c r="V853" s="170" t="s">
        <v>304</v>
      </c>
      <c r="W853" s="170" t="s">
        <v>305</v>
      </c>
    </row>
    <row r="854" customHeight="1" spans="1:23">
      <c r="A854" s="177"/>
      <c r="B854" s="170"/>
      <c r="C854" s="170"/>
      <c r="D854" s="171" t="s">
        <v>102</v>
      </c>
      <c r="E854" s="171" t="s">
        <v>103</v>
      </c>
      <c r="F854" s="172"/>
      <c r="G854" s="172"/>
      <c r="H854" s="173"/>
      <c r="I854" s="178" t="s">
        <v>267</v>
      </c>
      <c r="J854" s="170" t="s">
        <v>87</v>
      </c>
      <c r="K854" s="175" t="s">
        <v>88</v>
      </c>
      <c r="L854" s="170">
        <v>2</v>
      </c>
      <c r="M854" s="176" t="s">
        <v>89</v>
      </c>
      <c r="N854" s="175" t="s">
        <v>90</v>
      </c>
      <c r="O854" s="170" t="s">
        <v>14</v>
      </c>
      <c r="P854" s="170" t="s">
        <v>963</v>
      </c>
      <c r="Q854" s="170" t="s">
        <v>112</v>
      </c>
      <c r="R854" s="170" t="s">
        <v>113</v>
      </c>
      <c r="S854" s="170" t="s">
        <v>964</v>
      </c>
      <c r="T854" s="170" t="s">
        <v>16</v>
      </c>
      <c r="U854" s="170" t="s">
        <v>965</v>
      </c>
      <c r="V854" s="170" t="s">
        <v>304</v>
      </c>
      <c r="W854" s="170" t="s">
        <v>966</v>
      </c>
    </row>
    <row r="855" ht="15.75" customHeight="1" spans="1:23">
      <c r="A855" s="179"/>
      <c r="B855" s="170"/>
      <c r="C855" s="170"/>
      <c r="D855" s="171" t="s">
        <v>102</v>
      </c>
      <c r="E855" s="171" t="s">
        <v>103</v>
      </c>
      <c r="F855" s="172"/>
      <c r="G855" s="172"/>
      <c r="H855" s="180" t="s">
        <v>91</v>
      </c>
      <c r="I855" s="178" t="s">
        <v>475</v>
      </c>
      <c r="J855" s="170" t="s">
        <v>108</v>
      </c>
      <c r="K855" s="175" t="s">
        <v>88</v>
      </c>
      <c r="L855" s="170">
        <v>2</v>
      </c>
      <c r="M855" s="176" t="s">
        <v>962</v>
      </c>
      <c r="N855" s="175" t="s">
        <v>90</v>
      </c>
      <c r="O855" s="170" t="s">
        <v>14</v>
      </c>
      <c r="P855" s="170" t="s">
        <v>963</v>
      </c>
      <c r="Q855" s="170" t="s">
        <v>112</v>
      </c>
      <c r="R855" s="170" t="s">
        <v>113</v>
      </c>
      <c r="S855" s="170" t="s">
        <v>964</v>
      </c>
      <c r="T855" s="170" t="s">
        <v>16</v>
      </c>
      <c r="U855" s="170" t="s">
        <v>965</v>
      </c>
      <c r="V855" s="170" t="s">
        <v>304</v>
      </c>
      <c r="W855" s="170" t="s">
        <v>967</v>
      </c>
    </row>
    <row r="856" customHeight="1" spans="1:23">
      <c r="A856" s="177"/>
      <c r="B856" s="170"/>
      <c r="C856" s="170"/>
      <c r="D856" s="171" t="s">
        <v>102</v>
      </c>
      <c r="E856" s="171" t="s">
        <v>103</v>
      </c>
      <c r="F856" s="172"/>
      <c r="G856" s="172"/>
      <c r="H856" s="181" t="s">
        <v>132</v>
      </c>
      <c r="I856" s="182" t="s">
        <v>480</v>
      </c>
      <c r="J856" s="170" t="s">
        <v>87</v>
      </c>
      <c r="K856" s="175" t="s">
        <v>134</v>
      </c>
      <c r="L856" s="170">
        <v>3</v>
      </c>
      <c r="M856" s="176" t="s">
        <v>962</v>
      </c>
      <c r="N856" s="175" t="s">
        <v>90</v>
      </c>
      <c r="O856" s="170" t="s">
        <v>14</v>
      </c>
      <c r="P856" s="170" t="s">
        <v>963</v>
      </c>
      <c r="Q856" s="170" t="s">
        <v>112</v>
      </c>
      <c r="R856" s="170" t="s">
        <v>113</v>
      </c>
      <c r="S856" s="170" t="s">
        <v>964</v>
      </c>
      <c r="T856" s="170" t="s">
        <v>16</v>
      </c>
      <c r="U856" s="170" t="s">
        <v>965</v>
      </c>
      <c r="V856" s="170" t="s">
        <v>304</v>
      </c>
      <c r="W856" s="170" t="s">
        <v>968</v>
      </c>
    </row>
    <row r="857" customHeight="1" spans="1:23">
      <c r="A857" s="177"/>
      <c r="B857" s="170"/>
      <c r="C857" s="170"/>
      <c r="D857" s="171" t="s">
        <v>102</v>
      </c>
      <c r="E857" s="171" t="s">
        <v>103</v>
      </c>
      <c r="F857" s="172"/>
      <c r="G857" s="172"/>
      <c r="H857" s="172" t="s">
        <v>106</v>
      </c>
      <c r="I857" s="182" t="s">
        <v>281</v>
      </c>
      <c r="J857" s="170" t="s">
        <v>87</v>
      </c>
      <c r="K857" s="175" t="s">
        <v>93</v>
      </c>
      <c r="L857" s="170">
        <v>24</v>
      </c>
      <c r="M857" s="176" t="s">
        <v>98</v>
      </c>
      <c r="N857" s="175" t="s">
        <v>99</v>
      </c>
      <c r="O857" s="170" t="s">
        <v>14</v>
      </c>
      <c r="P857" s="170" t="s">
        <v>963</v>
      </c>
      <c r="Q857" s="170" t="s">
        <v>112</v>
      </c>
      <c r="R857" s="170" t="s">
        <v>113</v>
      </c>
      <c r="S857" s="170" t="s">
        <v>964</v>
      </c>
      <c r="T857" s="170" t="s">
        <v>16</v>
      </c>
      <c r="U857" s="170" t="s">
        <v>965</v>
      </c>
      <c r="V857" s="170" t="s">
        <v>304</v>
      </c>
      <c r="W857" s="170" t="s">
        <v>969</v>
      </c>
    </row>
    <row r="858" customHeight="1" spans="1:23">
      <c r="A858" s="177"/>
      <c r="B858" s="170"/>
      <c r="C858" s="170"/>
      <c r="D858" s="171" t="s">
        <v>102</v>
      </c>
      <c r="E858" s="171" t="s">
        <v>103</v>
      </c>
      <c r="F858" s="172"/>
      <c r="G858" s="172"/>
      <c r="H858" s="172"/>
      <c r="I858" s="182" t="s">
        <v>196</v>
      </c>
      <c r="J858" s="170" t="s">
        <v>87</v>
      </c>
      <c r="K858" s="175" t="s">
        <v>88</v>
      </c>
      <c r="L858" s="170">
        <v>2</v>
      </c>
      <c r="M858" s="176" t="s">
        <v>98</v>
      </c>
      <c r="N858" s="175" t="s">
        <v>99</v>
      </c>
      <c r="O858" s="170" t="s">
        <v>14</v>
      </c>
      <c r="P858" s="170" t="s">
        <v>963</v>
      </c>
      <c r="Q858" s="170" t="s">
        <v>112</v>
      </c>
      <c r="R858" s="170" t="s">
        <v>113</v>
      </c>
      <c r="S858" s="170" t="s">
        <v>964</v>
      </c>
      <c r="T858" s="170" t="s">
        <v>16</v>
      </c>
      <c r="U858" s="170" t="s">
        <v>965</v>
      </c>
      <c r="V858" s="170" t="s">
        <v>304</v>
      </c>
      <c r="W858" s="170" t="s">
        <v>970</v>
      </c>
    </row>
    <row r="859" ht="15.75" customHeight="1" spans="1:23">
      <c r="A859" s="177"/>
      <c r="B859" s="170"/>
      <c r="C859" s="170"/>
      <c r="D859" s="171" t="s">
        <v>102</v>
      </c>
      <c r="E859" s="171" t="s">
        <v>103</v>
      </c>
      <c r="F859" s="172"/>
      <c r="G859" s="172"/>
      <c r="H859" s="172" t="s">
        <v>95</v>
      </c>
      <c r="I859" s="182" t="s">
        <v>285</v>
      </c>
      <c r="J859" s="170" t="s">
        <v>108</v>
      </c>
      <c r="K859" s="175" t="s">
        <v>134</v>
      </c>
      <c r="L859" s="170">
        <v>4</v>
      </c>
      <c r="M859" s="176" t="s">
        <v>279</v>
      </c>
      <c r="N859" s="175" t="s">
        <v>99</v>
      </c>
      <c r="O859" s="170" t="s">
        <v>14</v>
      </c>
      <c r="P859" s="170" t="s">
        <v>963</v>
      </c>
      <c r="Q859" s="170" t="s">
        <v>112</v>
      </c>
      <c r="R859" s="170" t="s">
        <v>113</v>
      </c>
      <c r="S859" s="170" t="s">
        <v>964</v>
      </c>
      <c r="T859" s="170" t="s">
        <v>16</v>
      </c>
      <c r="U859" s="170" t="s">
        <v>965</v>
      </c>
      <c r="V859" s="170" t="s">
        <v>304</v>
      </c>
      <c r="W859" s="170" t="s">
        <v>971</v>
      </c>
    </row>
    <row r="860" ht="15.75" customHeight="1" spans="1:23">
      <c r="A860" s="177"/>
      <c r="B860" s="170"/>
      <c r="C860" s="170"/>
      <c r="D860" s="171" t="s">
        <v>102</v>
      </c>
      <c r="E860" s="171" t="s">
        <v>103</v>
      </c>
      <c r="F860" s="172"/>
      <c r="G860" s="172"/>
      <c r="H860" s="172"/>
      <c r="I860" s="182" t="s">
        <v>176</v>
      </c>
      <c r="J860" s="170" t="s">
        <v>97</v>
      </c>
      <c r="K860" s="175" t="s">
        <v>93</v>
      </c>
      <c r="L860" s="170">
        <v>20</v>
      </c>
      <c r="M860" s="176" t="s">
        <v>279</v>
      </c>
      <c r="N860" s="175" t="s">
        <v>99</v>
      </c>
      <c r="O860" s="170" t="s">
        <v>14</v>
      </c>
      <c r="P860" s="170" t="s">
        <v>963</v>
      </c>
      <c r="Q860" s="170" t="s">
        <v>112</v>
      </c>
      <c r="R860" s="170" t="s">
        <v>113</v>
      </c>
      <c r="S860" s="170" t="s">
        <v>964</v>
      </c>
      <c r="T860" s="170" t="s">
        <v>16</v>
      </c>
      <c r="U860" s="170" t="s">
        <v>965</v>
      </c>
      <c r="V860" s="170" t="s">
        <v>304</v>
      </c>
      <c r="W860" s="170" t="s">
        <v>972</v>
      </c>
    </row>
    <row r="861" ht="15.75" customHeight="1" spans="1:23">
      <c r="A861" s="177"/>
      <c r="B861" s="170"/>
      <c r="C861" s="170"/>
      <c r="D861" s="171" t="s">
        <v>102</v>
      </c>
      <c r="E861" s="171" t="s">
        <v>103</v>
      </c>
      <c r="F861" s="172"/>
      <c r="G861" s="172"/>
      <c r="H861" s="172"/>
      <c r="I861" s="182" t="s">
        <v>193</v>
      </c>
      <c r="J861" s="170" t="s">
        <v>108</v>
      </c>
      <c r="K861" s="175" t="s">
        <v>88</v>
      </c>
      <c r="L861" s="170">
        <v>1</v>
      </c>
      <c r="M861" s="176" t="s">
        <v>279</v>
      </c>
      <c r="N861" s="175" t="s">
        <v>99</v>
      </c>
      <c r="O861" s="170" t="s">
        <v>14</v>
      </c>
      <c r="P861" s="170" t="s">
        <v>963</v>
      </c>
      <c r="Q861" s="170" t="s">
        <v>112</v>
      </c>
      <c r="R861" s="170" t="s">
        <v>113</v>
      </c>
      <c r="S861" s="170" t="s">
        <v>964</v>
      </c>
      <c r="T861" s="170" t="s">
        <v>16</v>
      </c>
      <c r="U861" s="170" t="s">
        <v>965</v>
      </c>
      <c r="V861" s="170" t="s">
        <v>304</v>
      </c>
      <c r="W861" s="170" t="s">
        <v>973</v>
      </c>
    </row>
    <row r="862" ht="15.75" customHeight="1" spans="1:23">
      <c r="A862" s="177"/>
      <c r="B862" s="170"/>
      <c r="C862" s="170"/>
      <c r="D862" s="171" t="s">
        <v>102</v>
      </c>
      <c r="E862" s="171" t="s">
        <v>103</v>
      </c>
      <c r="F862" s="172"/>
      <c r="G862" s="172"/>
      <c r="H862" s="172"/>
      <c r="I862" s="182" t="s">
        <v>136</v>
      </c>
      <c r="J862" s="170" t="s">
        <v>108</v>
      </c>
      <c r="K862" s="175" t="s">
        <v>93</v>
      </c>
      <c r="L862" s="170">
        <v>52</v>
      </c>
      <c r="M862" s="176" t="s">
        <v>279</v>
      </c>
      <c r="N862" s="175" t="s">
        <v>99</v>
      </c>
      <c r="O862" s="170" t="s">
        <v>14</v>
      </c>
      <c r="P862" s="170" t="s">
        <v>963</v>
      </c>
      <c r="Q862" s="170" t="s">
        <v>112</v>
      </c>
      <c r="R862" s="170" t="s">
        <v>113</v>
      </c>
      <c r="S862" s="170" t="s">
        <v>964</v>
      </c>
      <c r="T862" s="170" t="s">
        <v>16</v>
      </c>
      <c r="U862" s="170" t="s">
        <v>965</v>
      </c>
      <c r="V862" s="170" t="s">
        <v>304</v>
      </c>
      <c r="W862" s="170" t="s">
        <v>974</v>
      </c>
    </row>
    <row r="863" ht="28.5" customHeight="1" spans="1:23">
      <c r="A863" s="177"/>
      <c r="B863" s="170"/>
      <c r="C863" s="170"/>
      <c r="D863" s="171" t="s">
        <v>102</v>
      </c>
      <c r="E863" s="171" t="s">
        <v>103</v>
      </c>
      <c r="F863" s="172"/>
      <c r="G863" s="172"/>
      <c r="H863" s="172" t="s">
        <v>218</v>
      </c>
      <c r="I863" s="183" t="s">
        <v>219</v>
      </c>
      <c r="J863" s="170" t="s">
        <v>108</v>
      </c>
      <c r="K863" s="175" t="s">
        <v>134</v>
      </c>
      <c r="L863" s="170">
        <v>2</v>
      </c>
      <c r="M863" s="176" t="s">
        <v>279</v>
      </c>
      <c r="N863" s="175" t="s">
        <v>99</v>
      </c>
      <c r="O863" s="170" t="s">
        <v>14</v>
      </c>
      <c r="P863" s="170" t="s">
        <v>963</v>
      </c>
      <c r="Q863" s="170" t="s">
        <v>112</v>
      </c>
      <c r="R863" s="170" t="s">
        <v>113</v>
      </c>
      <c r="S863" s="170" t="s">
        <v>964</v>
      </c>
      <c r="T863" s="170" t="s">
        <v>16</v>
      </c>
      <c r="U863" s="170" t="s">
        <v>965</v>
      </c>
      <c r="V863" s="170" t="s">
        <v>304</v>
      </c>
      <c r="W863" s="170" t="s">
        <v>975</v>
      </c>
    </row>
    <row r="864" ht="15.75" customHeight="1" spans="1:23">
      <c r="A864" s="177"/>
      <c r="B864" s="170"/>
      <c r="C864" s="170"/>
      <c r="D864" s="171" t="s">
        <v>102</v>
      </c>
      <c r="E864" s="171" t="s">
        <v>103</v>
      </c>
      <c r="F864" s="172"/>
      <c r="G864" s="172"/>
      <c r="H864" s="172" t="s">
        <v>119</v>
      </c>
      <c r="I864" s="175" t="s">
        <v>211</v>
      </c>
      <c r="J864" s="170" t="s">
        <v>108</v>
      </c>
      <c r="K864" s="175" t="s">
        <v>93</v>
      </c>
      <c r="L864" s="170">
        <v>44</v>
      </c>
      <c r="M864" s="176" t="s">
        <v>279</v>
      </c>
      <c r="N864" s="175" t="s">
        <v>99</v>
      </c>
      <c r="O864" s="170" t="s">
        <v>14</v>
      </c>
      <c r="P864" s="170" t="s">
        <v>963</v>
      </c>
      <c r="Q864" s="170" t="s">
        <v>112</v>
      </c>
      <c r="R864" s="170" t="s">
        <v>113</v>
      </c>
      <c r="S864" s="170" t="s">
        <v>964</v>
      </c>
      <c r="T864" s="170" t="s">
        <v>16</v>
      </c>
      <c r="U864" s="170" t="s">
        <v>965</v>
      </c>
      <c r="V864" s="170" t="s">
        <v>304</v>
      </c>
      <c r="W864" s="170" t="s">
        <v>976</v>
      </c>
    </row>
    <row r="865" ht="15.75" customHeight="1" spans="1:23">
      <c r="A865" s="184"/>
      <c r="B865" s="170"/>
      <c r="C865" s="170"/>
      <c r="D865" s="171" t="s">
        <v>102</v>
      </c>
      <c r="E865" s="171" t="s">
        <v>103</v>
      </c>
      <c r="F865" s="172"/>
      <c r="G865" s="172"/>
      <c r="H865" s="172" t="s">
        <v>141</v>
      </c>
      <c r="I865" s="175" t="s">
        <v>479</v>
      </c>
      <c r="J865" s="170" t="s">
        <v>97</v>
      </c>
      <c r="K865" s="175" t="s">
        <v>88</v>
      </c>
      <c r="L865" s="170">
        <v>12</v>
      </c>
      <c r="M865" s="176" t="s">
        <v>279</v>
      </c>
      <c r="N865" s="175" t="s">
        <v>99</v>
      </c>
      <c r="O865" s="170" t="s">
        <v>14</v>
      </c>
      <c r="P865" s="170" t="s">
        <v>963</v>
      </c>
      <c r="Q865" s="170" t="s">
        <v>112</v>
      </c>
      <c r="R865" s="170" t="s">
        <v>113</v>
      </c>
      <c r="S865" s="170" t="s">
        <v>964</v>
      </c>
      <c r="T865" s="170" t="s">
        <v>16</v>
      </c>
      <c r="U865" s="170" t="s">
        <v>965</v>
      </c>
      <c r="V865" s="170" t="s">
        <v>304</v>
      </c>
      <c r="W865" s="170" t="s">
        <v>977</v>
      </c>
    </row>
    <row r="866" ht="15.75" customHeight="1" spans="1:23">
      <c r="A866" s="185" t="s">
        <v>978</v>
      </c>
      <c r="B866" s="185" t="s">
        <v>979</v>
      </c>
      <c r="C866" s="185" t="s">
        <v>173</v>
      </c>
      <c r="D866" s="186" t="s">
        <v>102</v>
      </c>
      <c r="E866" s="186" t="s">
        <v>103</v>
      </c>
      <c r="F866" s="180" t="s">
        <v>980</v>
      </c>
      <c r="G866" s="180" t="s">
        <v>961</v>
      </c>
      <c r="H866" s="187" t="s">
        <v>85</v>
      </c>
      <c r="I866" s="188" t="s">
        <v>209</v>
      </c>
      <c r="J866" s="170" t="s">
        <v>108</v>
      </c>
      <c r="K866" s="173" t="s">
        <v>134</v>
      </c>
      <c r="L866" s="185">
        <v>4</v>
      </c>
      <c r="M866" s="176" t="s">
        <v>279</v>
      </c>
      <c r="N866" s="175" t="s">
        <v>90</v>
      </c>
      <c r="O866" s="185" t="s">
        <v>14</v>
      </c>
      <c r="P866" s="170" t="s">
        <v>963</v>
      </c>
      <c r="Q866" s="170" t="s">
        <v>112</v>
      </c>
      <c r="R866" s="170" t="s">
        <v>113</v>
      </c>
      <c r="S866" s="170" t="s">
        <v>964</v>
      </c>
      <c r="T866" s="170" t="s">
        <v>16</v>
      </c>
      <c r="U866" s="170" t="s">
        <v>965</v>
      </c>
      <c r="V866" s="170" t="s">
        <v>304</v>
      </c>
      <c r="W866" s="170" t="s">
        <v>981</v>
      </c>
    </row>
    <row r="867" customHeight="1" spans="1:23">
      <c r="A867" s="185"/>
      <c r="B867" s="185"/>
      <c r="C867" s="185"/>
      <c r="D867" s="186" t="s">
        <v>102</v>
      </c>
      <c r="E867" s="186" t="s">
        <v>103</v>
      </c>
      <c r="F867" s="180"/>
      <c r="G867" s="180"/>
      <c r="H867" s="189"/>
      <c r="I867" s="178" t="s">
        <v>267</v>
      </c>
      <c r="J867" s="170" t="s">
        <v>87</v>
      </c>
      <c r="K867" s="173" t="s">
        <v>134</v>
      </c>
      <c r="L867" s="185">
        <v>4</v>
      </c>
      <c r="M867" s="176" t="s">
        <v>279</v>
      </c>
      <c r="N867" s="175" t="s">
        <v>90</v>
      </c>
      <c r="O867" s="185" t="s">
        <v>14</v>
      </c>
      <c r="P867" s="170" t="s">
        <v>963</v>
      </c>
      <c r="Q867" s="170" t="s">
        <v>112</v>
      </c>
      <c r="R867" s="170" t="s">
        <v>113</v>
      </c>
      <c r="S867" s="170" t="s">
        <v>964</v>
      </c>
      <c r="T867" s="170" t="s">
        <v>16</v>
      </c>
      <c r="U867" s="170" t="s">
        <v>965</v>
      </c>
      <c r="V867" s="170" t="s">
        <v>304</v>
      </c>
      <c r="W867" s="170" t="s">
        <v>982</v>
      </c>
    </row>
    <row r="868" ht="15.75" customHeight="1" spans="1:23">
      <c r="A868" s="185"/>
      <c r="B868" s="185"/>
      <c r="C868" s="185"/>
      <c r="D868" s="186" t="s">
        <v>102</v>
      </c>
      <c r="E868" s="186" t="s">
        <v>103</v>
      </c>
      <c r="F868" s="180"/>
      <c r="G868" s="180"/>
      <c r="H868" s="173" t="s">
        <v>91</v>
      </c>
      <c r="I868" s="185" t="s">
        <v>475</v>
      </c>
      <c r="J868" s="170" t="s">
        <v>108</v>
      </c>
      <c r="K868" s="173" t="s">
        <v>93</v>
      </c>
      <c r="L868" s="185">
        <v>40</v>
      </c>
      <c r="M868" s="176" t="s">
        <v>279</v>
      </c>
      <c r="N868" s="175" t="s">
        <v>99</v>
      </c>
      <c r="O868" s="185" t="s">
        <v>14</v>
      </c>
      <c r="P868" s="170" t="s">
        <v>963</v>
      </c>
      <c r="Q868" s="170" t="s">
        <v>112</v>
      </c>
      <c r="R868" s="170" t="s">
        <v>113</v>
      </c>
      <c r="S868" s="170" t="s">
        <v>964</v>
      </c>
      <c r="T868" s="170" t="s">
        <v>16</v>
      </c>
      <c r="U868" s="170" t="s">
        <v>965</v>
      </c>
      <c r="V868" s="170" t="s">
        <v>304</v>
      </c>
      <c r="W868" s="170" t="s">
        <v>983</v>
      </c>
    </row>
    <row r="869" customHeight="1" spans="1:23">
      <c r="A869" s="185"/>
      <c r="B869" s="185"/>
      <c r="C869" s="185"/>
      <c r="D869" s="186" t="s">
        <v>102</v>
      </c>
      <c r="E869" s="186" t="s">
        <v>103</v>
      </c>
      <c r="F869" s="180"/>
      <c r="G869" s="180"/>
      <c r="H869" s="187" t="s">
        <v>106</v>
      </c>
      <c r="I869" s="185" t="s">
        <v>281</v>
      </c>
      <c r="J869" s="170" t="s">
        <v>87</v>
      </c>
      <c r="K869" s="173" t="s">
        <v>93</v>
      </c>
      <c r="L869" s="185">
        <v>22</v>
      </c>
      <c r="M869" s="176" t="s">
        <v>98</v>
      </c>
      <c r="N869" s="175" t="s">
        <v>90</v>
      </c>
      <c r="O869" s="185" t="s">
        <v>14</v>
      </c>
      <c r="P869" s="170" t="s">
        <v>963</v>
      </c>
      <c r="Q869" s="170" t="s">
        <v>112</v>
      </c>
      <c r="R869" s="170" t="s">
        <v>113</v>
      </c>
      <c r="S869" s="170" t="s">
        <v>964</v>
      </c>
      <c r="T869" s="170" t="s">
        <v>16</v>
      </c>
      <c r="U869" s="170" t="s">
        <v>965</v>
      </c>
      <c r="V869" s="170" t="s">
        <v>304</v>
      </c>
      <c r="W869" s="170" t="s">
        <v>984</v>
      </c>
    </row>
    <row r="870" customHeight="1" spans="1:23">
      <c r="A870" s="185"/>
      <c r="B870" s="185"/>
      <c r="C870" s="185"/>
      <c r="D870" s="186" t="s">
        <v>102</v>
      </c>
      <c r="E870" s="186" t="s">
        <v>103</v>
      </c>
      <c r="F870" s="180"/>
      <c r="G870" s="180"/>
      <c r="H870" s="189"/>
      <c r="I870" s="185" t="s">
        <v>196</v>
      </c>
      <c r="J870" s="170" t="s">
        <v>87</v>
      </c>
      <c r="K870" s="173" t="s">
        <v>93</v>
      </c>
      <c r="L870" s="185">
        <v>8</v>
      </c>
      <c r="M870" s="176" t="s">
        <v>98</v>
      </c>
      <c r="N870" s="175" t="s">
        <v>99</v>
      </c>
      <c r="O870" s="185" t="s">
        <v>14</v>
      </c>
      <c r="P870" s="170" t="s">
        <v>963</v>
      </c>
      <c r="Q870" s="170" t="s">
        <v>112</v>
      </c>
      <c r="R870" s="170" t="s">
        <v>113</v>
      </c>
      <c r="S870" s="170" t="s">
        <v>964</v>
      </c>
      <c r="T870" s="170" t="s">
        <v>16</v>
      </c>
      <c r="U870" s="170" t="s">
        <v>965</v>
      </c>
      <c r="V870" s="170" t="s">
        <v>304</v>
      </c>
      <c r="W870" s="170" t="s">
        <v>985</v>
      </c>
    </row>
    <row r="871" ht="15.75" customHeight="1" spans="1:23">
      <c r="A871" s="185"/>
      <c r="B871" s="185"/>
      <c r="C871" s="185"/>
      <c r="D871" s="186" t="s">
        <v>102</v>
      </c>
      <c r="E871" s="186" t="s">
        <v>103</v>
      </c>
      <c r="F871" s="180"/>
      <c r="G871" s="180"/>
      <c r="H871" s="187" t="s">
        <v>95</v>
      </c>
      <c r="I871" s="188" t="s">
        <v>285</v>
      </c>
      <c r="J871" s="170" t="s">
        <v>108</v>
      </c>
      <c r="K871" s="173" t="s">
        <v>93</v>
      </c>
      <c r="L871" s="185">
        <v>16</v>
      </c>
      <c r="M871" s="176" t="s">
        <v>98</v>
      </c>
      <c r="N871" s="175" t="s">
        <v>99</v>
      </c>
      <c r="O871" s="185" t="s">
        <v>14</v>
      </c>
      <c r="P871" s="170" t="s">
        <v>963</v>
      </c>
      <c r="Q871" s="170" t="s">
        <v>112</v>
      </c>
      <c r="R871" s="170" t="s">
        <v>113</v>
      </c>
      <c r="S871" s="170" t="s">
        <v>964</v>
      </c>
      <c r="T871" s="170" t="s">
        <v>16</v>
      </c>
      <c r="U871" s="170" t="s">
        <v>965</v>
      </c>
      <c r="V871" s="170" t="s">
        <v>304</v>
      </c>
      <c r="W871" s="170" t="s">
        <v>986</v>
      </c>
    </row>
    <row r="872" ht="15.75" customHeight="1" spans="1:23">
      <c r="A872" s="185"/>
      <c r="B872" s="185"/>
      <c r="C872" s="185"/>
      <c r="D872" s="186" t="s">
        <v>102</v>
      </c>
      <c r="E872" s="186" t="s">
        <v>103</v>
      </c>
      <c r="F872" s="180"/>
      <c r="G872" s="180"/>
      <c r="H872" s="190"/>
      <c r="I872" s="178" t="s">
        <v>176</v>
      </c>
      <c r="J872" s="170" t="s">
        <v>97</v>
      </c>
      <c r="K872" s="173" t="s">
        <v>93</v>
      </c>
      <c r="L872" s="185">
        <v>24</v>
      </c>
      <c r="M872" s="176" t="s">
        <v>98</v>
      </c>
      <c r="N872" s="175" t="s">
        <v>99</v>
      </c>
      <c r="O872" s="185" t="s">
        <v>14</v>
      </c>
      <c r="P872" s="170" t="s">
        <v>963</v>
      </c>
      <c r="Q872" s="170" t="s">
        <v>112</v>
      </c>
      <c r="R872" s="170" t="s">
        <v>113</v>
      </c>
      <c r="S872" s="170" t="s">
        <v>964</v>
      </c>
      <c r="T872" s="170" t="s">
        <v>16</v>
      </c>
      <c r="U872" s="170" t="s">
        <v>965</v>
      </c>
      <c r="V872" s="170" t="s">
        <v>304</v>
      </c>
      <c r="W872" s="170" t="s">
        <v>987</v>
      </c>
    </row>
    <row r="873" ht="15.75" customHeight="1" spans="1:23">
      <c r="A873" s="185"/>
      <c r="B873" s="185"/>
      <c r="C873" s="185"/>
      <c r="D873" s="186" t="s">
        <v>102</v>
      </c>
      <c r="E873" s="186" t="s">
        <v>103</v>
      </c>
      <c r="F873" s="180"/>
      <c r="G873" s="180"/>
      <c r="H873" s="190"/>
      <c r="I873" s="178" t="s">
        <v>193</v>
      </c>
      <c r="J873" s="170" t="s">
        <v>108</v>
      </c>
      <c r="K873" s="173" t="s">
        <v>134</v>
      </c>
      <c r="L873" s="185">
        <v>5</v>
      </c>
      <c r="M873" s="176" t="s">
        <v>98</v>
      </c>
      <c r="N873" s="175" t="s">
        <v>99</v>
      </c>
      <c r="O873" s="185" t="s">
        <v>14</v>
      </c>
      <c r="P873" s="170" t="s">
        <v>963</v>
      </c>
      <c r="Q873" s="170" t="s">
        <v>112</v>
      </c>
      <c r="R873" s="170" t="s">
        <v>113</v>
      </c>
      <c r="S873" s="170" t="s">
        <v>964</v>
      </c>
      <c r="T873" s="170" t="s">
        <v>16</v>
      </c>
      <c r="U873" s="170" t="s">
        <v>965</v>
      </c>
      <c r="V873" s="170" t="s">
        <v>304</v>
      </c>
      <c r="W873" s="170" t="s">
        <v>988</v>
      </c>
    </row>
    <row r="874" ht="15.75" customHeight="1" spans="1:23">
      <c r="A874" s="185"/>
      <c r="B874" s="185"/>
      <c r="C874" s="185"/>
      <c r="D874" s="186" t="s">
        <v>102</v>
      </c>
      <c r="E874" s="186" t="s">
        <v>103</v>
      </c>
      <c r="F874" s="180"/>
      <c r="G874" s="180"/>
      <c r="H874" s="189"/>
      <c r="I874" s="191" t="s">
        <v>136</v>
      </c>
      <c r="J874" s="170" t="s">
        <v>108</v>
      </c>
      <c r="K874" s="173" t="s">
        <v>93</v>
      </c>
      <c r="L874" s="185">
        <v>5</v>
      </c>
      <c r="M874" s="176" t="s">
        <v>98</v>
      </c>
      <c r="N874" s="175" t="s">
        <v>99</v>
      </c>
      <c r="O874" s="185" t="s">
        <v>14</v>
      </c>
      <c r="P874" s="170" t="s">
        <v>963</v>
      </c>
      <c r="Q874" s="170" t="s">
        <v>112</v>
      </c>
      <c r="R874" s="170" t="s">
        <v>113</v>
      </c>
      <c r="S874" s="170" t="s">
        <v>964</v>
      </c>
      <c r="T874" s="170" t="s">
        <v>16</v>
      </c>
      <c r="U874" s="170" t="s">
        <v>965</v>
      </c>
      <c r="V874" s="170" t="s">
        <v>304</v>
      </c>
      <c r="W874" s="170" t="s">
        <v>989</v>
      </c>
    </row>
    <row r="875" ht="25.5" customHeight="1" spans="1:23">
      <c r="A875" s="185"/>
      <c r="B875" s="185"/>
      <c r="C875" s="185"/>
      <c r="D875" s="186" t="s">
        <v>102</v>
      </c>
      <c r="E875" s="186" t="s">
        <v>103</v>
      </c>
      <c r="F875" s="180"/>
      <c r="G875" s="180"/>
      <c r="H875" s="189" t="s">
        <v>218</v>
      </c>
      <c r="I875" s="188" t="s">
        <v>219</v>
      </c>
      <c r="J875" s="170" t="s">
        <v>108</v>
      </c>
      <c r="K875" s="173" t="s">
        <v>134</v>
      </c>
      <c r="L875" s="185">
        <v>24</v>
      </c>
      <c r="M875" s="176" t="s">
        <v>962</v>
      </c>
      <c r="N875" s="175" t="s">
        <v>110</v>
      </c>
      <c r="O875" s="185" t="s">
        <v>14</v>
      </c>
      <c r="P875" s="170" t="s">
        <v>963</v>
      </c>
      <c r="Q875" s="170" t="s">
        <v>112</v>
      </c>
      <c r="R875" s="170" t="s">
        <v>113</v>
      </c>
      <c r="S875" s="170" t="s">
        <v>964</v>
      </c>
      <c r="T875" s="170" t="s">
        <v>16</v>
      </c>
      <c r="U875" s="170" t="s">
        <v>965</v>
      </c>
      <c r="V875" s="170" t="s">
        <v>304</v>
      </c>
      <c r="W875" s="170" t="s">
        <v>990</v>
      </c>
    </row>
    <row r="876" ht="15.75" customHeight="1" spans="1:23">
      <c r="A876" s="185"/>
      <c r="B876" s="185"/>
      <c r="C876" s="185"/>
      <c r="D876" s="186" t="s">
        <v>102</v>
      </c>
      <c r="E876" s="186" t="s">
        <v>103</v>
      </c>
      <c r="F876" s="180"/>
      <c r="G876" s="180"/>
      <c r="H876" s="189" t="s">
        <v>119</v>
      </c>
      <c r="I876" s="178" t="s">
        <v>211</v>
      </c>
      <c r="J876" s="170" t="s">
        <v>108</v>
      </c>
      <c r="K876" s="173" t="s">
        <v>88</v>
      </c>
      <c r="L876" s="185">
        <v>8</v>
      </c>
      <c r="M876" s="176" t="s">
        <v>279</v>
      </c>
      <c r="N876" s="175" t="s">
        <v>99</v>
      </c>
      <c r="O876" s="185" t="s">
        <v>14</v>
      </c>
      <c r="P876" s="170" t="s">
        <v>963</v>
      </c>
      <c r="Q876" s="170" t="s">
        <v>112</v>
      </c>
      <c r="R876" s="170" t="s">
        <v>113</v>
      </c>
      <c r="S876" s="170" t="s">
        <v>964</v>
      </c>
      <c r="T876" s="170" t="s">
        <v>16</v>
      </c>
      <c r="U876" s="170" t="s">
        <v>965</v>
      </c>
      <c r="V876" s="170" t="s">
        <v>304</v>
      </c>
      <c r="W876" s="170" t="s">
        <v>991</v>
      </c>
    </row>
    <row r="877" ht="15.75" customHeight="1" spans="1:23">
      <c r="A877" s="185"/>
      <c r="B877" s="185"/>
      <c r="C877" s="185"/>
      <c r="D877" s="186" t="s">
        <v>102</v>
      </c>
      <c r="E877" s="186" t="s">
        <v>103</v>
      </c>
      <c r="F877" s="180"/>
      <c r="G877" s="180"/>
      <c r="H877" s="189" t="s">
        <v>141</v>
      </c>
      <c r="I877" s="192" t="s">
        <v>479</v>
      </c>
      <c r="J877" s="170" t="s">
        <v>97</v>
      </c>
      <c r="K877" s="173" t="s">
        <v>93</v>
      </c>
      <c r="L877" s="185">
        <v>16</v>
      </c>
      <c r="M877" s="176" t="s">
        <v>279</v>
      </c>
      <c r="N877" s="175" t="s">
        <v>90</v>
      </c>
      <c r="O877" s="185" t="s">
        <v>14</v>
      </c>
      <c r="P877" s="170" t="s">
        <v>963</v>
      </c>
      <c r="Q877" s="170" t="s">
        <v>112</v>
      </c>
      <c r="R877" s="170" t="s">
        <v>113</v>
      </c>
      <c r="S877" s="170" t="s">
        <v>964</v>
      </c>
      <c r="T877" s="170" t="s">
        <v>16</v>
      </c>
      <c r="U877" s="170" t="s">
        <v>965</v>
      </c>
      <c r="V877" s="170" t="s">
        <v>304</v>
      </c>
      <c r="W877" s="170" t="s">
        <v>992</v>
      </c>
    </row>
    <row r="878" ht="15.75" customHeight="1" spans="1:23">
      <c r="A878" s="185" t="s">
        <v>993</v>
      </c>
      <c r="B878" s="185" t="s">
        <v>994</v>
      </c>
      <c r="C878" s="185" t="s">
        <v>173</v>
      </c>
      <c r="D878" s="186" t="s">
        <v>102</v>
      </c>
      <c r="E878" s="186" t="s">
        <v>103</v>
      </c>
      <c r="F878" s="180" t="s">
        <v>995</v>
      </c>
      <c r="G878" s="180" t="s">
        <v>996</v>
      </c>
      <c r="H878" s="173" t="s">
        <v>85</v>
      </c>
      <c r="I878" s="185" t="s">
        <v>209</v>
      </c>
      <c r="J878" s="170" t="s">
        <v>108</v>
      </c>
      <c r="K878" s="193" t="s">
        <v>134</v>
      </c>
      <c r="L878" s="188">
        <v>10</v>
      </c>
      <c r="M878" s="194" t="s">
        <v>279</v>
      </c>
      <c r="N878" s="175" t="s">
        <v>99</v>
      </c>
      <c r="O878" s="185" t="s">
        <v>14</v>
      </c>
      <c r="P878" s="170" t="s">
        <v>963</v>
      </c>
      <c r="Q878" s="170" t="s">
        <v>112</v>
      </c>
      <c r="R878" s="170" t="s">
        <v>113</v>
      </c>
      <c r="S878" s="170" t="s">
        <v>964</v>
      </c>
      <c r="T878" s="170" t="s">
        <v>16</v>
      </c>
      <c r="U878" s="170" t="s">
        <v>965</v>
      </c>
      <c r="V878" s="170" t="s">
        <v>304</v>
      </c>
      <c r="W878" s="170" t="s">
        <v>997</v>
      </c>
    </row>
    <row r="879" customHeight="1" spans="1:23">
      <c r="A879" s="185"/>
      <c r="B879" s="185"/>
      <c r="C879" s="185"/>
      <c r="D879" s="186" t="s">
        <v>102</v>
      </c>
      <c r="E879" s="186" t="s">
        <v>103</v>
      </c>
      <c r="F879" s="180"/>
      <c r="G879" s="180"/>
      <c r="H879" s="173" t="s">
        <v>85</v>
      </c>
      <c r="I879" s="185" t="s">
        <v>267</v>
      </c>
      <c r="J879" s="170" t="s">
        <v>87</v>
      </c>
      <c r="K879" s="173" t="s">
        <v>93</v>
      </c>
      <c r="L879" s="178">
        <v>2</v>
      </c>
      <c r="M879" s="194" t="s">
        <v>89</v>
      </c>
      <c r="N879" s="175" t="s">
        <v>90</v>
      </c>
      <c r="O879" s="185" t="s">
        <v>14</v>
      </c>
      <c r="P879" s="170" t="s">
        <v>963</v>
      </c>
      <c r="Q879" s="170" t="s">
        <v>112</v>
      </c>
      <c r="R879" s="170" t="s">
        <v>113</v>
      </c>
      <c r="S879" s="170" t="s">
        <v>964</v>
      </c>
      <c r="T879" s="170" t="s">
        <v>16</v>
      </c>
      <c r="U879" s="170" t="s">
        <v>965</v>
      </c>
      <c r="V879" s="170" t="s">
        <v>304</v>
      </c>
      <c r="W879" s="170" t="s">
        <v>998</v>
      </c>
    </row>
    <row r="880" ht="15.75" customHeight="1" spans="1:23">
      <c r="A880" s="185"/>
      <c r="B880" s="185"/>
      <c r="C880" s="185"/>
      <c r="D880" s="186" t="s">
        <v>102</v>
      </c>
      <c r="E880" s="186" t="s">
        <v>103</v>
      </c>
      <c r="F880" s="180"/>
      <c r="G880" s="180"/>
      <c r="H880" s="173" t="s">
        <v>91</v>
      </c>
      <c r="I880" s="185" t="s">
        <v>475</v>
      </c>
      <c r="J880" s="170" t="s">
        <v>108</v>
      </c>
      <c r="K880" s="193" t="s">
        <v>134</v>
      </c>
      <c r="L880" s="183">
        <v>4</v>
      </c>
      <c r="M880" s="194" t="s">
        <v>279</v>
      </c>
      <c r="N880" s="175" t="s">
        <v>90</v>
      </c>
      <c r="O880" s="185" t="s">
        <v>14</v>
      </c>
      <c r="P880" s="170" t="s">
        <v>963</v>
      </c>
      <c r="Q880" s="170" t="s">
        <v>112</v>
      </c>
      <c r="R880" s="170" t="s">
        <v>113</v>
      </c>
      <c r="S880" s="170" t="s">
        <v>964</v>
      </c>
      <c r="T880" s="170" t="s">
        <v>16</v>
      </c>
      <c r="U880" s="170" t="s">
        <v>965</v>
      </c>
      <c r="V880" s="170" t="s">
        <v>304</v>
      </c>
      <c r="W880" s="170" t="s">
        <v>999</v>
      </c>
    </row>
    <row r="881" customHeight="1" spans="1:23">
      <c r="A881" s="185"/>
      <c r="B881" s="185"/>
      <c r="C881" s="185"/>
      <c r="D881" s="186" t="s">
        <v>102</v>
      </c>
      <c r="E881" s="186" t="s">
        <v>103</v>
      </c>
      <c r="F881" s="180"/>
      <c r="G881" s="180"/>
      <c r="H881" s="173" t="s">
        <v>106</v>
      </c>
      <c r="I881" s="185" t="s">
        <v>281</v>
      </c>
      <c r="J881" s="170" t="s">
        <v>87</v>
      </c>
      <c r="K881" s="173" t="s">
        <v>93</v>
      </c>
      <c r="L881" s="188">
        <v>14</v>
      </c>
      <c r="M881" s="188" t="s">
        <v>98</v>
      </c>
      <c r="N881" s="175" t="s">
        <v>99</v>
      </c>
      <c r="O881" s="185" t="s">
        <v>14</v>
      </c>
      <c r="P881" s="170" t="s">
        <v>963</v>
      </c>
      <c r="Q881" s="170" t="s">
        <v>112</v>
      </c>
      <c r="R881" s="170" t="s">
        <v>113</v>
      </c>
      <c r="S881" s="170" t="s">
        <v>964</v>
      </c>
      <c r="T881" s="170" t="s">
        <v>16</v>
      </c>
      <c r="U881" s="170" t="s">
        <v>965</v>
      </c>
      <c r="V881" s="170" t="s">
        <v>304</v>
      </c>
      <c r="W881" s="170" t="s">
        <v>1000</v>
      </c>
    </row>
    <row r="882" customHeight="1" spans="1:23">
      <c r="A882" s="185"/>
      <c r="B882" s="185"/>
      <c r="C882" s="185"/>
      <c r="D882" s="186" t="s">
        <v>102</v>
      </c>
      <c r="E882" s="186" t="s">
        <v>103</v>
      </c>
      <c r="F882" s="180"/>
      <c r="G882" s="180"/>
      <c r="H882" s="173" t="s">
        <v>106</v>
      </c>
      <c r="I882" s="185" t="s">
        <v>196</v>
      </c>
      <c r="J882" s="170" t="s">
        <v>87</v>
      </c>
      <c r="K882" s="173" t="s">
        <v>93</v>
      </c>
      <c r="L882" s="178">
        <v>4</v>
      </c>
      <c r="M882" s="188" t="s">
        <v>98</v>
      </c>
      <c r="N882" s="175" t="s">
        <v>99</v>
      </c>
      <c r="O882" s="185" t="s">
        <v>14</v>
      </c>
      <c r="P882" s="170" t="s">
        <v>963</v>
      </c>
      <c r="Q882" s="170" t="s">
        <v>112</v>
      </c>
      <c r="R882" s="170" t="s">
        <v>113</v>
      </c>
      <c r="S882" s="170" t="s">
        <v>964</v>
      </c>
      <c r="T882" s="170" t="s">
        <v>16</v>
      </c>
      <c r="U882" s="170" t="s">
        <v>965</v>
      </c>
      <c r="V882" s="170" t="s">
        <v>304</v>
      </c>
      <c r="W882" s="170" t="s">
        <v>1001</v>
      </c>
    </row>
    <row r="883" ht="15.75" customHeight="1" spans="1:23">
      <c r="A883" s="185"/>
      <c r="B883" s="185"/>
      <c r="C883" s="185"/>
      <c r="D883" s="186" t="s">
        <v>102</v>
      </c>
      <c r="E883" s="186" t="s">
        <v>103</v>
      </c>
      <c r="F883" s="180"/>
      <c r="G883" s="180"/>
      <c r="H883" s="173" t="s">
        <v>95</v>
      </c>
      <c r="I883" s="185" t="s">
        <v>285</v>
      </c>
      <c r="J883" s="170" t="s">
        <v>108</v>
      </c>
      <c r="K883" s="193" t="s">
        <v>134</v>
      </c>
      <c r="L883" s="178">
        <v>5</v>
      </c>
      <c r="M883" s="188" t="s">
        <v>98</v>
      </c>
      <c r="N883" s="175" t="s">
        <v>99</v>
      </c>
      <c r="O883" s="185" t="s">
        <v>14</v>
      </c>
      <c r="P883" s="170" t="s">
        <v>963</v>
      </c>
      <c r="Q883" s="170" t="s">
        <v>112</v>
      </c>
      <c r="R883" s="170" t="s">
        <v>113</v>
      </c>
      <c r="S883" s="170" t="s">
        <v>964</v>
      </c>
      <c r="T883" s="170" t="s">
        <v>16</v>
      </c>
      <c r="U883" s="170" t="s">
        <v>965</v>
      </c>
      <c r="V883" s="170" t="s">
        <v>304</v>
      </c>
      <c r="W883" s="170" t="s">
        <v>1002</v>
      </c>
    </row>
    <row r="884" ht="15.75" customHeight="1" spans="1:23">
      <c r="A884" s="185"/>
      <c r="B884" s="185"/>
      <c r="C884" s="185"/>
      <c r="D884" s="186" t="s">
        <v>102</v>
      </c>
      <c r="E884" s="186" t="s">
        <v>103</v>
      </c>
      <c r="F884" s="180"/>
      <c r="G884" s="180"/>
      <c r="H884" s="173" t="s">
        <v>95</v>
      </c>
      <c r="I884" s="185" t="s">
        <v>176</v>
      </c>
      <c r="J884" s="170" t="s">
        <v>97</v>
      </c>
      <c r="K884" s="175" t="s">
        <v>88</v>
      </c>
      <c r="L884" s="178">
        <v>5</v>
      </c>
      <c r="M884" s="188" t="s">
        <v>98</v>
      </c>
      <c r="N884" s="175" t="s">
        <v>99</v>
      </c>
      <c r="O884" s="185" t="s">
        <v>14</v>
      </c>
      <c r="P884" s="170" t="s">
        <v>963</v>
      </c>
      <c r="Q884" s="170" t="s">
        <v>112</v>
      </c>
      <c r="R884" s="170" t="s">
        <v>113</v>
      </c>
      <c r="S884" s="170" t="s">
        <v>964</v>
      </c>
      <c r="T884" s="170" t="s">
        <v>16</v>
      </c>
      <c r="U884" s="170" t="s">
        <v>965</v>
      </c>
      <c r="V884" s="170" t="s">
        <v>304</v>
      </c>
      <c r="W884" s="170" t="s">
        <v>1003</v>
      </c>
    </row>
    <row r="885" ht="15.75" customHeight="1" spans="1:23">
      <c r="A885" s="185"/>
      <c r="B885" s="185"/>
      <c r="C885" s="185"/>
      <c r="D885" s="186" t="s">
        <v>102</v>
      </c>
      <c r="E885" s="186" t="s">
        <v>103</v>
      </c>
      <c r="F885" s="180"/>
      <c r="G885" s="180"/>
      <c r="H885" s="173" t="s">
        <v>95</v>
      </c>
      <c r="I885" s="185" t="s">
        <v>193</v>
      </c>
      <c r="J885" s="170" t="s">
        <v>108</v>
      </c>
      <c r="K885" s="193" t="s">
        <v>134</v>
      </c>
      <c r="L885" s="178">
        <v>10</v>
      </c>
      <c r="M885" s="188" t="s">
        <v>98</v>
      </c>
      <c r="N885" s="175" t="s">
        <v>99</v>
      </c>
      <c r="O885" s="185" t="s">
        <v>14</v>
      </c>
      <c r="P885" s="170" t="s">
        <v>963</v>
      </c>
      <c r="Q885" s="170" t="s">
        <v>112</v>
      </c>
      <c r="R885" s="170" t="s">
        <v>113</v>
      </c>
      <c r="S885" s="170" t="s">
        <v>964</v>
      </c>
      <c r="T885" s="170" t="s">
        <v>16</v>
      </c>
      <c r="U885" s="170" t="s">
        <v>965</v>
      </c>
      <c r="V885" s="170" t="s">
        <v>304</v>
      </c>
      <c r="W885" s="170" t="s">
        <v>1004</v>
      </c>
    </row>
    <row r="886" ht="15.75" customHeight="1" spans="1:23">
      <c r="A886" s="185"/>
      <c r="B886" s="185"/>
      <c r="C886" s="185"/>
      <c r="D886" s="186" t="s">
        <v>102</v>
      </c>
      <c r="E886" s="186" t="s">
        <v>103</v>
      </c>
      <c r="F886" s="180"/>
      <c r="G886" s="180"/>
      <c r="H886" s="173" t="s">
        <v>95</v>
      </c>
      <c r="I886" s="185" t="s">
        <v>136</v>
      </c>
      <c r="J886" s="170" t="s">
        <v>108</v>
      </c>
      <c r="K886" s="193" t="s">
        <v>134</v>
      </c>
      <c r="L886" s="178">
        <v>56</v>
      </c>
      <c r="M886" s="188" t="s">
        <v>98</v>
      </c>
      <c r="N886" s="175" t="s">
        <v>99</v>
      </c>
      <c r="O886" s="185" t="s">
        <v>14</v>
      </c>
      <c r="P886" s="170" t="s">
        <v>963</v>
      </c>
      <c r="Q886" s="170" t="s">
        <v>112</v>
      </c>
      <c r="R886" s="170" t="s">
        <v>113</v>
      </c>
      <c r="S886" s="170" t="s">
        <v>964</v>
      </c>
      <c r="T886" s="170" t="s">
        <v>16</v>
      </c>
      <c r="U886" s="170" t="s">
        <v>965</v>
      </c>
      <c r="V886" s="170" t="s">
        <v>304</v>
      </c>
      <c r="W886" s="170" t="s">
        <v>1005</v>
      </c>
    </row>
    <row r="887" ht="15.75" customHeight="1" spans="1:23">
      <c r="A887" s="185"/>
      <c r="B887" s="185"/>
      <c r="C887" s="185"/>
      <c r="D887" s="186" t="s">
        <v>102</v>
      </c>
      <c r="E887" s="186" t="s">
        <v>103</v>
      </c>
      <c r="F887" s="180"/>
      <c r="G887" s="180"/>
      <c r="H887" s="173" t="s">
        <v>218</v>
      </c>
      <c r="I887" s="185" t="s">
        <v>219</v>
      </c>
      <c r="J887" s="170" t="s">
        <v>108</v>
      </c>
      <c r="K887" s="193" t="s">
        <v>134</v>
      </c>
      <c r="L887" s="178">
        <v>16</v>
      </c>
      <c r="M887" s="178" t="s">
        <v>247</v>
      </c>
      <c r="N887" s="175" t="s">
        <v>99</v>
      </c>
      <c r="O887" s="185" t="s">
        <v>14</v>
      </c>
      <c r="P887" s="170" t="s">
        <v>963</v>
      </c>
      <c r="Q887" s="170" t="s">
        <v>112</v>
      </c>
      <c r="R887" s="170" t="s">
        <v>113</v>
      </c>
      <c r="S887" s="170" t="s">
        <v>964</v>
      </c>
      <c r="T887" s="170" t="s">
        <v>16</v>
      </c>
      <c r="U887" s="170" t="s">
        <v>965</v>
      </c>
      <c r="V887" s="170" t="s">
        <v>304</v>
      </c>
      <c r="W887" s="170" t="s">
        <v>1006</v>
      </c>
    </row>
    <row r="888" ht="15.75" customHeight="1" spans="1:23">
      <c r="A888" s="185"/>
      <c r="B888" s="185"/>
      <c r="C888" s="185"/>
      <c r="D888" s="186" t="s">
        <v>102</v>
      </c>
      <c r="E888" s="186" t="s">
        <v>103</v>
      </c>
      <c r="F888" s="180"/>
      <c r="G888" s="180"/>
      <c r="H888" s="173" t="s">
        <v>119</v>
      </c>
      <c r="I888" s="185" t="s">
        <v>211</v>
      </c>
      <c r="J888" s="170" t="s">
        <v>108</v>
      </c>
      <c r="K888" s="193" t="s">
        <v>134</v>
      </c>
      <c r="L888" s="178">
        <v>40</v>
      </c>
      <c r="M888" s="188" t="s">
        <v>98</v>
      </c>
      <c r="N888" s="175" t="s">
        <v>99</v>
      </c>
      <c r="O888" s="185" t="s">
        <v>14</v>
      </c>
      <c r="P888" s="170" t="s">
        <v>963</v>
      </c>
      <c r="Q888" s="170" t="s">
        <v>112</v>
      </c>
      <c r="R888" s="170" t="s">
        <v>113</v>
      </c>
      <c r="S888" s="170" t="s">
        <v>964</v>
      </c>
      <c r="T888" s="170" t="s">
        <v>16</v>
      </c>
      <c r="U888" s="170" t="s">
        <v>965</v>
      </c>
      <c r="V888" s="170" t="s">
        <v>304</v>
      </c>
      <c r="W888" s="170" t="s">
        <v>1007</v>
      </c>
    </row>
    <row r="889" ht="15.75" customHeight="1" spans="1:23">
      <c r="A889" s="185"/>
      <c r="B889" s="185"/>
      <c r="C889" s="185"/>
      <c r="D889" s="186" t="s">
        <v>102</v>
      </c>
      <c r="E889" s="186" t="s">
        <v>103</v>
      </c>
      <c r="F889" s="180"/>
      <c r="G889" s="180"/>
      <c r="H889" s="173" t="s">
        <v>141</v>
      </c>
      <c r="I889" s="185" t="s">
        <v>479</v>
      </c>
      <c r="J889" s="170" t="s">
        <v>97</v>
      </c>
      <c r="K889" s="175" t="s">
        <v>88</v>
      </c>
      <c r="L889" s="178">
        <v>10</v>
      </c>
      <c r="M889" s="188" t="s">
        <v>98</v>
      </c>
      <c r="N889" s="175" t="s">
        <v>99</v>
      </c>
      <c r="O889" s="185" t="s">
        <v>14</v>
      </c>
      <c r="P889" s="170" t="s">
        <v>963</v>
      </c>
      <c r="Q889" s="170" t="s">
        <v>112</v>
      </c>
      <c r="R889" s="170" t="s">
        <v>113</v>
      </c>
      <c r="S889" s="170" t="s">
        <v>964</v>
      </c>
      <c r="T889" s="170" t="s">
        <v>16</v>
      </c>
      <c r="U889" s="170" t="s">
        <v>965</v>
      </c>
      <c r="V889" s="170" t="s">
        <v>304</v>
      </c>
      <c r="W889" s="170" t="s">
        <v>1008</v>
      </c>
    </row>
    <row r="890" customHeight="1" spans="1:23">
      <c r="A890" s="185" t="s">
        <v>1009</v>
      </c>
      <c r="B890" s="185" t="s">
        <v>1010</v>
      </c>
      <c r="C890" s="185" t="s">
        <v>173</v>
      </c>
      <c r="D890" s="186" t="s">
        <v>102</v>
      </c>
      <c r="E890" s="186" t="s">
        <v>154</v>
      </c>
      <c r="F890" s="180" t="s">
        <v>1011</v>
      </c>
      <c r="G890" s="180" t="s">
        <v>1012</v>
      </c>
      <c r="H890" s="187" t="s">
        <v>85</v>
      </c>
      <c r="I890" s="180" t="s">
        <v>86</v>
      </c>
      <c r="J890" s="170" t="s">
        <v>87</v>
      </c>
      <c r="K890" s="193" t="s">
        <v>134</v>
      </c>
      <c r="L890" s="195">
        <v>2</v>
      </c>
      <c r="M890" s="194" t="s">
        <v>89</v>
      </c>
      <c r="N890" s="196" t="s">
        <v>110</v>
      </c>
      <c r="O890" s="185" t="s">
        <v>14</v>
      </c>
      <c r="P890" s="170" t="s">
        <v>963</v>
      </c>
      <c r="Q890" s="170" t="s">
        <v>112</v>
      </c>
      <c r="R890" s="170" t="s">
        <v>113</v>
      </c>
      <c r="S890" s="170" t="s">
        <v>964</v>
      </c>
      <c r="T890" s="170" t="s">
        <v>16</v>
      </c>
      <c r="U890" s="170" t="s">
        <v>965</v>
      </c>
      <c r="V890" s="170" t="s">
        <v>304</v>
      </c>
      <c r="W890" s="170" t="s">
        <v>1013</v>
      </c>
    </row>
    <row r="891" ht="15.75" customHeight="1" spans="1:23">
      <c r="A891" s="185"/>
      <c r="B891" s="185"/>
      <c r="C891" s="185"/>
      <c r="D891" s="186" t="s">
        <v>102</v>
      </c>
      <c r="E891" s="186" t="s">
        <v>103</v>
      </c>
      <c r="F891" s="180"/>
      <c r="G891" s="180"/>
      <c r="H891" s="190"/>
      <c r="I891" s="180" t="s">
        <v>209</v>
      </c>
      <c r="J891" s="170" t="s">
        <v>108</v>
      </c>
      <c r="K891" s="193" t="s">
        <v>134</v>
      </c>
      <c r="L891" s="197">
        <v>20</v>
      </c>
      <c r="M891" s="194" t="s">
        <v>279</v>
      </c>
      <c r="N891" s="196" t="s">
        <v>110</v>
      </c>
      <c r="O891" s="185" t="s">
        <v>14</v>
      </c>
      <c r="P891" s="170" t="s">
        <v>963</v>
      </c>
      <c r="Q891" s="170" t="s">
        <v>112</v>
      </c>
      <c r="R891" s="170" t="s">
        <v>113</v>
      </c>
      <c r="S891" s="170" t="s">
        <v>964</v>
      </c>
      <c r="T891" s="170" t="s">
        <v>16</v>
      </c>
      <c r="U891" s="170" t="s">
        <v>965</v>
      </c>
      <c r="V891" s="170" t="s">
        <v>304</v>
      </c>
      <c r="W891" s="170" t="s">
        <v>1014</v>
      </c>
    </row>
    <row r="892" customHeight="1" spans="1:23">
      <c r="A892" s="185"/>
      <c r="B892" s="185"/>
      <c r="C892" s="185"/>
      <c r="D892" s="186" t="s">
        <v>102</v>
      </c>
      <c r="E892" s="186" t="s">
        <v>103</v>
      </c>
      <c r="F892" s="180"/>
      <c r="G892" s="180"/>
      <c r="H892" s="190"/>
      <c r="I892" s="180" t="s">
        <v>267</v>
      </c>
      <c r="J892" s="170" t="s">
        <v>87</v>
      </c>
      <c r="K892" s="193" t="s">
        <v>134</v>
      </c>
      <c r="L892" s="197">
        <v>3</v>
      </c>
      <c r="M892" s="194" t="s">
        <v>279</v>
      </c>
      <c r="N892" s="196" t="s">
        <v>110</v>
      </c>
      <c r="O892" s="185" t="s">
        <v>14</v>
      </c>
      <c r="P892" s="170" t="s">
        <v>963</v>
      </c>
      <c r="Q892" s="170" t="s">
        <v>112</v>
      </c>
      <c r="R892" s="170" t="s">
        <v>113</v>
      </c>
      <c r="S892" s="170" t="s">
        <v>964</v>
      </c>
      <c r="T892" s="170" t="s">
        <v>16</v>
      </c>
      <c r="U892" s="170" t="s">
        <v>965</v>
      </c>
      <c r="V892" s="170" t="s">
        <v>304</v>
      </c>
      <c r="W892" s="170" t="s">
        <v>1015</v>
      </c>
    </row>
    <row r="893" ht="15.75" customHeight="1" spans="1:23">
      <c r="A893" s="185"/>
      <c r="B893" s="185"/>
      <c r="C893" s="185"/>
      <c r="D893" s="186" t="s">
        <v>102</v>
      </c>
      <c r="E893" s="186" t="s">
        <v>103</v>
      </c>
      <c r="F893" s="180"/>
      <c r="G893" s="180"/>
      <c r="H893" s="190"/>
      <c r="I893" s="180" t="s">
        <v>183</v>
      </c>
      <c r="J893" s="170" t="s">
        <v>108</v>
      </c>
      <c r="K893" s="193" t="s">
        <v>134</v>
      </c>
      <c r="L893" s="197">
        <v>45</v>
      </c>
      <c r="M893" s="180" t="s">
        <v>98</v>
      </c>
      <c r="N893" s="196" t="s">
        <v>99</v>
      </c>
      <c r="O893" s="185" t="s">
        <v>14</v>
      </c>
      <c r="P893" s="170" t="s">
        <v>963</v>
      </c>
      <c r="Q893" s="170" t="s">
        <v>112</v>
      </c>
      <c r="R893" s="170" t="s">
        <v>113</v>
      </c>
      <c r="S893" s="170" t="s">
        <v>964</v>
      </c>
      <c r="T893" s="170" t="s">
        <v>16</v>
      </c>
      <c r="U893" s="170" t="s">
        <v>965</v>
      </c>
      <c r="V893" s="170" t="s">
        <v>304</v>
      </c>
      <c r="W893" s="170" t="s">
        <v>1016</v>
      </c>
    </row>
    <row r="894" ht="15.75" customHeight="1" spans="1:23">
      <c r="A894" s="185"/>
      <c r="B894" s="185"/>
      <c r="C894" s="185"/>
      <c r="D894" s="186" t="s">
        <v>102</v>
      </c>
      <c r="E894" s="186" t="s">
        <v>103</v>
      </c>
      <c r="F894" s="180"/>
      <c r="G894" s="180"/>
      <c r="H894" s="189"/>
      <c r="I894" s="180" t="s">
        <v>192</v>
      </c>
      <c r="J894" s="170" t="s">
        <v>108</v>
      </c>
      <c r="K894" s="193" t="s">
        <v>134</v>
      </c>
      <c r="L894" s="197">
        <v>8</v>
      </c>
      <c r="M894" s="180" t="s">
        <v>98</v>
      </c>
      <c r="N894" s="196" t="s">
        <v>99</v>
      </c>
      <c r="O894" s="185" t="s">
        <v>14</v>
      </c>
      <c r="P894" s="170" t="s">
        <v>963</v>
      </c>
      <c r="Q894" s="170" t="s">
        <v>112</v>
      </c>
      <c r="R894" s="170" t="s">
        <v>113</v>
      </c>
      <c r="S894" s="170" t="s">
        <v>964</v>
      </c>
      <c r="T894" s="170" t="s">
        <v>16</v>
      </c>
      <c r="U894" s="170" t="s">
        <v>965</v>
      </c>
      <c r="V894" s="170" t="s">
        <v>304</v>
      </c>
      <c r="W894" s="170" t="s">
        <v>1017</v>
      </c>
    </row>
    <row r="895" ht="15.75" customHeight="1" spans="1:23">
      <c r="A895" s="185"/>
      <c r="B895" s="185"/>
      <c r="C895" s="185"/>
      <c r="D895" s="186" t="s">
        <v>102</v>
      </c>
      <c r="E895" s="186" t="s">
        <v>103</v>
      </c>
      <c r="F895" s="180"/>
      <c r="G895" s="180"/>
      <c r="H895" s="173" t="s">
        <v>91</v>
      </c>
      <c r="I895" s="180" t="s">
        <v>475</v>
      </c>
      <c r="J895" s="170" t="s">
        <v>108</v>
      </c>
      <c r="K895" s="193" t="s">
        <v>134</v>
      </c>
      <c r="L895" s="197">
        <v>4</v>
      </c>
      <c r="M895" s="194" t="s">
        <v>279</v>
      </c>
      <c r="N895" s="196" t="s">
        <v>110</v>
      </c>
      <c r="O895" s="185" t="s">
        <v>14</v>
      </c>
      <c r="P895" s="170" t="s">
        <v>963</v>
      </c>
      <c r="Q895" s="170" t="s">
        <v>112</v>
      </c>
      <c r="R895" s="170" t="s">
        <v>113</v>
      </c>
      <c r="S895" s="170" t="s">
        <v>964</v>
      </c>
      <c r="T895" s="170" t="s">
        <v>16</v>
      </c>
      <c r="U895" s="170" t="s">
        <v>965</v>
      </c>
      <c r="V895" s="170" t="s">
        <v>304</v>
      </c>
      <c r="W895" s="170" t="s">
        <v>1018</v>
      </c>
    </row>
    <row r="896" ht="15.75" customHeight="1" spans="1:23">
      <c r="A896" s="185"/>
      <c r="B896" s="185"/>
      <c r="C896" s="185"/>
      <c r="D896" s="186" t="s">
        <v>102</v>
      </c>
      <c r="E896" s="186" t="s">
        <v>103</v>
      </c>
      <c r="F896" s="180"/>
      <c r="G896" s="180"/>
      <c r="H896" s="173" t="s">
        <v>95</v>
      </c>
      <c r="I896" s="180" t="s">
        <v>176</v>
      </c>
      <c r="J896" s="170" t="s">
        <v>97</v>
      </c>
      <c r="K896" s="193" t="s">
        <v>93</v>
      </c>
      <c r="L896" s="197">
        <v>20</v>
      </c>
      <c r="M896" s="180" t="s">
        <v>98</v>
      </c>
      <c r="N896" s="196" t="s">
        <v>110</v>
      </c>
      <c r="O896" s="185" t="s">
        <v>14</v>
      </c>
      <c r="P896" s="170" t="s">
        <v>963</v>
      </c>
      <c r="Q896" s="170" t="s">
        <v>112</v>
      </c>
      <c r="R896" s="170" t="s">
        <v>113</v>
      </c>
      <c r="S896" s="170" t="s">
        <v>964</v>
      </c>
      <c r="T896" s="170" t="s">
        <v>16</v>
      </c>
      <c r="U896" s="170" t="s">
        <v>965</v>
      </c>
      <c r="V896" s="170" t="s">
        <v>304</v>
      </c>
      <c r="W896" s="170" t="s">
        <v>1019</v>
      </c>
    </row>
    <row r="897" ht="15.75" customHeight="1" spans="1:23">
      <c r="A897" s="185"/>
      <c r="B897" s="185"/>
      <c r="C897" s="185"/>
      <c r="D897" s="186" t="s">
        <v>102</v>
      </c>
      <c r="E897" s="186" t="s">
        <v>103</v>
      </c>
      <c r="F897" s="180"/>
      <c r="G897" s="180"/>
      <c r="H897" s="187" t="s">
        <v>218</v>
      </c>
      <c r="I897" s="180" t="s">
        <v>291</v>
      </c>
      <c r="J897" s="170" t="s">
        <v>108</v>
      </c>
      <c r="K897" s="196" t="s">
        <v>88</v>
      </c>
      <c r="L897" s="197">
        <v>2</v>
      </c>
      <c r="M897" s="194" t="s">
        <v>279</v>
      </c>
      <c r="N897" s="196" t="s">
        <v>110</v>
      </c>
      <c r="O897" s="185" t="s">
        <v>14</v>
      </c>
      <c r="P897" s="170" t="s">
        <v>963</v>
      </c>
      <c r="Q897" s="170" t="s">
        <v>112</v>
      </c>
      <c r="R897" s="170" t="s">
        <v>113</v>
      </c>
      <c r="S897" s="170" t="s">
        <v>964</v>
      </c>
      <c r="T897" s="170" t="s">
        <v>16</v>
      </c>
      <c r="U897" s="170" t="s">
        <v>965</v>
      </c>
      <c r="V897" s="170" t="s">
        <v>304</v>
      </c>
      <c r="W897" s="170" t="s">
        <v>1020</v>
      </c>
    </row>
    <row r="898" ht="30" customHeight="1" spans="1:23">
      <c r="A898" s="185"/>
      <c r="B898" s="185"/>
      <c r="C898" s="185"/>
      <c r="D898" s="186" t="s">
        <v>102</v>
      </c>
      <c r="E898" s="186" t="s">
        <v>103</v>
      </c>
      <c r="F898" s="180"/>
      <c r="G898" s="180"/>
      <c r="H898" s="189"/>
      <c r="I898" s="180" t="s">
        <v>219</v>
      </c>
      <c r="J898" s="170" t="s">
        <v>108</v>
      </c>
      <c r="K898" s="196" t="s">
        <v>88</v>
      </c>
      <c r="L898" s="197">
        <v>20</v>
      </c>
      <c r="M898" s="194" t="s">
        <v>279</v>
      </c>
      <c r="N898" s="196" t="s">
        <v>110</v>
      </c>
      <c r="O898" s="185" t="s">
        <v>14</v>
      </c>
      <c r="P898" s="170" t="s">
        <v>963</v>
      </c>
      <c r="Q898" s="170" t="s">
        <v>112</v>
      </c>
      <c r="R898" s="170" t="s">
        <v>113</v>
      </c>
      <c r="S898" s="170" t="s">
        <v>964</v>
      </c>
      <c r="T898" s="170" t="s">
        <v>16</v>
      </c>
      <c r="U898" s="170" t="s">
        <v>965</v>
      </c>
      <c r="V898" s="170" t="s">
        <v>304</v>
      </c>
      <c r="W898" s="170" t="s">
        <v>1021</v>
      </c>
    </row>
    <row r="899" ht="15.75" customHeight="1" spans="1:23">
      <c r="A899" s="185"/>
      <c r="B899" s="185"/>
      <c r="C899" s="185"/>
      <c r="D899" s="186" t="s">
        <v>102</v>
      </c>
      <c r="E899" s="186" t="s">
        <v>103</v>
      </c>
      <c r="F899" s="180"/>
      <c r="G899" s="180"/>
      <c r="H899" s="187" t="s">
        <v>157</v>
      </c>
      <c r="I899" s="188" t="s">
        <v>188</v>
      </c>
      <c r="J899" s="170" t="s">
        <v>108</v>
      </c>
      <c r="K899" s="193" t="s">
        <v>134</v>
      </c>
      <c r="L899" s="197">
        <v>20</v>
      </c>
      <c r="M899" s="194" t="s">
        <v>279</v>
      </c>
      <c r="N899" s="196" t="s">
        <v>110</v>
      </c>
      <c r="O899" s="185" t="s">
        <v>14</v>
      </c>
      <c r="P899" s="170" t="s">
        <v>963</v>
      </c>
      <c r="Q899" s="170" t="s">
        <v>112</v>
      </c>
      <c r="R899" s="170" t="s">
        <v>113</v>
      </c>
      <c r="S899" s="170" t="s">
        <v>964</v>
      </c>
      <c r="T899" s="170" t="s">
        <v>16</v>
      </c>
      <c r="U899" s="170" t="s">
        <v>965</v>
      </c>
      <c r="V899" s="170" t="s">
        <v>304</v>
      </c>
      <c r="W899" s="170" t="s">
        <v>1022</v>
      </c>
    </row>
    <row r="900" ht="15.75" customHeight="1" spans="1:23">
      <c r="A900" s="185"/>
      <c r="B900" s="185"/>
      <c r="C900" s="185"/>
      <c r="D900" s="186" t="s">
        <v>102</v>
      </c>
      <c r="E900" s="186" t="s">
        <v>103</v>
      </c>
      <c r="F900" s="180"/>
      <c r="G900" s="180"/>
      <c r="H900" s="189"/>
      <c r="I900" s="188" t="s">
        <v>222</v>
      </c>
      <c r="J900" s="170" t="s">
        <v>108</v>
      </c>
      <c r="K900" s="193" t="s">
        <v>134</v>
      </c>
      <c r="L900" s="197">
        <v>12</v>
      </c>
      <c r="M900" s="180" t="s">
        <v>98</v>
      </c>
      <c r="N900" s="196" t="s">
        <v>110</v>
      </c>
      <c r="O900" s="185" t="s">
        <v>14</v>
      </c>
      <c r="P900" s="170" t="s">
        <v>963</v>
      </c>
      <c r="Q900" s="170" t="s">
        <v>112</v>
      </c>
      <c r="R900" s="170" t="s">
        <v>113</v>
      </c>
      <c r="S900" s="170" t="s">
        <v>964</v>
      </c>
      <c r="T900" s="170" t="s">
        <v>16</v>
      </c>
      <c r="U900" s="170" t="s">
        <v>965</v>
      </c>
      <c r="V900" s="170" t="s">
        <v>304</v>
      </c>
      <c r="W900" s="170" t="s">
        <v>1023</v>
      </c>
    </row>
    <row r="901" ht="15.75" customHeight="1" spans="1:23">
      <c r="A901" s="185"/>
      <c r="B901" s="185"/>
      <c r="C901" s="185"/>
      <c r="D901" s="186" t="s">
        <v>102</v>
      </c>
      <c r="E901" s="186" t="s">
        <v>103</v>
      </c>
      <c r="F901" s="180"/>
      <c r="G901" s="180"/>
      <c r="H901" s="173" t="s">
        <v>119</v>
      </c>
      <c r="I901" s="178" t="s">
        <v>211</v>
      </c>
      <c r="J901" s="170" t="s">
        <v>108</v>
      </c>
      <c r="K901" s="193" t="s">
        <v>134</v>
      </c>
      <c r="L901" s="197">
        <v>10</v>
      </c>
      <c r="M901" s="180" t="s">
        <v>98</v>
      </c>
      <c r="N901" s="196" t="s">
        <v>110</v>
      </c>
      <c r="O901" s="185" t="s">
        <v>14</v>
      </c>
      <c r="P901" s="170" t="s">
        <v>963</v>
      </c>
      <c r="Q901" s="170" t="s">
        <v>112</v>
      </c>
      <c r="R901" s="170" t="s">
        <v>113</v>
      </c>
      <c r="S901" s="170" t="s">
        <v>964</v>
      </c>
      <c r="T901" s="170" t="s">
        <v>16</v>
      </c>
      <c r="U901" s="170" t="s">
        <v>965</v>
      </c>
      <c r="V901" s="170" t="s">
        <v>304</v>
      </c>
      <c r="W901" s="170" t="s">
        <v>1024</v>
      </c>
    </row>
    <row r="902" ht="15.75" customHeight="1" spans="1:23">
      <c r="A902" s="185"/>
      <c r="B902" s="185"/>
      <c r="C902" s="185"/>
      <c r="D902" s="186" t="s">
        <v>102</v>
      </c>
      <c r="E902" s="186" t="s">
        <v>103</v>
      </c>
      <c r="F902" s="180"/>
      <c r="G902" s="180"/>
      <c r="H902" s="173" t="s">
        <v>141</v>
      </c>
      <c r="I902" s="178" t="s">
        <v>479</v>
      </c>
      <c r="J902" s="170" t="s">
        <v>97</v>
      </c>
      <c r="K902" s="193" t="s">
        <v>134</v>
      </c>
      <c r="L902" s="197">
        <v>10</v>
      </c>
      <c r="M902" s="180" t="s">
        <v>98</v>
      </c>
      <c r="N902" s="196" t="s">
        <v>99</v>
      </c>
      <c r="O902" s="185" t="s">
        <v>14</v>
      </c>
      <c r="P902" s="170" t="s">
        <v>963</v>
      </c>
      <c r="Q902" s="170" t="s">
        <v>112</v>
      </c>
      <c r="R902" s="170" t="s">
        <v>113</v>
      </c>
      <c r="S902" s="170" t="s">
        <v>964</v>
      </c>
      <c r="T902" s="170" t="s">
        <v>16</v>
      </c>
      <c r="U902" s="170" t="s">
        <v>965</v>
      </c>
      <c r="V902" s="170" t="s">
        <v>304</v>
      </c>
      <c r="W902" s="170" t="s">
        <v>1025</v>
      </c>
    </row>
    <row r="903" ht="15.75" customHeight="1" spans="1:23">
      <c r="A903" s="169" t="s">
        <v>1026</v>
      </c>
      <c r="B903" s="169" t="s">
        <v>1027</v>
      </c>
      <c r="C903" s="169" t="s">
        <v>173</v>
      </c>
      <c r="D903" s="198" t="s">
        <v>102</v>
      </c>
      <c r="E903" s="198" t="s">
        <v>103</v>
      </c>
      <c r="F903" s="199" t="s">
        <v>1028</v>
      </c>
      <c r="G903" s="199" t="s">
        <v>1029</v>
      </c>
      <c r="H903" s="200" t="s">
        <v>85</v>
      </c>
      <c r="I903" s="180" t="s">
        <v>209</v>
      </c>
      <c r="J903" s="170" t="s">
        <v>108</v>
      </c>
      <c r="K903" s="180" t="s">
        <v>93</v>
      </c>
      <c r="L903" s="176">
        <v>5</v>
      </c>
      <c r="M903" s="194" t="s">
        <v>1030</v>
      </c>
      <c r="N903" s="180" t="s">
        <v>90</v>
      </c>
      <c r="O903" s="169" t="s">
        <v>14</v>
      </c>
      <c r="P903" s="170" t="s">
        <v>963</v>
      </c>
      <c r="Q903" s="170" t="s">
        <v>112</v>
      </c>
      <c r="R903" s="170" t="s">
        <v>113</v>
      </c>
      <c r="S903" s="170" t="s">
        <v>964</v>
      </c>
      <c r="T903" s="170" t="s">
        <v>16</v>
      </c>
      <c r="U903" s="170" t="s">
        <v>965</v>
      </c>
      <c r="V903" s="170" t="s">
        <v>304</v>
      </c>
      <c r="W903" s="170" t="s">
        <v>1031</v>
      </c>
    </row>
    <row r="904" ht="15.75" customHeight="1" spans="1:23">
      <c r="A904" s="177"/>
      <c r="B904" s="177"/>
      <c r="C904" s="177"/>
      <c r="D904" s="201" t="s">
        <v>102</v>
      </c>
      <c r="E904" s="201" t="s">
        <v>103</v>
      </c>
      <c r="F904" s="202"/>
      <c r="G904" s="202"/>
      <c r="H904" s="175" t="s">
        <v>91</v>
      </c>
      <c r="I904" s="182" t="s">
        <v>475</v>
      </c>
      <c r="J904" s="170" t="s">
        <v>108</v>
      </c>
      <c r="K904" s="182" t="s">
        <v>134</v>
      </c>
      <c r="L904" s="176">
        <v>3</v>
      </c>
      <c r="M904" s="194" t="s">
        <v>279</v>
      </c>
      <c r="N904" s="182" t="s">
        <v>110</v>
      </c>
      <c r="O904" s="177" t="s">
        <v>14</v>
      </c>
      <c r="P904" s="170" t="s">
        <v>963</v>
      </c>
      <c r="Q904" s="170" t="s">
        <v>112</v>
      </c>
      <c r="R904" s="170" t="s">
        <v>113</v>
      </c>
      <c r="S904" s="170" t="s">
        <v>964</v>
      </c>
      <c r="T904" s="170" t="s">
        <v>16</v>
      </c>
      <c r="U904" s="170" t="s">
        <v>965</v>
      </c>
      <c r="V904" s="170" t="s">
        <v>304</v>
      </c>
      <c r="W904" s="170" t="s">
        <v>1032</v>
      </c>
    </row>
    <row r="905" customHeight="1" spans="1:23">
      <c r="A905" s="177"/>
      <c r="B905" s="177"/>
      <c r="C905" s="177"/>
      <c r="D905" s="201" t="s">
        <v>102</v>
      </c>
      <c r="E905" s="201" t="s">
        <v>103</v>
      </c>
      <c r="F905" s="202"/>
      <c r="G905" s="202"/>
      <c r="H905" s="187" t="s">
        <v>106</v>
      </c>
      <c r="I905" s="185" t="s">
        <v>281</v>
      </c>
      <c r="J905" s="170" t="s">
        <v>87</v>
      </c>
      <c r="K905" s="185" t="s">
        <v>88</v>
      </c>
      <c r="L905" s="176">
        <v>40</v>
      </c>
      <c r="M905" s="194" t="s">
        <v>98</v>
      </c>
      <c r="N905" s="185" t="s">
        <v>99</v>
      </c>
      <c r="O905" s="177" t="s">
        <v>14</v>
      </c>
      <c r="P905" s="170" t="s">
        <v>963</v>
      </c>
      <c r="Q905" s="170" t="s">
        <v>112</v>
      </c>
      <c r="R905" s="170" t="s">
        <v>113</v>
      </c>
      <c r="S905" s="170" t="s">
        <v>964</v>
      </c>
      <c r="T905" s="170" t="s">
        <v>16</v>
      </c>
      <c r="U905" s="170" t="s">
        <v>965</v>
      </c>
      <c r="V905" s="170" t="s">
        <v>304</v>
      </c>
      <c r="W905" s="170" t="s">
        <v>1033</v>
      </c>
    </row>
    <row r="906" customHeight="1" spans="1:23">
      <c r="A906" s="177"/>
      <c r="B906" s="177"/>
      <c r="C906" s="177"/>
      <c r="D906" s="201" t="s">
        <v>102</v>
      </c>
      <c r="E906" s="201" t="s">
        <v>103</v>
      </c>
      <c r="F906" s="202"/>
      <c r="G906" s="202"/>
      <c r="H906" s="189"/>
      <c r="I906" s="203" t="s">
        <v>196</v>
      </c>
      <c r="J906" s="170" t="s">
        <v>87</v>
      </c>
      <c r="K906" s="175" t="s">
        <v>88</v>
      </c>
      <c r="L906" s="176">
        <v>13</v>
      </c>
      <c r="M906" s="194" t="s">
        <v>98</v>
      </c>
      <c r="N906" s="204" t="s">
        <v>99</v>
      </c>
      <c r="O906" s="177" t="s">
        <v>14</v>
      </c>
      <c r="P906" s="170" t="s">
        <v>963</v>
      </c>
      <c r="Q906" s="170" t="s">
        <v>112</v>
      </c>
      <c r="R906" s="170" t="s">
        <v>113</v>
      </c>
      <c r="S906" s="170" t="s">
        <v>964</v>
      </c>
      <c r="T906" s="170" t="s">
        <v>16</v>
      </c>
      <c r="U906" s="170" t="s">
        <v>965</v>
      </c>
      <c r="V906" s="170" t="s">
        <v>304</v>
      </c>
      <c r="W906" s="170" t="s">
        <v>1034</v>
      </c>
    </row>
    <row r="907" ht="15.75" customHeight="1" spans="1:23">
      <c r="A907" s="177"/>
      <c r="B907" s="177"/>
      <c r="C907" s="177"/>
      <c r="D907" s="201" t="s">
        <v>102</v>
      </c>
      <c r="E907" s="201" t="s">
        <v>103</v>
      </c>
      <c r="F907" s="202"/>
      <c r="G907" s="202"/>
      <c r="H907" s="205" t="s">
        <v>95</v>
      </c>
      <c r="I907" s="206" t="s">
        <v>285</v>
      </c>
      <c r="J907" s="170" t="s">
        <v>108</v>
      </c>
      <c r="K907" s="175" t="s">
        <v>88</v>
      </c>
      <c r="L907" s="176">
        <v>10</v>
      </c>
      <c r="M907" s="194" t="s">
        <v>279</v>
      </c>
      <c r="N907" s="207" t="s">
        <v>99</v>
      </c>
      <c r="O907" s="177" t="s">
        <v>14</v>
      </c>
      <c r="P907" s="170" t="s">
        <v>963</v>
      </c>
      <c r="Q907" s="170" t="s">
        <v>112</v>
      </c>
      <c r="R907" s="170" t="s">
        <v>113</v>
      </c>
      <c r="S907" s="170" t="s">
        <v>964</v>
      </c>
      <c r="T907" s="170" t="s">
        <v>16</v>
      </c>
      <c r="U907" s="170" t="s">
        <v>965</v>
      </c>
      <c r="V907" s="170" t="s">
        <v>304</v>
      </c>
      <c r="W907" s="170" t="s">
        <v>1035</v>
      </c>
    </row>
    <row r="908" ht="15.75" customHeight="1" spans="1:23">
      <c r="A908" s="177"/>
      <c r="B908" s="177"/>
      <c r="C908" s="177"/>
      <c r="D908" s="201" t="s">
        <v>102</v>
      </c>
      <c r="E908" s="201" t="s">
        <v>103</v>
      </c>
      <c r="F908" s="202"/>
      <c r="G908" s="202"/>
      <c r="H908" s="208"/>
      <c r="I908" s="209" t="s">
        <v>176</v>
      </c>
      <c r="J908" s="170" t="s">
        <v>97</v>
      </c>
      <c r="K908" s="180" t="s">
        <v>93</v>
      </c>
      <c r="L908" s="176">
        <v>20</v>
      </c>
      <c r="M908" s="194" t="s">
        <v>98</v>
      </c>
      <c r="N908" s="207" t="s">
        <v>90</v>
      </c>
      <c r="O908" s="177" t="s">
        <v>14</v>
      </c>
      <c r="P908" s="170" t="s">
        <v>963</v>
      </c>
      <c r="Q908" s="170" t="s">
        <v>112</v>
      </c>
      <c r="R908" s="170" t="s">
        <v>113</v>
      </c>
      <c r="S908" s="170" t="s">
        <v>964</v>
      </c>
      <c r="T908" s="170" t="s">
        <v>16</v>
      </c>
      <c r="U908" s="170" t="s">
        <v>965</v>
      </c>
      <c r="V908" s="170" t="s">
        <v>304</v>
      </c>
      <c r="W908" s="170" t="s">
        <v>1036</v>
      </c>
    </row>
    <row r="909" ht="15.75" customHeight="1" spans="1:23">
      <c r="A909" s="177"/>
      <c r="B909" s="177"/>
      <c r="C909" s="177"/>
      <c r="D909" s="201" t="s">
        <v>102</v>
      </c>
      <c r="E909" s="201" t="s">
        <v>103</v>
      </c>
      <c r="F909" s="202"/>
      <c r="G909" s="202"/>
      <c r="H909" s="208"/>
      <c r="I909" s="209" t="s">
        <v>193</v>
      </c>
      <c r="J909" s="170" t="s">
        <v>108</v>
      </c>
      <c r="K909" s="175" t="s">
        <v>88</v>
      </c>
      <c r="L909" s="176">
        <v>20</v>
      </c>
      <c r="M909" s="194" t="s">
        <v>98</v>
      </c>
      <c r="N909" s="207" t="s">
        <v>99</v>
      </c>
      <c r="O909" s="177" t="s">
        <v>14</v>
      </c>
      <c r="P909" s="170" t="s">
        <v>963</v>
      </c>
      <c r="Q909" s="170" t="s">
        <v>112</v>
      </c>
      <c r="R909" s="170" t="s">
        <v>113</v>
      </c>
      <c r="S909" s="170" t="s">
        <v>964</v>
      </c>
      <c r="T909" s="170" t="s">
        <v>16</v>
      </c>
      <c r="U909" s="170" t="s">
        <v>965</v>
      </c>
      <c r="V909" s="170" t="s">
        <v>304</v>
      </c>
      <c r="W909" s="170" t="s">
        <v>1037</v>
      </c>
    </row>
    <row r="910" ht="15.75" customHeight="1" spans="1:23">
      <c r="A910" s="177"/>
      <c r="B910" s="177"/>
      <c r="C910" s="177"/>
      <c r="D910" s="201" t="s">
        <v>102</v>
      </c>
      <c r="E910" s="201" t="s">
        <v>103</v>
      </c>
      <c r="F910" s="202"/>
      <c r="G910" s="202"/>
      <c r="H910" s="210"/>
      <c r="I910" s="209" t="s">
        <v>136</v>
      </c>
      <c r="J910" s="170" t="s">
        <v>108</v>
      </c>
      <c r="K910" s="182" t="s">
        <v>134</v>
      </c>
      <c r="L910" s="176">
        <v>10</v>
      </c>
      <c r="M910" s="194" t="s">
        <v>98</v>
      </c>
      <c r="N910" s="207" t="s">
        <v>110</v>
      </c>
      <c r="O910" s="177" t="s">
        <v>14</v>
      </c>
      <c r="P910" s="170" t="s">
        <v>963</v>
      </c>
      <c r="Q910" s="170" t="s">
        <v>112</v>
      </c>
      <c r="R910" s="170" t="s">
        <v>113</v>
      </c>
      <c r="S910" s="170" t="s">
        <v>964</v>
      </c>
      <c r="T910" s="170" t="s">
        <v>16</v>
      </c>
      <c r="U910" s="170" t="s">
        <v>965</v>
      </c>
      <c r="V910" s="170" t="s">
        <v>304</v>
      </c>
      <c r="W910" s="170" t="s">
        <v>1038</v>
      </c>
    </row>
    <row r="911" ht="25.5" customHeight="1" spans="1:23">
      <c r="A911" s="177"/>
      <c r="B911" s="177"/>
      <c r="C911" s="177"/>
      <c r="D911" s="201" t="s">
        <v>102</v>
      </c>
      <c r="E911" s="201" t="s">
        <v>103</v>
      </c>
      <c r="F911" s="202"/>
      <c r="G911" s="202"/>
      <c r="H911" s="200" t="s">
        <v>218</v>
      </c>
      <c r="I911" s="206" t="s">
        <v>219</v>
      </c>
      <c r="J911" s="170" t="s">
        <v>108</v>
      </c>
      <c r="K911" s="175" t="s">
        <v>88</v>
      </c>
      <c r="L911" s="176">
        <v>10</v>
      </c>
      <c r="M911" s="194" t="s">
        <v>279</v>
      </c>
      <c r="N911" s="207" t="s">
        <v>99</v>
      </c>
      <c r="O911" s="177" t="s">
        <v>14</v>
      </c>
      <c r="P911" s="170" t="s">
        <v>963</v>
      </c>
      <c r="Q911" s="170" t="s">
        <v>112</v>
      </c>
      <c r="R911" s="170" t="s">
        <v>113</v>
      </c>
      <c r="S911" s="170" t="s">
        <v>964</v>
      </c>
      <c r="T911" s="170" t="s">
        <v>16</v>
      </c>
      <c r="U911" s="170" t="s">
        <v>965</v>
      </c>
      <c r="V911" s="170" t="s">
        <v>304</v>
      </c>
      <c r="W911" s="170" t="s">
        <v>1039</v>
      </c>
    </row>
    <row r="912" ht="15.75" customHeight="1" spans="1:23">
      <c r="A912" s="177"/>
      <c r="B912" s="177"/>
      <c r="C912" s="177"/>
      <c r="D912" s="201" t="s">
        <v>102</v>
      </c>
      <c r="E912" s="201" t="s">
        <v>103</v>
      </c>
      <c r="F912" s="202"/>
      <c r="G912" s="202"/>
      <c r="H912" s="200" t="s">
        <v>119</v>
      </c>
      <c r="I912" s="209" t="s">
        <v>211</v>
      </c>
      <c r="J912" s="170" t="s">
        <v>108</v>
      </c>
      <c r="K912" s="182" t="s">
        <v>134</v>
      </c>
      <c r="L912" s="176">
        <v>20</v>
      </c>
      <c r="M912" s="194" t="s">
        <v>279</v>
      </c>
      <c r="N912" s="207" t="s">
        <v>110</v>
      </c>
      <c r="O912" s="177" t="s">
        <v>14</v>
      </c>
      <c r="P912" s="170" t="s">
        <v>963</v>
      </c>
      <c r="Q912" s="170" t="s">
        <v>112</v>
      </c>
      <c r="R912" s="170" t="s">
        <v>113</v>
      </c>
      <c r="S912" s="170" t="s">
        <v>964</v>
      </c>
      <c r="T912" s="170" t="s">
        <v>16</v>
      </c>
      <c r="U912" s="170" t="s">
        <v>965</v>
      </c>
      <c r="V912" s="170" t="s">
        <v>304</v>
      </c>
      <c r="W912" s="170" t="s">
        <v>1040</v>
      </c>
    </row>
    <row r="913" ht="15.75" customHeight="1" spans="1:23">
      <c r="A913" s="177"/>
      <c r="B913" s="177"/>
      <c r="C913" s="177"/>
      <c r="D913" s="201" t="s">
        <v>102</v>
      </c>
      <c r="E913" s="201" t="s">
        <v>103</v>
      </c>
      <c r="F913" s="202"/>
      <c r="G913" s="202"/>
      <c r="H913" s="200" t="s">
        <v>141</v>
      </c>
      <c r="I913" s="209" t="s">
        <v>479</v>
      </c>
      <c r="J913" s="170" t="s">
        <v>97</v>
      </c>
      <c r="K913" s="180" t="s">
        <v>93</v>
      </c>
      <c r="L913" s="176">
        <v>25</v>
      </c>
      <c r="M913" s="194" t="s">
        <v>279</v>
      </c>
      <c r="N913" s="207" t="s">
        <v>90</v>
      </c>
      <c r="O913" s="177" t="s">
        <v>14</v>
      </c>
      <c r="P913" s="170" t="s">
        <v>963</v>
      </c>
      <c r="Q913" s="170" t="s">
        <v>112</v>
      </c>
      <c r="R913" s="170" t="s">
        <v>113</v>
      </c>
      <c r="S913" s="170" t="s">
        <v>964</v>
      </c>
      <c r="T913" s="170" t="s">
        <v>16</v>
      </c>
      <c r="U913" s="170" t="s">
        <v>965</v>
      </c>
      <c r="V913" s="170" t="s">
        <v>304</v>
      </c>
      <c r="W913" s="170" t="s">
        <v>1041</v>
      </c>
    </row>
    <row r="914" customHeight="1" spans="1:23">
      <c r="A914" s="211" t="s">
        <v>1042</v>
      </c>
      <c r="B914" s="212" t="s">
        <v>1043</v>
      </c>
      <c r="C914" s="212" t="s">
        <v>173</v>
      </c>
      <c r="D914" s="213" t="s">
        <v>102</v>
      </c>
      <c r="E914" s="213" t="s">
        <v>154</v>
      </c>
      <c r="F914" s="194" t="s">
        <v>1044</v>
      </c>
      <c r="G914" s="194" t="s">
        <v>1045</v>
      </c>
      <c r="H914" s="18" t="s">
        <v>85</v>
      </c>
      <c r="I914" s="214" t="s">
        <v>86</v>
      </c>
      <c r="J914" s="170" t="s">
        <v>87</v>
      </c>
      <c r="K914" s="215" t="s">
        <v>134</v>
      </c>
      <c r="L914" s="216">
        <v>5</v>
      </c>
      <c r="M914" s="217" t="s">
        <v>89</v>
      </c>
      <c r="N914" s="215" t="s">
        <v>99</v>
      </c>
      <c r="O914" s="212" t="s">
        <v>14</v>
      </c>
      <c r="P914" s="170" t="s">
        <v>963</v>
      </c>
      <c r="Q914" s="170" t="s">
        <v>112</v>
      </c>
      <c r="R914" s="170" t="s">
        <v>113</v>
      </c>
      <c r="S914" s="170" t="s">
        <v>964</v>
      </c>
      <c r="T914" s="170" t="s">
        <v>16</v>
      </c>
      <c r="U914" s="170" t="s">
        <v>965</v>
      </c>
      <c r="V914" s="170" t="s">
        <v>304</v>
      </c>
      <c r="W914" s="170" t="s">
        <v>1046</v>
      </c>
    </row>
    <row r="915" customHeight="1" spans="1:23">
      <c r="A915" s="218"/>
      <c r="B915" s="212"/>
      <c r="C915" s="212"/>
      <c r="D915" s="213" t="s">
        <v>102</v>
      </c>
      <c r="E915" s="213" t="s">
        <v>103</v>
      </c>
      <c r="F915" s="194"/>
      <c r="G915" s="194"/>
      <c r="H915" s="18" t="s">
        <v>85</v>
      </c>
      <c r="I915" s="219" t="s">
        <v>267</v>
      </c>
      <c r="J915" s="170" t="s">
        <v>87</v>
      </c>
      <c r="K915" s="215" t="s">
        <v>134</v>
      </c>
      <c r="L915" s="216">
        <v>2</v>
      </c>
      <c r="M915" s="195" t="s">
        <v>279</v>
      </c>
      <c r="N915" s="215" t="s">
        <v>90</v>
      </c>
      <c r="O915" s="212" t="s">
        <v>14</v>
      </c>
      <c r="P915" s="170" t="s">
        <v>963</v>
      </c>
      <c r="Q915" s="170" t="s">
        <v>112</v>
      </c>
      <c r="R915" s="170" t="s">
        <v>113</v>
      </c>
      <c r="S915" s="170" t="s">
        <v>964</v>
      </c>
      <c r="T915" s="170" t="s">
        <v>16</v>
      </c>
      <c r="U915" s="170" t="s">
        <v>965</v>
      </c>
      <c r="V915" s="170" t="s">
        <v>304</v>
      </c>
      <c r="W915" s="170" t="s">
        <v>1047</v>
      </c>
    </row>
    <row r="916" ht="15.75" customHeight="1" spans="1:23">
      <c r="A916" s="218"/>
      <c r="B916" s="212"/>
      <c r="C916" s="212"/>
      <c r="D916" s="213" t="s">
        <v>102</v>
      </c>
      <c r="E916" s="213" t="s">
        <v>103</v>
      </c>
      <c r="F916" s="194"/>
      <c r="G916" s="194"/>
      <c r="H916" s="18" t="s">
        <v>85</v>
      </c>
      <c r="I916" s="219" t="s">
        <v>183</v>
      </c>
      <c r="J916" s="170" t="s">
        <v>108</v>
      </c>
      <c r="K916" s="215" t="s">
        <v>134</v>
      </c>
      <c r="L916" s="216">
        <v>10</v>
      </c>
      <c r="M916" s="216" t="s">
        <v>98</v>
      </c>
      <c r="N916" s="216" t="s">
        <v>99</v>
      </c>
      <c r="O916" s="212" t="s">
        <v>14</v>
      </c>
      <c r="P916" s="170" t="s">
        <v>963</v>
      </c>
      <c r="Q916" s="170" t="s">
        <v>112</v>
      </c>
      <c r="R916" s="170" t="s">
        <v>113</v>
      </c>
      <c r="S916" s="170" t="s">
        <v>964</v>
      </c>
      <c r="T916" s="170" t="s">
        <v>16</v>
      </c>
      <c r="U916" s="170" t="s">
        <v>965</v>
      </c>
      <c r="V916" s="170" t="s">
        <v>304</v>
      </c>
      <c r="W916" s="170" t="s">
        <v>1048</v>
      </c>
    </row>
    <row r="917" ht="15.75" customHeight="1" spans="1:23">
      <c r="A917" s="218"/>
      <c r="B917" s="212"/>
      <c r="C917" s="212"/>
      <c r="D917" s="213" t="s">
        <v>102</v>
      </c>
      <c r="E917" s="213" t="s">
        <v>103</v>
      </c>
      <c r="F917" s="194"/>
      <c r="G917" s="194"/>
      <c r="H917" s="18" t="s">
        <v>85</v>
      </c>
      <c r="I917" s="220" t="s">
        <v>192</v>
      </c>
      <c r="J917" s="170" t="s">
        <v>108</v>
      </c>
      <c r="K917" s="215" t="s">
        <v>134</v>
      </c>
      <c r="L917" s="216">
        <v>4</v>
      </c>
      <c r="M917" s="216" t="s">
        <v>98</v>
      </c>
      <c r="N917" s="216" t="s">
        <v>99</v>
      </c>
      <c r="O917" s="212" t="s">
        <v>14</v>
      </c>
      <c r="P917" s="170" t="s">
        <v>963</v>
      </c>
      <c r="Q917" s="170" t="s">
        <v>112</v>
      </c>
      <c r="R917" s="170" t="s">
        <v>113</v>
      </c>
      <c r="S917" s="170" t="s">
        <v>964</v>
      </c>
      <c r="T917" s="170" t="s">
        <v>16</v>
      </c>
      <c r="U917" s="170" t="s">
        <v>965</v>
      </c>
      <c r="V917" s="170" t="s">
        <v>304</v>
      </c>
      <c r="W917" s="170" t="s">
        <v>1049</v>
      </c>
    </row>
    <row r="918" ht="15.75" customHeight="1" spans="1:23">
      <c r="A918" s="218"/>
      <c r="B918" s="212"/>
      <c r="C918" s="212"/>
      <c r="D918" s="213" t="s">
        <v>102</v>
      </c>
      <c r="E918" s="213" t="s">
        <v>103</v>
      </c>
      <c r="F918" s="194"/>
      <c r="G918" s="194"/>
      <c r="H918" s="19" t="s">
        <v>106</v>
      </c>
      <c r="I918" s="219" t="s">
        <v>283</v>
      </c>
      <c r="J918" s="170" t="s">
        <v>108</v>
      </c>
      <c r="K918" s="215" t="s">
        <v>134</v>
      </c>
      <c r="L918" s="216">
        <v>5</v>
      </c>
      <c r="M918" s="216" t="s">
        <v>98</v>
      </c>
      <c r="N918" s="216" t="s">
        <v>99</v>
      </c>
      <c r="O918" s="212" t="s">
        <v>14</v>
      </c>
      <c r="P918" s="170" t="s">
        <v>963</v>
      </c>
      <c r="Q918" s="170" t="s">
        <v>112</v>
      </c>
      <c r="R918" s="170" t="s">
        <v>113</v>
      </c>
      <c r="S918" s="170" t="s">
        <v>964</v>
      </c>
      <c r="T918" s="170" t="s">
        <v>16</v>
      </c>
      <c r="U918" s="170" t="s">
        <v>965</v>
      </c>
      <c r="V918" s="170" t="s">
        <v>304</v>
      </c>
      <c r="W918" s="170" t="s">
        <v>1050</v>
      </c>
    </row>
    <row r="919" ht="15.75" customHeight="1" spans="1:23">
      <c r="A919" s="218"/>
      <c r="B919" s="212"/>
      <c r="C919" s="212"/>
      <c r="D919" s="213" t="s">
        <v>102</v>
      </c>
      <c r="E919" s="213" t="s">
        <v>103</v>
      </c>
      <c r="F919" s="194"/>
      <c r="G919" s="194"/>
      <c r="H919" s="21" t="s">
        <v>106</v>
      </c>
      <c r="I919" s="214" t="s">
        <v>383</v>
      </c>
      <c r="J919" s="170" t="s">
        <v>97</v>
      </c>
      <c r="K919" s="195" t="s">
        <v>134</v>
      </c>
      <c r="L919" s="216">
        <v>5</v>
      </c>
      <c r="M919" s="195" t="s">
        <v>279</v>
      </c>
      <c r="N919" s="195" t="s">
        <v>110</v>
      </c>
      <c r="O919" s="212" t="s">
        <v>14</v>
      </c>
      <c r="P919" s="170" t="s">
        <v>963</v>
      </c>
      <c r="Q919" s="170" t="s">
        <v>112</v>
      </c>
      <c r="R919" s="170" t="s">
        <v>113</v>
      </c>
      <c r="S919" s="170" t="s">
        <v>964</v>
      </c>
      <c r="T919" s="170" t="s">
        <v>16</v>
      </c>
      <c r="U919" s="170" t="s">
        <v>965</v>
      </c>
      <c r="V919" s="170" t="s">
        <v>304</v>
      </c>
      <c r="W919" s="170" t="s">
        <v>1051</v>
      </c>
    </row>
    <row r="920" ht="15.75" customHeight="1" spans="1:23">
      <c r="A920" s="218"/>
      <c r="B920" s="212"/>
      <c r="C920" s="212"/>
      <c r="D920" s="213" t="s">
        <v>102</v>
      </c>
      <c r="E920" s="213" t="s">
        <v>103</v>
      </c>
      <c r="F920" s="194"/>
      <c r="G920" s="194"/>
      <c r="H920" s="19" t="s">
        <v>157</v>
      </c>
      <c r="I920" s="214" t="s">
        <v>188</v>
      </c>
      <c r="J920" s="170" t="s">
        <v>108</v>
      </c>
      <c r="K920" s="195" t="s">
        <v>134</v>
      </c>
      <c r="L920" s="216">
        <v>20</v>
      </c>
      <c r="M920" s="216" t="s">
        <v>98</v>
      </c>
      <c r="N920" s="216" t="s">
        <v>99</v>
      </c>
      <c r="O920" s="212" t="s">
        <v>14</v>
      </c>
      <c r="P920" s="170" t="s">
        <v>963</v>
      </c>
      <c r="Q920" s="170" t="s">
        <v>112</v>
      </c>
      <c r="R920" s="170" t="s">
        <v>113</v>
      </c>
      <c r="S920" s="170" t="s">
        <v>964</v>
      </c>
      <c r="T920" s="170" t="s">
        <v>16</v>
      </c>
      <c r="U920" s="170" t="s">
        <v>965</v>
      </c>
      <c r="V920" s="170" t="s">
        <v>304</v>
      </c>
      <c r="W920" s="170" t="s">
        <v>1052</v>
      </c>
    </row>
    <row r="921" ht="15.75" customHeight="1" spans="1:23">
      <c r="A921" s="218"/>
      <c r="B921" s="212"/>
      <c r="C921" s="212"/>
      <c r="D921" s="213" t="s">
        <v>102</v>
      </c>
      <c r="E921" s="213" t="s">
        <v>103</v>
      </c>
      <c r="F921" s="194"/>
      <c r="G921" s="194"/>
      <c r="H921" s="19" t="s">
        <v>157</v>
      </c>
      <c r="I921" s="220" t="s">
        <v>222</v>
      </c>
      <c r="J921" s="170" t="s">
        <v>108</v>
      </c>
      <c r="K921" s="195" t="s">
        <v>134</v>
      </c>
      <c r="L921" s="216">
        <v>20</v>
      </c>
      <c r="M921" s="216" t="s">
        <v>98</v>
      </c>
      <c r="N921" s="216" t="s">
        <v>99</v>
      </c>
      <c r="O921" s="212" t="s">
        <v>14</v>
      </c>
      <c r="P921" s="170" t="s">
        <v>963</v>
      </c>
      <c r="Q921" s="170" t="s">
        <v>112</v>
      </c>
      <c r="R921" s="170" t="s">
        <v>113</v>
      </c>
      <c r="S921" s="170" t="s">
        <v>964</v>
      </c>
      <c r="T921" s="170" t="s">
        <v>16</v>
      </c>
      <c r="U921" s="170" t="s">
        <v>965</v>
      </c>
      <c r="V921" s="170" t="s">
        <v>304</v>
      </c>
      <c r="W921" s="170" t="s">
        <v>1053</v>
      </c>
    </row>
    <row r="922" ht="25.5" customHeight="1" spans="1:23">
      <c r="A922" s="218"/>
      <c r="B922" s="212"/>
      <c r="C922" s="212"/>
      <c r="D922" s="213" t="s">
        <v>102</v>
      </c>
      <c r="E922" s="213" t="s">
        <v>103</v>
      </c>
      <c r="F922" s="194"/>
      <c r="G922" s="194"/>
      <c r="H922" s="19" t="s">
        <v>218</v>
      </c>
      <c r="I922" s="214" t="s">
        <v>219</v>
      </c>
      <c r="J922" s="170" t="s">
        <v>108</v>
      </c>
      <c r="K922" s="195" t="s">
        <v>88</v>
      </c>
      <c r="L922" s="216">
        <v>20</v>
      </c>
      <c r="M922" s="195" t="s">
        <v>279</v>
      </c>
      <c r="N922" s="195" t="s">
        <v>110</v>
      </c>
      <c r="O922" s="212" t="s">
        <v>14</v>
      </c>
      <c r="P922" s="170" t="s">
        <v>963</v>
      </c>
      <c r="Q922" s="170" t="s">
        <v>112</v>
      </c>
      <c r="R922" s="170" t="s">
        <v>113</v>
      </c>
      <c r="S922" s="170" t="s">
        <v>964</v>
      </c>
      <c r="T922" s="170" t="s">
        <v>16</v>
      </c>
      <c r="U922" s="170" t="s">
        <v>965</v>
      </c>
      <c r="V922" s="170" t="s">
        <v>304</v>
      </c>
      <c r="W922" s="170" t="s">
        <v>1054</v>
      </c>
    </row>
    <row r="923" ht="15.75" customHeight="1" spans="1:23">
      <c r="A923" s="218"/>
      <c r="B923" s="212"/>
      <c r="C923" s="212"/>
      <c r="D923" s="213" t="s">
        <v>102</v>
      </c>
      <c r="E923" s="213" t="s">
        <v>103</v>
      </c>
      <c r="F923" s="194"/>
      <c r="G923" s="194"/>
      <c r="H923" s="21" t="s">
        <v>218</v>
      </c>
      <c r="I923" s="219" t="s">
        <v>291</v>
      </c>
      <c r="J923" s="170" t="s">
        <v>108</v>
      </c>
      <c r="K923" s="195" t="s">
        <v>88</v>
      </c>
      <c r="L923" s="216">
        <v>20</v>
      </c>
      <c r="M923" s="216" t="s">
        <v>98</v>
      </c>
      <c r="N923" s="216" t="s">
        <v>99</v>
      </c>
      <c r="O923" s="212" t="s">
        <v>14</v>
      </c>
      <c r="P923" s="170" t="s">
        <v>963</v>
      </c>
      <c r="Q923" s="170" t="s">
        <v>112</v>
      </c>
      <c r="R923" s="170" t="s">
        <v>113</v>
      </c>
      <c r="S923" s="170" t="s">
        <v>964</v>
      </c>
      <c r="T923" s="170" t="s">
        <v>16</v>
      </c>
      <c r="U923" s="170" t="s">
        <v>965</v>
      </c>
      <c r="V923" s="170" t="s">
        <v>304</v>
      </c>
      <c r="W923" s="170" t="s">
        <v>1055</v>
      </c>
    </row>
    <row r="924" ht="15.75" customHeight="1" spans="1:23">
      <c r="A924" s="218"/>
      <c r="B924" s="212"/>
      <c r="C924" s="212"/>
      <c r="D924" s="213" t="s">
        <v>102</v>
      </c>
      <c r="E924" s="213" t="s">
        <v>103</v>
      </c>
      <c r="F924" s="194"/>
      <c r="G924" s="194"/>
      <c r="H924" s="18" t="s">
        <v>119</v>
      </c>
      <c r="I924" s="214" t="s">
        <v>120</v>
      </c>
      <c r="J924" s="170" t="s">
        <v>108</v>
      </c>
      <c r="K924" s="195" t="s">
        <v>93</v>
      </c>
      <c r="L924" s="216">
        <v>30</v>
      </c>
      <c r="M924" s="216" t="s">
        <v>98</v>
      </c>
      <c r="N924" s="216" t="s">
        <v>99</v>
      </c>
      <c r="O924" s="212" t="s">
        <v>14</v>
      </c>
      <c r="P924" s="170" t="s">
        <v>963</v>
      </c>
      <c r="Q924" s="170" t="s">
        <v>112</v>
      </c>
      <c r="R924" s="170" t="s">
        <v>113</v>
      </c>
      <c r="S924" s="170" t="s">
        <v>964</v>
      </c>
      <c r="T924" s="170" t="s">
        <v>16</v>
      </c>
      <c r="U924" s="170" t="s">
        <v>965</v>
      </c>
      <c r="V924" s="170" t="s">
        <v>304</v>
      </c>
      <c r="W924" s="170" t="s">
        <v>1056</v>
      </c>
    </row>
    <row r="925" ht="15.75" customHeight="1" spans="1:23">
      <c r="A925" s="218"/>
      <c r="B925" s="212"/>
      <c r="C925" s="212"/>
      <c r="D925" s="213" t="s">
        <v>102</v>
      </c>
      <c r="E925" s="213" t="s">
        <v>103</v>
      </c>
      <c r="F925" s="194"/>
      <c r="G925" s="194"/>
      <c r="H925" s="19" t="s">
        <v>119</v>
      </c>
      <c r="I925" s="220" t="s">
        <v>211</v>
      </c>
      <c r="J925" s="170" t="s">
        <v>108</v>
      </c>
      <c r="K925" s="195" t="s">
        <v>93</v>
      </c>
      <c r="L925" s="216">
        <v>15</v>
      </c>
      <c r="M925" s="216" t="s">
        <v>98</v>
      </c>
      <c r="N925" s="216" t="s">
        <v>99</v>
      </c>
      <c r="O925" s="212" t="s">
        <v>14</v>
      </c>
      <c r="P925" s="170" t="s">
        <v>963</v>
      </c>
      <c r="Q925" s="170" t="s">
        <v>112</v>
      </c>
      <c r="R925" s="170" t="s">
        <v>113</v>
      </c>
      <c r="S925" s="170" t="s">
        <v>964</v>
      </c>
      <c r="T925" s="170" t="s">
        <v>16</v>
      </c>
      <c r="U925" s="170" t="s">
        <v>965</v>
      </c>
      <c r="V925" s="170" t="s">
        <v>304</v>
      </c>
      <c r="W925" s="170" t="s">
        <v>1057</v>
      </c>
    </row>
    <row r="926" ht="15.75" customHeight="1" spans="1:23">
      <c r="A926" s="218"/>
      <c r="B926" s="212"/>
      <c r="C926" s="212"/>
      <c r="D926" s="213" t="s">
        <v>102</v>
      </c>
      <c r="E926" s="213" t="s">
        <v>103</v>
      </c>
      <c r="F926" s="194"/>
      <c r="G926" s="194"/>
      <c r="H926" s="19" t="s">
        <v>119</v>
      </c>
      <c r="I926" s="220" t="s">
        <v>212</v>
      </c>
      <c r="J926" s="170" t="s">
        <v>108</v>
      </c>
      <c r="K926" s="195" t="s">
        <v>134</v>
      </c>
      <c r="L926" s="216">
        <v>10</v>
      </c>
      <c r="M926" s="216" t="s">
        <v>98</v>
      </c>
      <c r="N926" s="216" t="s">
        <v>99</v>
      </c>
      <c r="O926" s="212" t="s">
        <v>14</v>
      </c>
      <c r="P926" s="170" t="s">
        <v>963</v>
      </c>
      <c r="Q926" s="170" t="s">
        <v>112</v>
      </c>
      <c r="R926" s="170" t="s">
        <v>113</v>
      </c>
      <c r="S926" s="170" t="s">
        <v>964</v>
      </c>
      <c r="T926" s="170" t="s">
        <v>16</v>
      </c>
      <c r="U926" s="170" t="s">
        <v>965</v>
      </c>
      <c r="V926" s="170" t="s">
        <v>304</v>
      </c>
      <c r="W926" s="170" t="s">
        <v>1058</v>
      </c>
    </row>
    <row r="927" ht="15.75" customHeight="1" spans="1:23">
      <c r="A927" s="218"/>
      <c r="B927" s="212"/>
      <c r="C927" s="212"/>
      <c r="D927" s="213" t="s">
        <v>102</v>
      </c>
      <c r="E927" s="213" t="s">
        <v>103</v>
      </c>
      <c r="F927" s="194"/>
      <c r="G927" s="194"/>
      <c r="H927" s="19" t="s">
        <v>141</v>
      </c>
      <c r="I927" s="214" t="s">
        <v>150</v>
      </c>
      <c r="J927" s="170" t="s">
        <v>108</v>
      </c>
      <c r="K927" s="195" t="s">
        <v>134</v>
      </c>
      <c r="L927" s="216">
        <v>10</v>
      </c>
      <c r="M927" s="216" t="s">
        <v>98</v>
      </c>
      <c r="N927" s="216" t="s">
        <v>99</v>
      </c>
      <c r="O927" s="212" t="s">
        <v>14</v>
      </c>
      <c r="P927" s="170" t="s">
        <v>963</v>
      </c>
      <c r="Q927" s="170" t="s">
        <v>112</v>
      </c>
      <c r="R927" s="170" t="s">
        <v>113</v>
      </c>
      <c r="S927" s="170" t="s">
        <v>964</v>
      </c>
      <c r="T927" s="170" t="s">
        <v>16</v>
      </c>
      <c r="U927" s="170" t="s">
        <v>965</v>
      </c>
      <c r="V927" s="170" t="s">
        <v>304</v>
      </c>
      <c r="W927" s="170" t="s">
        <v>1059</v>
      </c>
    </row>
    <row r="928" ht="15.75" customHeight="1" spans="1:23">
      <c r="A928" s="169" t="s">
        <v>1060</v>
      </c>
      <c r="B928" s="169" t="s">
        <v>1061</v>
      </c>
      <c r="C928" s="169" t="s">
        <v>173</v>
      </c>
      <c r="D928" s="198" t="s">
        <v>102</v>
      </c>
      <c r="E928" s="198" t="s">
        <v>103</v>
      </c>
      <c r="F928" s="199" t="s">
        <v>1062</v>
      </c>
      <c r="G928" s="199" t="s">
        <v>1063</v>
      </c>
      <c r="H928" s="175" t="s">
        <v>85</v>
      </c>
      <c r="I928" s="174" t="s">
        <v>209</v>
      </c>
      <c r="J928" s="170" t="s">
        <v>108</v>
      </c>
      <c r="K928" s="175" t="s">
        <v>88</v>
      </c>
      <c r="L928" s="170">
        <v>8</v>
      </c>
      <c r="M928" s="176" t="s">
        <v>962</v>
      </c>
      <c r="N928" s="175" t="s">
        <v>90</v>
      </c>
      <c r="O928" s="169" t="s">
        <v>14</v>
      </c>
      <c r="P928" s="170" t="s">
        <v>963</v>
      </c>
      <c r="Q928" s="170" t="s">
        <v>112</v>
      </c>
      <c r="R928" s="170" t="s">
        <v>113</v>
      </c>
      <c r="S928" s="170" t="s">
        <v>964</v>
      </c>
      <c r="T928" s="170" t="s">
        <v>16</v>
      </c>
      <c r="U928" s="170" t="s">
        <v>965</v>
      </c>
      <c r="V928" s="170" t="s">
        <v>304</v>
      </c>
      <c r="W928" s="170" t="s">
        <v>1064</v>
      </c>
    </row>
    <row r="929" customHeight="1" spans="1:23">
      <c r="A929" s="177"/>
      <c r="B929" s="177"/>
      <c r="C929" s="177"/>
      <c r="D929" s="201" t="s">
        <v>102</v>
      </c>
      <c r="E929" s="201" t="s">
        <v>103</v>
      </c>
      <c r="F929" s="202"/>
      <c r="G929" s="202"/>
      <c r="H929" s="175"/>
      <c r="I929" s="178" t="s">
        <v>267</v>
      </c>
      <c r="J929" s="170" t="s">
        <v>87</v>
      </c>
      <c r="K929" s="175" t="s">
        <v>93</v>
      </c>
      <c r="L929" s="170">
        <v>4</v>
      </c>
      <c r="M929" s="176" t="s">
        <v>89</v>
      </c>
      <c r="N929" s="175" t="s">
        <v>90</v>
      </c>
      <c r="O929" s="177" t="s">
        <v>14</v>
      </c>
      <c r="P929" s="170" t="s">
        <v>963</v>
      </c>
      <c r="Q929" s="170" t="s">
        <v>112</v>
      </c>
      <c r="R929" s="170" t="s">
        <v>113</v>
      </c>
      <c r="S929" s="170" t="s">
        <v>964</v>
      </c>
      <c r="T929" s="170" t="s">
        <v>16</v>
      </c>
      <c r="U929" s="170" t="s">
        <v>965</v>
      </c>
      <c r="V929" s="170" t="s">
        <v>304</v>
      </c>
      <c r="W929" s="170" t="s">
        <v>1065</v>
      </c>
    </row>
    <row r="930" ht="15.75" customHeight="1" spans="1:23">
      <c r="A930" s="177"/>
      <c r="B930" s="177"/>
      <c r="C930" s="177"/>
      <c r="D930" s="201" t="s">
        <v>102</v>
      </c>
      <c r="E930" s="201" t="s">
        <v>103</v>
      </c>
      <c r="F930" s="202"/>
      <c r="G930" s="202"/>
      <c r="H930" s="172" t="s">
        <v>91</v>
      </c>
      <c r="I930" s="178" t="s">
        <v>475</v>
      </c>
      <c r="J930" s="170" t="s">
        <v>108</v>
      </c>
      <c r="K930" s="175" t="s">
        <v>134</v>
      </c>
      <c r="L930" s="170">
        <v>6</v>
      </c>
      <c r="M930" s="176" t="s">
        <v>962</v>
      </c>
      <c r="N930" s="175" t="s">
        <v>99</v>
      </c>
      <c r="O930" s="177" t="s">
        <v>14</v>
      </c>
      <c r="P930" s="170" t="s">
        <v>963</v>
      </c>
      <c r="Q930" s="170" t="s">
        <v>112</v>
      </c>
      <c r="R930" s="170" t="s">
        <v>113</v>
      </c>
      <c r="S930" s="170" t="s">
        <v>964</v>
      </c>
      <c r="T930" s="170" t="s">
        <v>16</v>
      </c>
      <c r="U930" s="170" t="s">
        <v>965</v>
      </c>
      <c r="V930" s="170" t="s">
        <v>304</v>
      </c>
      <c r="W930" s="170" t="s">
        <v>1066</v>
      </c>
    </row>
    <row r="931" customHeight="1" spans="1:23">
      <c r="A931" s="177"/>
      <c r="B931" s="177"/>
      <c r="C931" s="177"/>
      <c r="D931" s="201" t="s">
        <v>102</v>
      </c>
      <c r="E931" s="201" t="s">
        <v>103</v>
      </c>
      <c r="F931" s="202"/>
      <c r="G931" s="202"/>
      <c r="H931" s="181" t="s">
        <v>132</v>
      </c>
      <c r="I931" s="182" t="s">
        <v>480</v>
      </c>
      <c r="J931" s="170" t="s">
        <v>87</v>
      </c>
      <c r="K931" s="175" t="s">
        <v>134</v>
      </c>
      <c r="L931" s="170">
        <v>2</v>
      </c>
      <c r="M931" s="176" t="s">
        <v>962</v>
      </c>
      <c r="N931" s="175" t="s">
        <v>99</v>
      </c>
      <c r="O931" s="177" t="s">
        <v>14</v>
      </c>
      <c r="P931" s="170" t="s">
        <v>963</v>
      </c>
      <c r="Q931" s="170" t="s">
        <v>112</v>
      </c>
      <c r="R931" s="170" t="s">
        <v>113</v>
      </c>
      <c r="S931" s="170" t="s">
        <v>964</v>
      </c>
      <c r="T931" s="170" t="s">
        <v>16</v>
      </c>
      <c r="U931" s="170" t="s">
        <v>965</v>
      </c>
      <c r="V931" s="170" t="s">
        <v>304</v>
      </c>
      <c r="W931" s="170" t="s">
        <v>1067</v>
      </c>
    </row>
    <row r="932" ht="15.75" customHeight="1" spans="1:23">
      <c r="A932" s="177"/>
      <c r="B932" s="177"/>
      <c r="C932" s="177"/>
      <c r="D932" s="201" t="s">
        <v>102</v>
      </c>
      <c r="E932" s="201" t="s">
        <v>103</v>
      </c>
      <c r="F932" s="202"/>
      <c r="G932" s="202"/>
      <c r="H932" s="172" t="s">
        <v>106</v>
      </c>
      <c r="I932" s="221" t="s">
        <v>107</v>
      </c>
      <c r="J932" s="170" t="s">
        <v>108</v>
      </c>
      <c r="K932" s="175" t="s">
        <v>93</v>
      </c>
      <c r="L932" s="170">
        <v>48</v>
      </c>
      <c r="M932" s="176" t="s">
        <v>98</v>
      </c>
      <c r="N932" s="175" t="s">
        <v>99</v>
      </c>
      <c r="O932" s="177" t="s">
        <v>14</v>
      </c>
      <c r="P932" s="170" t="s">
        <v>963</v>
      </c>
      <c r="Q932" s="170" t="s">
        <v>112</v>
      </c>
      <c r="R932" s="170" t="s">
        <v>113</v>
      </c>
      <c r="S932" s="170" t="s">
        <v>964</v>
      </c>
      <c r="T932" s="170" t="s">
        <v>16</v>
      </c>
      <c r="U932" s="170" t="s">
        <v>965</v>
      </c>
      <c r="V932" s="170" t="s">
        <v>304</v>
      </c>
      <c r="W932" s="170" t="s">
        <v>1068</v>
      </c>
    </row>
    <row r="933" customHeight="1" spans="1:23">
      <c r="A933" s="177"/>
      <c r="B933" s="177"/>
      <c r="C933" s="177"/>
      <c r="D933" s="201" t="s">
        <v>102</v>
      </c>
      <c r="E933" s="201" t="s">
        <v>103</v>
      </c>
      <c r="F933" s="202"/>
      <c r="G933" s="202"/>
      <c r="H933" s="172"/>
      <c r="I933" s="182" t="s">
        <v>196</v>
      </c>
      <c r="J933" s="170" t="s">
        <v>87</v>
      </c>
      <c r="K933" s="175" t="s">
        <v>88</v>
      </c>
      <c r="L933" s="170">
        <v>4</v>
      </c>
      <c r="M933" s="176" t="s">
        <v>98</v>
      </c>
      <c r="N933" s="175" t="s">
        <v>90</v>
      </c>
      <c r="O933" s="177" t="s">
        <v>14</v>
      </c>
      <c r="P933" s="170" t="s">
        <v>963</v>
      </c>
      <c r="Q933" s="170" t="s">
        <v>112</v>
      </c>
      <c r="R933" s="170" t="s">
        <v>113</v>
      </c>
      <c r="S933" s="170" t="s">
        <v>964</v>
      </c>
      <c r="T933" s="170" t="s">
        <v>16</v>
      </c>
      <c r="U933" s="170" t="s">
        <v>965</v>
      </c>
      <c r="V933" s="170" t="s">
        <v>304</v>
      </c>
      <c r="W933" s="170" t="s">
        <v>1069</v>
      </c>
    </row>
    <row r="934" ht="15.75" customHeight="1" spans="1:23">
      <c r="A934" s="177"/>
      <c r="B934" s="177"/>
      <c r="C934" s="177"/>
      <c r="D934" s="201" t="s">
        <v>102</v>
      </c>
      <c r="E934" s="201" t="s">
        <v>103</v>
      </c>
      <c r="F934" s="202"/>
      <c r="G934" s="202"/>
      <c r="H934" s="172" t="s">
        <v>95</v>
      </c>
      <c r="I934" s="182" t="s">
        <v>285</v>
      </c>
      <c r="J934" s="170" t="s">
        <v>108</v>
      </c>
      <c r="K934" s="175" t="s">
        <v>134</v>
      </c>
      <c r="L934" s="170">
        <v>8</v>
      </c>
      <c r="M934" s="176" t="s">
        <v>279</v>
      </c>
      <c r="N934" s="175" t="s">
        <v>99</v>
      </c>
      <c r="O934" s="177" t="s">
        <v>14</v>
      </c>
      <c r="P934" s="170" t="s">
        <v>963</v>
      </c>
      <c r="Q934" s="170" t="s">
        <v>112</v>
      </c>
      <c r="R934" s="170" t="s">
        <v>113</v>
      </c>
      <c r="S934" s="170" t="s">
        <v>964</v>
      </c>
      <c r="T934" s="170" t="s">
        <v>16</v>
      </c>
      <c r="U934" s="170" t="s">
        <v>965</v>
      </c>
      <c r="V934" s="170" t="s">
        <v>304</v>
      </c>
      <c r="W934" s="170" t="s">
        <v>1070</v>
      </c>
    </row>
    <row r="935" ht="15.75" customHeight="1" spans="1:23">
      <c r="A935" s="177"/>
      <c r="B935" s="177"/>
      <c r="C935" s="177"/>
      <c r="D935" s="201" t="s">
        <v>102</v>
      </c>
      <c r="E935" s="201" t="s">
        <v>103</v>
      </c>
      <c r="F935" s="202"/>
      <c r="G935" s="202"/>
      <c r="H935" s="172"/>
      <c r="I935" s="182" t="s">
        <v>176</v>
      </c>
      <c r="J935" s="170" t="s">
        <v>97</v>
      </c>
      <c r="K935" s="175" t="s">
        <v>88</v>
      </c>
      <c r="L935" s="170">
        <v>54</v>
      </c>
      <c r="M935" s="176" t="s">
        <v>279</v>
      </c>
      <c r="N935" s="175" t="s">
        <v>99</v>
      </c>
      <c r="O935" s="177" t="s">
        <v>14</v>
      </c>
      <c r="P935" s="170" t="s">
        <v>963</v>
      </c>
      <c r="Q935" s="170" t="s">
        <v>112</v>
      </c>
      <c r="R935" s="170" t="s">
        <v>113</v>
      </c>
      <c r="S935" s="170" t="s">
        <v>964</v>
      </c>
      <c r="T935" s="170" t="s">
        <v>16</v>
      </c>
      <c r="U935" s="170" t="s">
        <v>965</v>
      </c>
      <c r="V935" s="170" t="s">
        <v>304</v>
      </c>
      <c r="W935" s="170" t="s">
        <v>1071</v>
      </c>
    </row>
    <row r="936" ht="15.75" customHeight="1" spans="1:23">
      <c r="A936" s="177"/>
      <c r="B936" s="177"/>
      <c r="C936" s="177"/>
      <c r="D936" s="201" t="s">
        <v>102</v>
      </c>
      <c r="E936" s="201" t="s">
        <v>103</v>
      </c>
      <c r="F936" s="202"/>
      <c r="G936" s="202"/>
      <c r="H936" s="172"/>
      <c r="I936" s="182" t="s">
        <v>193</v>
      </c>
      <c r="J936" s="170" t="s">
        <v>108</v>
      </c>
      <c r="K936" s="175" t="s">
        <v>88</v>
      </c>
      <c r="L936" s="170">
        <v>4</v>
      </c>
      <c r="M936" s="176" t="s">
        <v>279</v>
      </c>
      <c r="N936" s="175" t="s">
        <v>99</v>
      </c>
      <c r="O936" s="177" t="s">
        <v>14</v>
      </c>
      <c r="P936" s="170" t="s">
        <v>963</v>
      </c>
      <c r="Q936" s="170" t="s">
        <v>112</v>
      </c>
      <c r="R936" s="170" t="s">
        <v>113</v>
      </c>
      <c r="S936" s="170" t="s">
        <v>964</v>
      </c>
      <c r="T936" s="170" t="s">
        <v>16</v>
      </c>
      <c r="U936" s="170" t="s">
        <v>965</v>
      </c>
      <c r="V936" s="170" t="s">
        <v>304</v>
      </c>
      <c r="W936" s="170" t="s">
        <v>1072</v>
      </c>
    </row>
    <row r="937" ht="15.75" customHeight="1" spans="1:23">
      <c r="A937" s="177"/>
      <c r="B937" s="177"/>
      <c r="C937" s="177"/>
      <c r="D937" s="201" t="s">
        <v>102</v>
      </c>
      <c r="E937" s="201" t="s">
        <v>103</v>
      </c>
      <c r="F937" s="202"/>
      <c r="G937" s="202"/>
      <c r="H937" s="172"/>
      <c r="I937" s="182" t="s">
        <v>136</v>
      </c>
      <c r="J937" s="170" t="s">
        <v>108</v>
      </c>
      <c r="K937" s="175" t="s">
        <v>88</v>
      </c>
      <c r="L937" s="170">
        <v>8</v>
      </c>
      <c r="M937" s="176" t="s">
        <v>279</v>
      </c>
      <c r="N937" s="175" t="s">
        <v>99</v>
      </c>
      <c r="O937" s="177" t="s">
        <v>14</v>
      </c>
      <c r="P937" s="170" t="s">
        <v>963</v>
      </c>
      <c r="Q937" s="170" t="s">
        <v>112</v>
      </c>
      <c r="R937" s="170" t="s">
        <v>113</v>
      </c>
      <c r="S937" s="170" t="s">
        <v>964</v>
      </c>
      <c r="T937" s="170" t="s">
        <v>16</v>
      </c>
      <c r="U937" s="170" t="s">
        <v>965</v>
      </c>
      <c r="V937" s="170" t="s">
        <v>304</v>
      </c>
      <c r="W937" s="170" t="s">
        <v>1073</v>
      </c>
    </row>
    <row r="938" ht="28.5" customHeight="1" spans="1:23">
      <c r="A938" s="177"/>
      <c r="B938" s="177"/>
      <c r="C938" s="177"/>
      <c r="D938" s="201" t="s">
        <v>102</v>
      </c>
      <c r="E938" s="201" t="s">
        <v>103</v>
      </c>
      <c r="F938" s="202"/>
      <c r="G938" s="202"/>
      <c r="H938" s="172" t="s">
        <v>218</v>
      </c>
      <c r="I938" s="183" t="s">
        <v>219</v>
      </c>
      <c r="J938" s="170" t="s">
        <v>108</v>
      </c>
      <c r="K938" s="175" t="s">
        <v>134</v>
      </c>
      <c r="L938" s="170">
        <v>6</v>
      </c>
      <c r="M938" s="176" t="s">
        <v>279</v>
      </c>
      <c r="N938" s="175" t="s">
        <v>99</v>
      </c>
      <c r="O938" s="177" t="s">
        <v>14</v>
      </c>
      <c r="P938" s="170" t="s">
        <v>963</v>
      </c>
      <c r="Q938" s="170" t="s">
        <v>112</v>
      </c>
      <c r="R938" s="170" t="s">
        <v>113</v>
      </c>
      <c r="S938" s="170" t="s">
        <v>964</v>
      </c>
      <c r="T938" s="170" t="s">
        <v>16</v>
      </c>
      <c r="U938" s="170" t="s">
        <v>965</v>
      </c>
      <c r="V938" s="170" t="s">
        <v>304</v>
      </c>
      <c r="W938" s="170" t="s">
        <v>1074</v>
      </c>
    </row>
    <row r="939" ht="15.75" customHeight="1" spans="1:23">
      <c r="A939" s="177"/>
      <c r="B939" s="177"/>
      <c r="C939" s="177"/>
      <c r="D939" s="201" t="s">
        <v>102</v>
      </c>
      <c r="E939" s="201" t="s">
        <v>103</v>
      </c>
      <c r="F939" s="202"/>
      <c r="G939" s="202"/>
      <c r="H939" s="172" t="s">
        <v>119</v>
      </c>
      <c r="I939" s="175" t="s">
        <v>211</v>
      </c>
      <c r="J939" s="170" t="s">
        <v>108</v>
      </c>
      <c r="K939" s="175" t="s">
        <v>93</v>
      </c>
      <c r="L939" s="170">
        <v>16</v>
      </c>
      <c r="M939" s="176" t="s">
        <v>279</v>
      </c>
      <c r="N939" s="175" t="s">
        <v>99</v>
      </c>
      <c r="O939" s="177" t="s">
        <v>14</v>
      </c>
      <c r="P939" s="170" t="s">
        <v>963</v>
      </c>
      <c r="Q939" s="170" t="s">
        <v>112</v>
      </c>
      <c r="R939" s="170" t="s">
        <v>113</v>
      </c>
      <c r="S939" s="170" t="s">
        <v>964</v>
      </c>
      <c r="T939" s="170" t="s">
        <v>16</v>
      </c>
      <c r="U939" s="170" t="s">
        <v>965</v>
      </c>
      <c r="V939" s="170" t="s">
        <v>304</v>
      </c>
      <c r="W939" s="170" t="s">
        <v>1075</v>
      </c>
    </row>
    <row r="940" ht="15.75" customHeight="1" spans="1:23">
      <c r="A940" s="184"/>
      <c r="B940" s="184"/>
      <c r="C940" s="184"/>
      <c r="D940" s="222" t="s">
        <v>102</v>
      </c>
      <c r="E940" s="222" t="s">
        <v>103</v>
      </c>
      <c r="F940" s="223"/>
      <c r="G940" s="223"/>
      <c r="H940" s="172" t="s">
        <v>141</v>
      </c>
      <c r="I940" s="175" t="s">
        <v>479</v>
      </c>
      <c r="J940" s="170" t="s">
        <v>97</v>
      </c>
      <c r="K940" s="175" t="s">
        <v>88</v>
      </c>
      <c r="L940" s="224">
        <v>8</v>
      </c>
      <c r="M940" s="176" t="s">
        <v>279</v>
      </c>
      <c r="N940" s="175" t="s">
        <v>99</v>
      </c>
      <c r="O940" s="184" t="s">
        <v>14</v>
      </c>
      <c r="P940" s="170" t="s">
        <v>963</v>
      </c>
      <c r="Q940" s="170" t="s">
        <v>112</v>
      </c>
      <c r="R940" s="170" t="s">
        <v>113</v>
      </c>
      <c r="S940" s="170" t="s">
        <v>964</v>
      </c>
      <c r="T940" s="170" t="s">
        <v>16</v>
      </c>
      <c r="U940" s="170" t="s">
        <v>965</v>
      </c>
      <c r="V940" s="170" t="s">
        <v>304</v>
      </c>
      <c r="W940" s="170" t="s">
        <v>1076</v>
      </c>
    </row>
    <row r="941" ht="15.75" customHeight="1" spans="1:23">
      <c r="A941" s="177" t="s">
        <v>1077</v>
      </c>
      <c r="B941" s="177" t="s">
        <v>1078</v>
      </c>
      <c r="C941" s="177" t="s">
        <v>173</v>
      </c>
      <c r="D941" s="201" t="s">
        <v>102</v>
      </c>
      <c r="E941" s="201" t="s">
        <v>103</v>
      </c>
      <c r="F941" s="202" t="s">
        <v>1079</v>
      </c>
      <c r="G941" s="202" t="s">
        <v>1080</v>
      </c>
      <c r="H941" s="175" t="s">
        <v>85</v>
      </c>
      <c r="I941" s="174" t="s">
        <v>209</v>
      </c>
      <c r="J941" s="170" t="s">
        <v>108</v>
      </c>
      <c r="K941" s="175" t="s">
        <v>88</v>
      </c>
      <c r="L941" s="170">
        <v>2</v>
      </c>
      <c r="M941" s="176" t="s">
        <v>962</v>
      </c>
      <c r="N941" s="175" t="s">
        <v>90</v>
      </c>
      <c r="O941" s="177" t="s">
        <v>14</v>
      </c>
      <c r="P941" s="170" t="s">
        <v>963</v>
      </c>
      <c r="Q941" s="170" t="s">
        <v>112</v>
      </c>
      <c r="R941" s="170" t="s">
        <v>113</v>
      </c>
      <c r="S941" s="170" t="s">
        <v>964</v>
      </c>
      <c r="T941" s="170" t="s">
        <v>16</v>
      </c>
      <c r="U941" s="170" t="s">
        <v>965</v>
      </c>
      <c r="V941" s="170" t="s">
        <v>304</v>
      </c>
      <c r="W941" s="170" t="s">
        <v>1081</v>
      </c>
    </row>
    <row r="942" customHeight="1" spans="1:23">
      <c r="A942" s="177"/>
      <c r="B942" s="177"/>
      <c r="C942" s="177"/>
      <c r="D942" s="201" t="s">
        <v>102</v>
      </c>
      <c r="E942" s="201" t="s">
        <v>103</v>
      </c>
      <c r="F942" s="202"/>
      <c r="G942" s="202"/>
      <c r="H942" s="175"/>
      <c r="I942" s="178" t="s">
        <v>267</v>
      </c>
      <c r="J942" s="170" t="s">
        <v>87</v>
      </c>
      <c r="K942" s="175" t="s">
        <v>93</v>
      </c>
      <c r="L942" s="170">
        <v>2</v>
      </c>
      <c r="M942" s="176" t="s">
        <v>89</v>
      </c>
      <c r="N942" s="175" t="s">
        <v>90</v>
      </c>
      <c r="O942" s="177" t="s">
        <v>14</v>
      </c>
      <c r="P942" s="170" t="s">
        <v>963</v>
      </c>
      <c r="Q942" s="170" t="s">
        <v>112</v>
      </c>
      <c r="R942" s="170" t="s">
        <v>113</v>
      </c>
      <c r="S942" s="170" t="s">
        <v>964</v>
      </c>
      <c r="T942" s="170" t="s">
        <v>16</v>
      </c>
      <c r="U942" s="170" t="s">
        <v>965</v>
      </c>
      <c r="V942" s="170" t="s">
        <v>304</v>
      </c>
      <c r="W942" s="170" t="s">
        <v>1082</v>
      </c>
    </row>
    <row r="943" ht="15.75" customHeight="1" spans="1:23">
      <c r="A943" s="177"/>
      <c r="B943" s="177"/>
      <c r="C943" s="177"/>
      <c r="D943" s="201" t="s">
        <v>102</v>
      </c>
      <c r="E943" s="201" t="s">
        <v>103</v>
      </c>
      <c r="F943" s="202"/>
      <c r="G943" s="202"/>
      <c r="H943" s="172" t="s">
        <v>91</v>
      </c>
      <c r="I943" s="178" t="s">
        <v>475</v>
      </c>
      <c r="J943" s="170" t="s">
        <v>108</v>
      </c>
      <c r="K943" s="175" t="s">
        <v>134</v>
      </c>
      <c r="L943" s="170">
        <v>4</v>
      </c>
      <c r="M943" s="176" t="s">
        <v>962</v>
      </c>
      <c r="N943" s="175" t="s">
        <v>99</v>
      </c>
      <c r="O943" s="177" t="s">
        <v>14</v>
      </c>
      <c r="P943" s="170" t="s">
        <v>963</v>
      </c>
      <c r="Q943" s="170" t="s">
        <v>112</v>
      </c>
      <c r="R943" s="170" t="s">
        <v>113</v>
      </c>
      <c r="S943" s="170" t="s">
        <v>964</v>
      </c>
      <c r="T943" s="170" t="s">
        <v>16</v>
      </c>
      <c r="U943" s="170" t="s">
        <v>965</v>
      </c>
      <c r="V943" s="170" t="s">
        <v>304</v>
      </c>
      <c r="W943" s="170" t="s">
        <v>1083</v>
      </c>
    </row>
    <row r="944" customHeight="1" spans="1:23">
      <c r="A944" s="177"/>
      <c r="B944" s="177"/>
      <c r="C944" s="177"/>
      <c r="D944" s="201" t="s">
        <v>102</v>
      </c>
      <c r="E944" s="201" t="s">
        <v>103</v>
      </c>
      <c r="F944" s="202"/>
      <c r="G944" s="202"/>
      <c r="H944" s="181" t="s">
        <v>132</v>
      </c>
      <c r="I944" s="182" t="s">
        <v>480</v>
      </c>
      <c r="J944" s="170" t="s">
        <v>87</v>
      </c>
      <c r="K944" s="175" t="s">
        <v>134</v>
      </c>
      <c r="L944" s="170">
        <v>1</v>
      </c>
      <c r="M944" s="176" t="s">
        <v>962</v>
      </c>
      <c r="N944" s="175" t="s">
        <v>99</v>
      </c>
      <c r="O944" s="177" t="s">
        <v>14</v>
      </c>
      <c r="P944" s="170" t="s">
        <v>963</v>
      </c>
      <c r="Q944" s="170" t="s">
        <v>112</v>
      </c>
      <c r="R944" s="170" t="s">
        <v>113</v>
      </c>
      <c r="S944" s="170" t="s">
        <v>964</v>
      </c>
      <c r="T944" s="170" t="s">
        <v>16</v>
      </c>
      <c r="U944" s="170" t="s">
        <v>965</v>
      </c>
      <c r="V944" s="170" t="s">
        <v>304</v>
      </c>
      <c r="W944" s="170" t="s">
        <v>1084</v>
      </c>
    </row>
    <row r="945" ht="15.75" customHeight="1" spans="1:23">
      <c r="A945" s="177"/>
      <c r="B945" s="177"/>
      <c r="C945" s="177"/>
      <c r="D945" s="201" t="s">
        <v>102</v>
      </c>
      <c r="E945" s="201" t="s">
        <v>103</v>
      </c>
      <c r="F945" s="202"/>
      <c r="G945" s="202"/>
      <c r="H945" s="172" t="s">
        <v>106</v>
      </c>
      <c r="I945" s="221" t="s">
        <v>107</v>
      </c>
      <c r="J945" s="170" t="s">
        <v>108</v>
      </c>
      <c r="K945" s="175" t="s">
        <v>93</v>
      </c>
      <c r="L945" s="170">
        <v>80</v>
      </c>
      <c r="M945" s="176" t="s">
        <v>98</v>
      </c>
      <c r="N945" s="175" t="s">
        <v>99</v>
      </c>
      <c r="O945" s="177" t="s">
        <v>14</v>
      </c>
      <c r="P945" s="170" t="s">
        <v>963</v>
      </c>
      <c r="Q945" s="170" t="s">
        <v>112</v>
      </c>
      <c r="R945" s="170" t="s">
        <v>113</v>
      </c>
      <c r="S945" s="170" t="s">
        <v>964</v>
      </c>
      <c r="T945" s="170" t="s">
        <v>16</v>
      </c>
      <c r="U945" s="170" t="s">
        <v>965</v>
      </c>
      <c r="V945" s="170" t="s">
        <v>304</v>
      </c>
      <c r="W945" s="170" t="s">
        <v>1085</v>
      </c>
    </row>
    <row r="946" customHeight="1" spans="1:23">
      <c r="A946" s="177"/>
      <c r="B946" s="177"/>
      <c r="C946" s="177"/>
      <c r="D946" s="201" t="s">
        <v>102</v>
      </c>
      <c r="E946" s="201" t="s">
        <v>103</v>
      </c>
      <c r="F946" s="202"/>
      <c r="G946" s="202"/>
      <c r="H946" s="172"/>
      <c r="I946" s="182" t="s">
        <v>196</v>
      </c>
      <c r="J946" s="170" t="s">
        <v>87</v>
      </c>
      <c r="K946" s="175" t="s">
        <v>88</v>
      </c>
      <c r="L946" s="170">
        <v>3</v>
      </c>
      <c r="M946" s="176" t="s">
        <v>98</v>
      </c>
      <c r="N946" s="175" t="s">
        <v>99</v>
      </c>
      <c r="O946" s="177" t="s">
        <v>14</v>
      </c>
      <c r="P946" s="170" t="s">
        <v>963</v>
      </c>
      <c r="Q946" s="170" t="s">
        <v>112</v>
      </c>
      <c r="R946" s="170" t="s">
        <v>113</v>
      </c>
      <c r="S946" s="170" t="s">
        <v>964</v>
      </c>
      <c r="T946" s="170" t="s">
        <v>16</v>
      </c>
      <c r="U946" s="170" t="s">
        <v>965</v>
      </c>
      <c r="V946" s="170" t="s">
        <v>304</v>
      </c>
      <c r="W946" s="170" t="s">
        <v>1086</v>
      </c>
    </row>
    <row r="947" ht="15.75" customHeight="1" spans="1:23">
      <c r="A947" s="177"/>
      <c r="B947" s="177"/>
      <c r="C947" s="177"/>
      <c r="D947" s="201" t="s">
        <v>102</v>
      </c>
      <c r="E947" s="201" t="s">
        <v>103</v>
      </c>
      <c r="F947" s="202"/>
      <c r="G947" s="202"/>
      <c r="H947" s="172" t="s">
        <v>95</v>
      </c>
      <c r="I947" s="182" t="s">
        <v>285</v>
      </c>
      <c r="J947" s="170" t="s">
        <v>108</v>
      </c>
      <c r="K947" s="175" t="s">
        <v>134</v>
      </c>
      <c r="L947" s="170">
        <v>3</v>
      </c>
      <c r="M947" s="176" t="s">
        <v>279</v>
      </c>
      <c r="N947" s="175" t="s">
        <v>99</v>
      </c>
      <c r="O947" s="177" t="s">
        <v>14</v>
      </c>
      <c r="P947" s="170" t="s">
        <v>963</v>
      </c>
      <c r="Q947" s="170" t="s">
        <v>112</v>
      </c>
      <c r="R947" s="170" t="s">
        <v>113</v>
      </c>
      <c r="S947" s="170" t="s">
        <v>964</v>
      </c>
      <c r="T947" s="170" t="s">
        <v>16</v>
      </c>
      <c r="U947" s="170" t="s">
        <v>965</v>
      </c>
      <c r="V947" s="170" t="s">
        <v>304</v>
      </c>
      <c r="W947" s="170" t="s">
        <v>1087</v>
      </c>
    </row>
    <row r="948" ht="15.75" customHeight="1" spans="1:23">
      <c r="A948" s="177"/>
      <c r="B948" s="177"/>
      <c r="C948" s="177"/>
      <c r="D948" s="201" t="s">
        <v>102</v>
      </c>
      <c r="E948" s="201" t="s">
        <v>103</v>
      </c>
      <c r="F948" s="202"/>
      <c r="G948" s="202"/>
      <c r="H948" s="172"/>
      <c r="I948" s="182" t="s">
        <v>176</v>
      </c>
      <c r="J948" s="170" t="s">
        <v>97</v>
      </c>
      <c r="K948" s="175" t="s">
        <v>88</v>
      </c>
      <c r="L948" s="170">
        <v>30</v>
      </c>
      <c r="M948" s="176" t="s">
        <v>279</v>
      </c>
      <c r="N948" s="175" t="s">
        <v>99</v>
      </c>
      <c r="O948" s="177" t="s">
        <v>14</v>
      </c>
      <c r="P948" s="170" t="s">
        <v>963</v>
      </c>
      <c r="Q948" s="170" t="s">
        <v>112</v>
      </c>
      <c r="R948" s="170" t="s">
        <v>113</v>
      </c>
      <c r="S948" s="170" t="s">
        <v>964</v>
      </c>
      <c r="T948" s="170" t="s">
        <v>16</v>
      </c>
      <c r="U948" s="170" t="s">
        <v>965</v>
      </c>
      <c r="V948" s="170" t="s">
        <v>304</v>
      </c>
      <c r="W948" s="170" t="s">
        <v>1088</v>
      </c>
    </row>
    <row r="949" ht="15.75" customHeight="1" spans="1:23">
      <c r="A949" s="177"/>
      <c r="B949" s="177"/>
      <c r="C949" s="177"/>
      <c r="D949" s="201" t="s">
        <v>102</v>
      </c>
      <c r="E949" s="201" t="s">
        <v>103</v>
      </c>
      <c r="F949" s="202"/>
      <c r="G949" s="202"/>
      <c r="H949" s="172"/>
      <c r="I949" s="182" t="s">
        <v>193</v>
      </c>
      <c r="J949" s="170" t="s">
        <v>108</v>
      </c>
      <c r="K949" s="175" t="s">
        <v>88</v>
      </c>
      <c r="L949" s="170">
        <v>8</v>
      </c>
      <c r="M949" s="176" t="s">
        <v>279</v>
      </c>
      <c r="N949" s="175" t="s">
        <v>99</v>
      </c>
      <c r="O949" s="177" t="s">
        <v>14</v>
      </c>
      <c r="P949" s="170" t="s">
        <v>963</v>
      </c>
      <c r="Q949" s="170" t="s">
        <v>112</v>
      </c>
      <c r="R949" s="170" t="s">
        <v>113</v>
      </c>
      <c r="S949" s="170" t="s">
        <v>964</v>
      </c>
      <c r="T949" s="170" t="s">
        <v>16</v>
      </c>
      <c r="U949" s="170" t="s">
        <v>965</v>
      </c>
      <c r="V949" s="170" t="s">
        <v>304</v>
      </c>
      <c r="W949" s="170" t="s">
        <v>1089</v>
      </c>
    </row>
    <row r="950" ht="15.75" customHeight="1" spans="1:23">
      <c r="A950" s="177"/>
      <c r="B950" s="177"/>
      <c r="C950" s="177"/>
      <c r="D950" s="201" t="s">
        <v>102</v>
      </c>
      <c r="E950" s="201" t="s">
        <v>103</v>
      </c>
      <c r="F950" s="202"/>
      <c r="G950" s="202"/>
      <c r="H950" s="172"/>
      <c r="I950" s="182" t="s">
        <v>136</v>
      </c>
      <c r="J950" s="170" t="s">
        <v>108</v>
      </c>
      <c r="K950" s="175" t="s">
        <v>88</v>
      </c>
      <c r="L950" s="170">
        <v>30</v>
      </c>
      <c r="M950" s="176" t="s">
        <v>279</v>
      </c>
      <c r="N950" s="175" t="s">
        <v>99</v>
      </c>
      <c r="O950" s="177" t="s">
        <v>14</v>
      </c>
      <c r="P950" s="170" t="s">
        <v>963</v>
      </c>
      <c r="Q950" s="170" t="s">
        <v>112</v>
      </c>
      <c r="R950" s="170" t="s">
        <v>113</v>
      </c>
      <c r="S950" s="170" t="s">
        <v>964</v>
      </c>
      <c r="T950" s="170" t="s">
        <v>16</v>
      </c>
      <c r="U950" s="170" t="s">
        <v>965</v>
      </c>
      <c r="V950" s="170" t="s">
        <v>304</v>
      </c>
      <c r="W950" s="170" t="s">
        <v>1090</v>
      </c>
    </row>
    <row r="951" ht="28.5" customHeight="1" spans="1:23">
      <c r="A951" s="177"/>
      <c r="B951" s="177"/>
      <c r="C951" s="177"/>
      <c r="D951" s="201" t="s">
        <v>102</v>
      </c>
      <c r="E951" s="201" t="s">
        <v>103</v>
      </c>
      <c r="F951" s="202"/>
      <c r="G951" s="202"/>
      <c r="H951" s="172" t="s">
        <v>218</v>
      </c>
      <c r="I951" s="183" t="s">
        <v>219</v>
      </c>
      <c r="J951" s="170" t="s">
        <v>108</v>
      </c>
      <c r="K951" s="175" t="s">
        <v>134</v>
      </c>
      <c r="L951" s="170">
        <v>3</v>
      </c>
      <c r="M951" s="176" t="s">
        <v>279</v>
      </c>
      <c r="N951" s="175" t="s">
        <v>99</v>
      </c>
      <c r="O951" s="177" t="s">
        <v>14</v>
      </c>
      <c r="P951" s="170" t="s">
        <v>963</v>
      </c>
      <c r="Q951" s="170" t="s">
        <v>112</v>
      </c>
      <c r="R951" s="170" t="s">
        <v>113</v>
      </c>
      <c r="S951" s="170" t="s">
        <v>964</v>
      </c>
      <c r="T951" s="170" t="s">
        <v>16</v>
      </c>
      <c r="U951" s="170" t="s">
        <v>965</v>
      </c>
      <c r="V951" s="170" t="s">
        <v>304</v>
      </c>
      <c r="W951" s="170" t="s">
        <v>1091</v>
      </c>
    </row>
    <row r="952" ht="15.75" customHeight="1" spans="1:23">
      <c r="A952" s="177"/>
      <c r="B952" s="177"/>
      <c r="C952" s="177"/>
      <c r="D952" s="201" t="s">
        <v>102</v>
      </c>
      <c r="E952" s="201" t="s">
        <v>103</v>
      </c>
      <c r="F952" s="202"/>
      <c r="G952" s="202"/>
      <c r="H952" s="172" t="s">
        <v>119</v>
      </c>
      <c r="I952" s="175" t="s">
        <v>211</v>
      </c>
      <c r="J952" s="170" t="s">
        <v>108</v>
      </c>
      <c r="K952" s="175" t="s">
        <v>93</v>
      </c>
      <c r="L952" s="170">
        <v>2</v>
      </c>
      <c r="M952" s="176" t="s">
        <v>279</v>
      </c>
      <c r="N952" s="175" t="s">
        <v>99</v>
      </c>
      <c r="O952" s="177" t="s">
        <v>14</v>
      </c>
      <c r="P952" s="170" t="s">
        <v>963</v>
      </c>
      <c r="Q952" s="170" t="s">
        <v>112</v>
      </c>
      <c r="R952" s="170" t="s">
        <v>113</v>
      </c>
      <c r="S952" s="170" t="s">
        <v>964</v>
      </c>
      <c r="T952" s="170" t="s">
        <v>16</v>
      </c>
      <c r="U952" s="170" t="s">
        <v>965</v>
      </c>
      <c r="V952" s="170" t="s">
        <v>304</v>
      </c>
      <c r="W952" s="170" t="s">
        <v>1092</v>
      </c>
    </row>
    <row r="953" ht="15.75" customHeight="1" spans="1:23">
      <c r="A953" s="184"/>
      <c r="B953" s="184"/>
      <c r="C953" s="184"/>
      <c r="D953" s="222" t="s">
        <v>102</v>
      </c>
      <c r="E953" s="222" t="s">
        <v>103</v>
      </c>
      <c r="F953" s="223"/>
      <c r="G953" s="223"/>
      <c r="H953" s="172" t="s">
        <v>141</v>
      </c>
      <c r="I953" s="175" t="s">
        <v>479</v>
      </c>
      <c r="J953" s="170" t="s">
        <v>97</v>
      </c>
      <c r="K953" s="175" t="s">
        <v>88</v>
      </c>
      <c r="L953" s="224">
        <v>8</v>
      </c>
      <c r="M953" s="176" t="s">
        <v>279</v>
      </c>
      <c r="N953" s="175" t="s">
        <v>99</v>
      </c>
      <c r="O953" s="184" t="s">
        <v>14</v>
      </c>
      <c r="P953" s="170" t="s">
        <v>963</v>
      </c>
      <c r="Q953" s="170" t="s">
        <v>112</v>
      </c>
      <c r="R953" s="170" t="s">
        <v>113</v>
      </c>
      <c r="S953" s="170" t="s">
        <v>964</v>
      </c>
      <c r="T953" s="170" t="s">
        <v>16</v>
      </c>
      <c r="U953" s="170" t="s">
        <v>965</v>
      </c>
      <c r="V953" s="170" t="s">
        <v>304</v>
      </c>
      <c r="W953" s="170" t="s">
        <v>1093</v>
      </c>
    </row>
    <row r="954" ht="15.75" customHeight="1" spans="1:23">
      <c r="A954" s="185" t="s">
        <v>1094</v>
      </c>
      <c r="B954" s="185" t="s">
        <v>1095</v>
      </c>
      <c r="C954" s="185" t="s">
        <v>173</v>
      </c>
      <c r="D954" s="186" t="s">
        <v>102</v>
      </c>
      <c r="E954" s="186" t="s">
        <v>103</v>
      </c>
      <c r="F954" s="180" t="s">
        <v>1096</v>
      </c>
      <c r="G954" s="180" t="s">
        <v>961</v>
      </c>
      <c r="H954" s="11" t="s">
        <v>91</v>
      </c>
      <c r="I954" s="219" t="s">
        <v>475</v>
      </c>
      <c r="J954" s="170" t="s">
        <v>108</v>
      </c>
      <c r="K954" s="175" t="s">
        <v>88</v>
      </c>
      <c r="L954" s="183">
        <v>2</v>
      </c>
      <c r="M954" s="194" t="s">
        <v>98</v>
      </c>
      <c r="N954" s="175" t="s">
        <v>99</v>
      </c>
      <c r="O954" s="185" t="s">
        <v>14</v>
      </c>
      <c r="P954" s="170" t="s">
        <v>963</v>
      </c>
      <c r="Q954" s="170" t="s">
        <v>112</v>
      </c>
      <c r="R954" s="170" t="s">
        <v>113</v>
      </c>
      <c r="S954" s="170" t="s">
        <v>964</v>
      </c>
      <c r="T954" s="170" t="s">
        <v>16</v>
      </c>
      <c r="U954" s="170" t="s">
        <v>965</v>
      </c>
      <c r="V954" s="170" t="s">
        <v>304</v>
      </c>
      <c r="W954" s="170" t="s">
        <v>1097</v>
      </c>
    </row>
    <row r="955" customHeight="1" spans="1:23">
      <c r="A955" s="185"/>
      <c r="B955" s="185"/>
      <c r="C955" s="185"/>
      <c r="D955" s="186" t="s">
        <v>102</v>
      </c>
      <c r="E955" s="186" t="s">
        <v>103</v>
      </c>
      <c r="F955" s="180"/>
      <c r="G955" s="180"/>
      <c r="H955" s="225" t="s">
        <v>132</v>
      </c>
      <c r="I955" s="226" t="s">
        <v>480</v>
      </c>
      <c r="J955" s="170" t="s">
        <v>87</v>
      </c>
      <c r="K955" s="175" t="s">
        <v>88</v>
      </c>
      <c r="L955" s="183">
        <v>5</v>
      </c>
      <c r="M955" s="180" t="s">
        <v>1098</v>
      </c>
      <c r="N955" s="175" t="s">
        <v>90</v>
      </c>
      <c r="O955" s="185" t="s">
        <v>14</v>
      </c>
      <c r="P955" s="170" t="s">
        <v>963</v>
      </c>
      <c r="Q955" s="170" t="s">
        <v>112</v>
      </c>
      <c r="R955" s="170" t="s">
        <v>113</v>
      </c>
      <c r="S955" s="170" t="s">
        <v>964</v>
      </c>
      <c r="T955" s="170" t="s">
        <v>16</v>
      </c>
      <c r="U955" s="170" t="s">
        <v>965</v>
      </c>
      <c r="V955" s="170" t="s">
        <v>304</v>
      </c>
      <c r="W955" s="170" t="s">
        <v>1099</v>
      </c>
    </row>
    <row r="956" customHeight="1" spans="1:23">
      <c r="A956" s="185"/>
      <c r="B956" s="185"/>
      <c r="C956" s="185"/>
      <c r="D956" s="186" t="s">
        <v>102</v>
      </c>
      <c r="E956" s="186" t="s">
        <v>103</v>
      </c>
      <c r="F956" s="180"/>
      <c r="G956" s="180"/>
      <c r="H956" s="21" t="s">
        <v>106</v>
      </c>
      <c r="I956" s="227" t="s">
        <v>281</v>
      </c>
      <c r="J956" s="170" t="s">
        <v>87</v>
      </c>
      <c r="K956" s="175" t="s">
        <v>93</v>
      </c>
      <c r="L956" s="183">
        <v>35</v>
      </c>
      <c r="M956" s="194" t="s">
        <v>98</v>
      </c>
      <c r="N956" s="175" t="s">
        <v>99</v>
      </c>
      <c r="O956" s="185" t="s">
        <v>14</v>
      </c>
      <c r="P956" s="170" t="s">
        <v>963</v>
      </c>
      <c r="Q956" s="170" t="s">
        <v>112</v>
      </c>
      <c r="R956" s="170" t="s">
        <v>113</v>
      </c>
      <c r="S956" s="170" t="s">
        <v>964</v>
      </c>
      <c r="T956" s="170" t="s">
        <v>16</v>
      </c>
      <c r="U956" s="170" t="s">
        <v>965</v>
      </c>
      <c r="V956" s="170" t="s">
        <v>304</v>
      </c>
      <c r="W956" s="170" t="s">
        <v>1100</v>
      </c>
    </row>
    <row r="957" customHeight="1" spans="1:23">
      <c r="A957" s="185"/>
      <c r="B957" s="185"/>
      <c r="C957" s="185"/>
      <c r="D957" s="186" t="s">
        <v>102</v>
      </c>
      <c r="E957" s="186" t="s">
        <v>103</v>
      </c>
      <c r="F957" s="180"/>
      <c r="G957" s="180"/>
      <c r="H957" s="21"/>
      <c r="I957" s="227" t="s">
        <v>196</v>
      </c>
      <c r="J957" s="170" t="s">
        <v>87</v>
      </c>
      <c r="K957" s="175" t="s">
        <v>88</v>
      </c>
      <c r="L957" s="183">
        <v>2</v>
      </c>
      <c r="M957" s="194" t="s">
        <v>98</v>
      </c>
      <c r="N957" s="175" t="s">
        <v>99</v>
      </c>
      <c r="O957" s="185" t="s">
        <v>14</v>
      </c>
      <c r="P957" s="170" t="s">
        <v>963</v>
      </c>
      <c r="Q957" s="170" t="s">
        <v>112</v>
      </c>
      <c r="R957" s="170" t="s">
        <v>113</v>
      </c>
      <c r="S957" s="170" t="s">
        <v>964</v>
      </c>
      <c r="T957" s="170" t="s">
        <v>16</v>
      </c>
      <c r="U957" s="170" t="s">
        <v>965</v>
      </c>
      <c r="V957" s="170" t="s">
        <v>304</v>
      </c>
      <c r="W957" s="170" t="s">
        <v>1101</v>
      </c>
    </row>
    <row r="958" ht="15.75" customHeight="1" spans="1:23">
      <c r="A958" s="185"/>
      <c r="B958" s="185"/>
      <c r="C958" s="185"/>
      <c r="D958" s="186" t="s">
        <v>102</v>
      </c>
      <c r="E958" s="186" t="s">
        <v>103</v>
      </c>
      <c r="F958" s="180"/>
      <c r="G958" s="180"/>
      <c r="H958" s="21" t="s">
        <v>95</v>
      </c>
      <c r="I958" s="227" t="s">
        <v>285</v>
      </c>
      <c r="J958" s="170" t="s">
        <v>108</v>
      </c>
      <c r="K958" s="175" t="s">
        <v>93</v>
      </c>
      <c r="L958" s="183">
        <v>25</v>
      </c>
      <c r="M958" s="194" t="s">
        <v>98</v>
      </c>
      <c r="N958" s="175" t="s">
        <v>99</v>
      </c>
      <c r="O958" s="185" t="s">
        <v>14</v>
      </c>
      <c r="P958" s="170" t="s">
        <v>963</v>
      </c>
      <c r="Q958" s="170" t="s">
        <v>112</v>
      </c>
      <c r="R958" s="170" t="s">
        <v>113</v>
      </c>
      <c r="S958" s="170" t="s">
        <v>964</v>
      </c>
      <c r="T958" s="170" t="s">
        <v>16</v>
      </c>
      <c r="U958" s="170" t="s">
        <v>965</v>
      </c>
      <c r="V958" s="170" t="s">
        <v>304</v>
      </c>
      <c r="W958" s="170" t="s">
        <v>1102</v>
      </c>
    </row>
    <row r="959" ht="15.75" customHeight="1" spans="1:23">
      <c r="A959" s="185"/>
      <c r="B959" s="185"/>
      <c r="C959" s="185"/>
      <c r="D959" s="186" t="s">
        <v>102</v>
      </c>
      <c r="E959" s="186" t="s">
        <v>103</v>
      </c>
      <c r="F959" s="180"/>
      <c r="G959" s="180"/>
      <c r="H959" s="21"/>
      <c r="I959" s="220" t="s">
        <v>176</v>
      </c>
      <c r="J959" s="170" t="s">
        <v>97</v>
      </c>
      <c r="K959" s="175" t="s">
        <v>93</v>
      </c>
      <c r="L959" s="183">
        <v>30</v>
      </c>
      <c r="M959" s="194" t="s">
        <v>98</v>
      </c>
      <c r="N959" s="175" t="s">
        <v>99</v>
      </c>
      <c r="O959" s="185" t="s">
        <v>14</v>
      </c>
      <c r="P959" s="170" t="s">
        <v>963</v>
      </c>
      <c r="Q959" s="170" t="s">
        <v>112</v>
      </c>
      <c r="R959" s="170" t="s">
        <v>113</v>
      </c>
      <c r="S959" s="170" t="s">
        <v>964</v>
      </c>
      <c r="T959" s="170" t="s">
        <v>16</v>
      </c>
      <c r="U959" s="170" t="s">
        <v>965</v>
      </c>
      <c r="V959" s="170" t="s">
        <v>304</v>
      </c>
      <c r="W959" s="170" t="s">
        <v>1103</v>
      </c>
    </row>
    <row r="960" ht="15.75" customHeight="1" spans="1:23">
      <c r="A960" s="185"/>
      <c r="B960" s="185"/>
      <c r="C960" s="185"/>
      <c r="D960" s="186" t="s">
        <v>102</v>
      </c>
      <c r="E960" s="186" t="s">
        <v>103</v>
      </c>
      <c r="F960" s="180"/>
      <c r="G960" s="180"/>
      <c r="H960" s="21"/>
      <c r="I960" s="220" t="s">
        <v>193</v>
      </c>
      <c r="J960" s="170" t="s">
        <v>108</v>
      </c>
      <c r="K960" s="175" t="s">
        <v>88</v>
      </c>
      <c r="L960" s="183">
        <v>3</v>
      </c>
      <c r="M960" s="194" t="s">
        <v>98</v>
      </c>
      <c r="N960" s="175" t="s">
        <v>99</v>
      </c>
      <c r="O960" s="185" t="s">
        <v>14</v>
      </c>
      <c r="P960" s="170" t="s">
        <v>963</v>
      </c>
      <c r="Q960" s="170" t="s">
        <v>112</v>
      </c>
      <c r="R960" s="170" t="s">
        <v>113</v>
      </c>
      <c r="S960" s="170" t="s">
        <v>964</v>
      </c>
      <c r="T960" s="170" t="s">
        <v>16</v>
      </c>
      <c r="U960" s="170" t="s">
        <v>965</v>
      </c>
      <c r="V960" s="170" t="s">
        <v>304</v>
      </c>
      <c r="W960" s="170" t="s">
        <v>1104</v>
      </c>
    </row>
    <row r="961" ht="15.75" customHeight="1" spans="1:23">
      <c r="A961" s="185"/>
      <c r="B961" s="185"/>
      <c r="C961" s="185"/>
      <c r="D961" s="186" t="s">
        <v>102</v>
      </c>
      <c r="E961" s="186" t="s">
        <v>103</v>
      </c>
      <c r="F961" s="180"/>
      <c r="G961" s="180"/>
      <c r="H961" s="21"/>
      <c r="I961" s="220" t="s">
        <v>136</v>
      </c>
      <c r="J961" s="170" t="s">
        <v>108</v>
      </c>
      <c r="K961" s="175" t="s">
        <v>93</v>
      </c>
      <c r="L961" s="183">
        <v>70</v>
      </c>
      <c r="M961" s="180" t="s">
        <v>279</v>
      </c>
      <c r="N961" s="175" t="s">
        <v>99</v>
      </c>
      <c r="O961" s="185" t="s">
        <v>14</v>
      </c>
      <c r="P961" s="170" t="s">
        <v>963</v>
      </c>
      <c r="Q961" s="170" t="s">
        <v>112</v>
      </c>
      <c r="R961" s="170" t="s">
        <v>113</v>
      </c>
      <c r="S961" s="170" t="s">
        <v>964</v>
      </c>
      <c r="T961" s="170" t="s">
        <v>16</v>
      </c>
      <c r="U961" s="170" t="s">
        <v>965</v>
      </c>
      <c r="V961" s="170" t="s">
        <v>304</v>
      </c>
      <c r="W961" s="170" t="s">
        <v>1105</v>
      </c>
    </row>
    <row r="962" ht="15.75" customHeight="1" spans="1:23">
      <c r="A962" s="185"/>
      <c r="B962" s="185"/>
      <c r="C962" s="185"/>
      <c r="D962" s="186" t="s">
        <v>102</v>
      </c>
      <c r="E962" s="186" t="s">
        <v>103</v>
      </c>
      <c r="F962" s="180"/>
      <c r="G962" s="180"/>
      <c r="H962" s="19" t="s">
        <v>218</v>
      </c>
      <c r="I962" s="220" t="s">
        <v>219</v>
      </c>
      <c r="J962" s="170" t="s">
        <v>108</v>
      </c>
      <c r="K962" s="175" t="s">
        <v>88</v>
      </c>
      <c r="L962" s="183">
        <v>4</v>
      </c>
      <c r="M962" s="180" t="s">
        <v>279</v>
      </c>
      <c r="N962" s="175" t="s">
        <v>99</v>
      </c>
      <c r="O962" s="185" t="s">
        <v>14</v>
      </c>
      <c r="P962" s="170" t="s">
        <v>963</v>
      </c>
      <c r="Q962" s="170" t="s">
        <v>112</v>
      </c>
      <c r="R962" s="170" t="s">
        <v>113</v>
      </c>
      <c r="S962" s="170" t="s">
        <v>964</v>
      </c>
      <c r="T962" s="170" t="s">
        <v>16</v>
      </c>
      <c r="U962" s="170" t="s">
        <v>965</v>
      </c>
      <c r="V962" s="170" t="s">
        <v>304</v>
      </c>
      <c r="W962" s="170" t="s">
        <v>1106</v>
      </c>
    </row>
    <row r="963" ht="15.75" customHeight="1" spans="1:23">
      <c r="A963" s="185" t="s">
        <v>1107</v>
      </c>
      <c r="B963" s="185" t="s">
        <v>1108</v>
      </c>
      <c r="C963" s="185" t="s">
        <v>173</v>
      </c>
      <c r="D963" s="186" t="s">
        <v>102</v>
      </c>
      <c r="E963" s="186" t="s">
        <v>103</v>
      </c>
      <c r="F963" s="180" t="s">
        <v>1109</v>
      </c>
      <c r="G963" s="185" t="s">
        <v>1110</v>
      </c>
      <c r="H963" s="173" t="s">
        <v>85</v>
      </c>
      <c r="I963" s="220" t="s">
        <v>209</v>
      </c>
      <c r="J963" s="170" t="s">
        <v>108</v>
      </c>
      <c r="K963" s="175" t="s">
        <v>93</v>
      </c>
      <c r="L963" s="180">
        <v>10</v>
      </c>
      <c r="M963" s="180" t="s">
        <v>279</v>
      </c>
      <c r="N963" s="175" t="s">
        <v>99</v>
      </c>
      <c r="O963" s="185" t="s">
        <v>14</v>
      </c>
      <c r="P963" s="170" t="s">
        <v>963</v>
      </c>
      <c r="Q963" s="170" t="s">
        <v>112</v>
      </c>
      <c r="R963" s="170" t="s">
        <v>113</v>
      </c>
      <c r="S963" s="170" t="s">
        <v>964</v>
      </c>
      <c r="T963" s="170" t="s">
        <v>16</v>
      </c>
      <c r="U963" s="170" t="s">
        <v>965</v>
      </c>
      <c r="V963" s="170" t="s">
        <v>304</v>
      </c>
      <c r="W963" s="170" t="s">
        <v>1111</v>
      </c>
    </row>
    <row r="964" ht="15.75" customHeight="1" spans="1:23">
      <c r="A964" s="185"/>
      <c r="B964" s="185"/>
      <c r="C964" s="185"/>
      <c r="D964" s="186" t="s">
        <v>102</v>
      </c>
      <c r="E964" s="186" t="s">
        <v>103</v>
      </c>
      <c r="F964" s="180"/>
      <c r="G964" s="185"/>
      <c r="H964" s="173" t="s">
        <v>91</v>
      </c>
      <c r="I964" s="220" t="s">
        <v>475</v>
      </c>
      <c r="J964" s="170" t="s">
        <v>108</v>
      </c>
      <c r="K964" s="175" t="s">
        <v>93</v>
      </c>
      <c r="L964" s="180">
        <v>5</v>
      </c>
      <c r="M964" s="194" t="s">
        <v>279</v>
      </c>
      <c r="N964" s="175" t="s">
        <v>90</v>
      </c>
      <c r="O964" s="185" t="s">
        <v>14</v>
      </c>
      <c r="P964" s="170" t="s">
        <v>963</v>
      </c>
      <c r="Q964" s="170" t="s">
        <v>112</v>
      </c>
      <c r="R964" s="170" t="s">
        <v>113</v>
      </c>
      <c r="S964" s="170" t="s">
        <v>964</v>
      </c>
      <c r="T964" s="170" t="s">
        <v>16</v>
      </c>
      <c r="U964" s="170" t="s">
        <v>965</v>
      </c>
      <c r="V964" s="170" t="s">
        <v>304</v>
      </c>
      <c r="W964" s="170" t="s">
        <v>1112</v>
      </c>
    </row>
    <row r="965" customHeight="1" spans="1:23">
      <c r="A965" s="185"/>
      <c r="B965" s="185"/>
      <c r="C965" s="185"/>
      <c r="D965" s="186" t="s">
        <v>102</v>
      </c>
      <c r="E965" s="186" t="s">
        <v>103</v>
      </c>
      <c r="F965" s="180"/>
      <c r="G965" s="180"/>
      <c r="H965" s="173" t="s">
        <v>106</v>
      </c>
      <c r="I965" s="220" t="s">
        <v>281</v>
      </c>
      <c r="J965" s="170" t="s">
        <v>87</v>
      </c>
      <c r="K965" s="175" t="s">
        <v>93</v>
      </c>
      <c r="L965" s="180">
        <v>30</v>
      </c>
      <c r="M965" s="194" t="s">
        <v>98</v>
      </c>
      <c r="N965" s="175" t="s">
        <v>99</v>
      </c>
      <c r="O965" s="185" t="s">
        <v>14</v>
      </c>
      <c r="P965" s="170" t="s">
        <v>963</v>
      </c>
      <c r="Q965" s="170" t="s">
        <v>112</v>
      </c>
      <c r="R965" s="170" t="s">
        <v>113</v>
      </c>
      <c r="S965" s="170" t="s">
        <v>964</v>
      </c>
      <c r="T965" s="170" t="s">
        <v>16</v>
      </c>
      <c r="U965" s="170" t="s">
        <v>965</v>
      </c>
      <c r="V965" s="170" t="s">
        <v>304</v>
      </c>
      <c r="W965" s="170" t="s">
        <v>1113</v>
      </c>
    </row>
    <row r="966" customHeight="1" spans="1:23">
      <c r="A966" s="185"/>
      <c r="B966" s="185"/>
      <c r="C966" s="185"/>
      <c r="D966" s="186" t="s">
        <v>102</v>
      </c>
      <c r="E966" s="186" t="s">
        <v>103</v>
      </c>
      <c r="F966" s="180"/>
      <c r="G966" s="180"/>
      <c r="H966" s="173" t="s">
        <v>106</v>
      </c>
      <c r="I966" s="220" t="s">
        <v>196</v>
      </c>
      <c r="J966" s="170" t="s">
        <v>87</v>
      </c>
      <c r="K966" s="175" t="s">
        <v>93</v>
      </c>
      <c r="L966" s="180">
        <v>15</v>
      </c>
      <c r="M966" s="188" t="s">
        <v>98</v>
      </c>
      <c r="N966" s="175" t="s">
        <v>99</v>
      </c>
      <c r="O966" s="185" t="s">
        <v>14</v>
      </c>
      <c r="P966" s="170" t="s">
        <v>963</v>
      </c>
      <c r="Q966" s="170" t="s">
        <v>112</v>
      </c>
      <c r="R966" s="170" t="s">
        <v>113</v>
      </c>
      <c r="S966" s="170" t="s">
        <v>964</v>
      </c>
      <c r="T966" s="170" t="s">
        <v>16</v>
      </c>
      <c r="U966" s="170" t="s">
        <v>965</v>
      </c>
      <c r="V966" s="170" t="s">
        <v>304</v>
      </c>
      <c r="W966" s="170" t="s">
        <v>1114</v>
      </c>
    </row>
    <row r="967" ht="15.75" customHeight="1" spans="1:23">
      <c r="A967" s="185"/>
      <c r="B967" s="185"/>
      <c r="C967" s="185"/>
      <c r="D967" s="186" t="s">
        <v>102</v>
      </c>
      <c r="E967" s="186" t="s">
        <v>103</v>
      </c>
      <c r="F967" s="180"/>
      <c r="G967" s="185"/>
      <c r="H967" s="173" t="s">
        <v>95</v>
      </c>
      <c r="I967" s="220" t="s">
        <v>285</v>
      </c>
      <c r="J967" s="170" t="s">
        <v>108</v>
      </c>
      <c r="K967" s="173" t="s">
        <v>134</v>
      </c>
      <c r="L967" s="180">
        <v>10</v>
      </c>
      <c r="M967" s="188" t="s">
        <v>98</v>
      </c>
      <c r="N967" s="175" t="s">
        <v>99</v>
      </c>
      <c r="O967" s="185" t="s">
        <v>14</v>
      </c>
      <c r="P967" s="170" t="s">
        <v>963</v>
      </c>
      <c r="Q967" s="170" t="s">
        <v>112</v>
      </c>
      <c r="R967" s="170" t="s">
        <v>113</v>
      </c>
      <c r="S967" s="170" t="s">
        <v>964</v>
      </c>
      <c r="T967" s="170" t="s">
        <v>16</v>
      </c>
      <c r="U967" s="170" t="s">
        <v>965</v>
      </c>
      <c r="V967" s="170" t="s">
        <v>304</v>
      </c>
      <c r="W967" s="170" t="s">
        <v>1115</v>
      </c>
    </row>
    <row r="968" ht="15.75" customHeight="1" spans="1:23">
      <c r="A968" s="185"/>
      <c r="B968" s="185"/>
      <c r="C968" s="185"/>
      <c r="D968" s="186" t="s">
        <v>102</v>
      </c>
      <c r="E968" s="186" t="s">
        <v>103</v>
      </c>
      <c r="F968" s="180"/>
      <c r="G968" s="185"/>
      <c r="H968" s="173" t="s">
        <v>95</v>
      </c>
      <c r="I968" s="220" t="s">
        <v>176</v>
      </c>
      <c r="J968" s="170" t="s">
        <v>97</v>
      </c>
      <c r="K968" s="173" t="s">
        <v>134</v>
      </c>
      <c r="L968" s="180">
        <v>35</v>
      </c>
      <c r="M968" s="188" t="s">
        <v>98</v>
      </c>
      <c r="N968" s="175" t="s">
        <v>99</v>
      </c>
      <c r="O968" s="185" t="s">
        <v>14</v>
      </c>
      <c r="P968" s="170" t="s">
        <v>963</v>
      </c>
      <c r="Q968" s="170" t="s">
        <v>112</v>
      </c>
      <c r="R968" s="170" t="s">
        <v>113</v>
      </c>
      <c r="S968" s="170" t="s">
        <v>964</v>
      </c>
      <c r="T968" s="170" t="s">
        <v>16</v>
      </c>
      <c r="U968" s="170" t="s">
        <v>965</v>
      </c>
      <c r="V968" s="170" t="s">
        <v>304</v>
      </c>
      <c r="W968" s="170" t="s">
        <v>1116</v>
      </c>
    </row>
    <row r="969" ht="15.75" customHeight="1" spans="1:23">
      <c r="A969" s="185"/>
      <c r="B969" s="185"/>
      <c r="C969" s="185"/>
      <c r="D969" s="186" t="s">
        <v>102</v>
      </c>
      <c r="E969" s="186" t="s">
        <v>103</v>
      </c>
      <c r="F969" s="180"/>
      <c r="G969" s="185"/>
      <c r="H969" s="173" t="s">
        <v>95</v>
      </c>
      <c r="I969" s="220" t="s">
        <v>193</v>
      </c>
      <c r="J969" s="170" t="s">
        <v>108</v>
      </c>
      <c r="K969" s="173" t="s">
        <v>134</v>
      </c>
      <c r="L969" s="180">
        <v>8</v>
      </c>
      <c r="M969" s="188" t="s">
        <v>98</v>
      </c>
      <c r="N969" s="175" t="s">
        <v>99</v>
      </c>
      <c r="O969" s="185" t="s">
        <v>14</v>
      </c>
      <c r="P969" s="170" t="s">
        <v>963</v>
      </c>
      <c r="Q969" s="170" t="s">
        <v>112</v>
      </c>
      <c r="R969" s="170" t="s">
        <v>113</v>
      </c>
      <c r="S969" s="170" t="s">
        <v>964</v>
      </c>
      <c r="T969" s="170" t="s">
        <v>16</v>
      </c>
      <c r="U969" s="170" t="s">
        <v>965</v>
      </c>
      <c r="V969" s="170" t="s">
        <v>304</v>
      </c>
      <c r="W969" s="170" t="s">
        <v>1117</v>
      </c>
    </row>
    <row r="970" ht="15.75" customHeight="1" spans="1:23">
      <c r="A970" s="185"/>
      <c r="B970" s="185"/>
      <c r="C970" s="185"/>
      <c r="D970" s="186" t="s">
        <v>102</v>
      </c>
      <c r="E970" s="186" t="s">
        <v>103</v>
      </c>
      <c r="F970" s="180"/>
      <c r="G970" s="185"/>
      <c r="H970" s="173" t="s">
        <v>95</v>
      </c>
      <c r="I970" s="220" t="s">
        <v>136</v>
      </c>
      <c r="J970" s="170" t="s">
        <v>108</v>
      </c>
      <c r="K970" s="173" t="s">
        <v>134</v>
      </c>
      <c r="L970" s="180">
        <v>42</v>
      </c>
      <c r="M970" s="188" t="s">
        <v>98</v>
      </c>
      <c r="N970" s="175" t="s">
        <v>99</v>
      </c>
      <c r="O970" s="185" t="s">
        <v>14</v>
      </c>
      <c r="P970" s="170" t="s">
        <v>963</v>
      </c>
      <c r="Q970" s="170" t="s">
        <v>112</v>
      </c>
      <c r="R970" s="170" t="s">
        <v>113</v>
      </c>
      <c r="S970" s="170" t="s">
        <v>964</v>
      </c>
      <c r="T970" s="170" t="s">
        <v>16</v>
      </c>
      <c r="U970" s="170" t="s">
        <v>965</v>
      </c>
      <c r="V970" s="170" t="s">
        <v>304</v>
      </c>
      <c r="W970" s="170" t="s">
        <v>1118</v>
      </c>
    </row>
    <row r="971" ht="15.75" customHeight="1" spans="1:23">
      <c r="A971" s="185"/>
      <c r="B971" s="185"/>
      <c r="C971" s="185"/>
      <c r="D971" s="186" t="s">
        <v>102</v>
      </c>
      <c r="E971" s="186" t="s">
        <v>103</v>
      </c>
      <c r="F971" s="180"/>
      <c r="G971" s="185"/>
      <c r="H971" s="173" t="s">
        <v>218</v>
      </c>
      <c r="I971" s="220" t="s">
        <v>219</v>
      </c>
      <c r="J971" s="170" t="s">
        <v>108</v>
      </c>
      <c r="K971" s="173" t="s">
        <v>93</v>
      </c>
      <c r="L971" s="180">
        <v>16</v>
      </c>
      <c r="M971" s="194" t="s">
        <v>279</v>
      </c>
      <c r="N971" s="175" t="s">
        <v>99</v>
      </c>
      <c r="O971" s="185" t="s">
        <v>14</v>
      </c>
      <c r="P971" s="170" t="s">
        <v>963</v>
      </c>
      <c r="Q971" s="170" t="s">
        <v>112</v>
      </c>
      <c r="R971" s="170" t="s">
        <v>113</v>
      </c>
      <c r="S971" s="170" t="s">
        <v>964</v>
      </c>
      <c r="T971" s="170" t="s">
        <v>16</v>
      </c>
      <c r="U971" s="170" t="s">
        <v>965</v>
      </c>
      <c r="V971" s="170" t="s">
        <v>304</v>
      </c>
      <c r="W971" s="170" t="s">
        <v>1119</v>
      </c>
    </row>
    <row r="972" ht="15.75" customHeight="1" spans="1:23">
      <c r="A972" s="185"/>
      <c r="B972" s="185"/>
      <c r="C972" s="185"/>
      <c r="D972" s="186" t="s">
        <v>102</v>
      </c>
      <c r="E972" s="186" t="s">
        <v>103</v>
      </c>
      <c r="F972" s="180"/>
      <c r="G972" s="185"/>
      <c r="H972" s="173" t="s">
        <v>141</v>
      </c>
      <c r="I972" s="220" t="s">
        <v>479</v>
      </c>
      <c r="J972" s="170" t="s">
        <v>97</v>
      </c>
      <c r="K972" s="175" t="s">
        <v>134</v>
      </c>
      <c r="L972" s="180">
        <v>5</v>
      </c>
      <c r="M972" s="180" t="s">
        <v>98</v>
      </c>
      <c r="N972" s="175" t="s">
        <v>99</v>
      </c>
      <c r="O972" s="185" t="s">
        <v>14</v>
      </c>
      <c r="P972" s="170" t="s">
        <v>963</v>
      </c>
      <c r="Q972" s="170" t="s">
        <v>112</v>
      </c>
      <c r="R972" s="170" t="s">
        <v>113</v>
      </c>
      <c r="S972" s="170" t="s">
        <v>964</v>
      </c>
      <c r="T972" s="170" t="s">
        <v>16</v>
      </c>
      <c r="U972" s="170" t="s">
        <v>965</v>
      </c>
      <c r="V972" s="170" t="s">
        <v>304</v>
      </c>
      <c r="W972" s="170" t="s">
        <v>1120</v>
      </c>
    </row>
    <row r="973" customHeight="1" spans="1:23">
      <c r="A973" s="185" t="s">
        <v>1121</v>
      </c>
      <c r="B973" s="185" t="s">
        <v>1122</v>
      </c>
      <c r="C973" s="185" t="s">
        <v>173</v>
      </c>
      <c r="D973" s="186" t="s">
        <v>102</v>
      </c>
      <c r="E973" s="186" t="s">
        <v>103</v>
      </c>
      <c r="F973" s="180" t="s">
        <v>1123</v>
      </c>
      <c r="G973" s="180" t="s">
        <v>1124</v>
      </c>
      <c r="H973" s="175" t="s">
        <v>85</v>
      </c>
      <c r="I973" s="180" t="s">
        <v>86</v>
      </c>
      <c r="J973" s="170" t="s">
        <v>87</v>
      </c>
      <c r="K973" s="200" t="s">
        <v>134</v>
      </c>
      <c r="L973" s="180">
        <v>1</v>
      </c>
      <c r="M973" s="180" t="s">
        <v>89</v>
      </c>
      <c r="N973" s="200" t="s">
        <v>99</v>
      </c>
      <c r="O973" s="185" t="s">
        <v>14</v>
      </c>
      <c r="P973" s="170" t="s">
        <v>963</v>
      </c>
      <c r="Q973" s="170" t="s">
        <v>112</v>
      </c>
      <c r="R973" s="170" t="s">
        <v>113</v>
      </c>
      <c r="S973" s="170" t="s">
        <v>964</v>
      </c>
      <c r="T973" s="170" t="s">
        <v>16</v>
      </c>
      <c r="U973" s="170" t="s">
        <v>965</v>
      </c>
      <c r="V973" s="170" t="s">
        <v>304</v>
      </c>
      <c r="W973" s="170" t="s">
        <v>1125</v>
      </c>
    </row>
    <row r="974" ht="15.75" customHeight="1" spans="1:23">
      <c r="A974" s="185"/>
      <c r="B974" s="185"/>
      <c r="C974" s="185"/>
      <c r="D974" s="186" t="s">
        <v>102</v>
      </c>
      <c r="E974" s="186" t="s">
        <v>103</v>
      </c>
      <c r="F974" s="180"/>
      <c r="G974" s="180"/>
      <c r="H974" s="175"/>
      <c r="I974" s="180" t="s">
        <v>209</v>
      </c>
      <c r="J974" s="170" t="s">
        <v>108</v>
      </c>
      <c r="K974" s="200" t="s">
        <v>134</v>
      </c>
      <c r="L974" s="180">
        <v>22</v>
      </c>
      <c r="M974" s="180" t="s">
        <v>279</v>
      </c>
      <c r="N974" s="200" t="s">
        <v>110</v>
      </c>
      <c r="O974" s="185" t="s">
        <v>14</v>
      </c>
      <c r="P974" s="170" t="s">
        <v>963</v>
      </c>
      <c r="Q974" s="170" t="s">
        <v>112</v>
      </c>
      <c r="R974" s="170" t="s">
        <v>113</v>
      </c>
      <c r="S974" s="170" t="s">
        <v>964</v>
      </c>
      <c r="T974" s="170" t="s">
        <v>16</v>
      </c>
      <c r="U974" s="170" t="s">
        <v>965</v>
      </c>
      <c r="V974" s="170" t="s">
        <v>304</v>
      </c>
      <c r="W974" s="170" t="s">
        <v>1126</v>
      </c>
    </row>
    <row r="975" ht="15.75" customHeight="1" spans="1:23">
      <c r="A975" s="185"/>
      <c r="B975" s="185"/>
      <c r="C975" s="185"/>
      <c r="D975" s="186" t="s">
        <v>102</v>
      </c>
      <c r="E975" s="186" t="s">
        <v>103</v>
      </c>
      <c r="F975" s="180"/>
      <c r="G975" s="180"/>
      <c r="H975" s="175"/>
      <c r="I975" s="180" t="s">
        <v>183</v>
      </c>
      <c r="J975" s="170" t="s">
        <v>108</v>
      </c>
      <c r="K975" s="228" t="s">
        <v>134</v>
      </c>
      <c r="L975" s="180">
        <v>15</v>
      </c>
      <c r="M975" s="180" t="s">
        <v>98</v>
      </c>
      <c r="N975" s="200" t="s">
        <v>99</v>
      </c>
      <c r="O975" s="185" t="s">
        <v>14</v>
      </c>
      <c r="P975" s="170" t="s">
        <v>963</v>
      </c>
      <c r="Q975" s="170" t="s">
        <v>112</v>
      </c>
      <c r="R975" s="170" t="s">
        <v>113</v>
      </c>
      <c r="S975" s="170" t="s">
        <v>964</v>
      </c>
      <c r="T975" s="170" t="s">
        <v>16</v>
      </c>
      <c r="U975" s="170" t="s">
        <v>965</v>
      </c>
      <c r="V975" s="170" t="s">
        <v>304</v>
      </c>
      <c r="W975" s="170" t="s">
        <v>1127</v>
      </c>
    </row>
    <row r="976" customHeight="1" spans="1:23">
      <c r="A976" s="185"/>
      <c r="B976" s="185"/>
      <c r="C976" s="185"/>
      <c r="D976" s="186" t="s">
        <v>102</v>
      </c>
      <c r="E976" s="186" t="s">
        <v>103</v>
      </c>
      <c r="F976" s="180"/>
      <c r="G976" s="180"/>
      <c r="H976" s="173" t="s">
        <v>132</v>
      </c>
      <c r="I976" s="185" t="s">
        <v>480</v>
      </c>
      <c r="J976" s="170" t="s">
        <v>87</v>
      </c>
      <c r="K976" s="173" t="s">
        <v>93</v>
      </c>
      <c r="L976" s="185">
        <v>12</v>
      </c>
      <c r="M976" s="180" t="s">
        <v>279</v>
      </c>
      <c r="N976" s="173" t="s">
        <v>110</v>
      </c>
      <c r="O976" s="185" t="s">
        <v>14</v>
      </c>
      <c r="P976" s="170" t="s">
        <v>963</v>
      </c>
      <c r="Q976" s="170" t="s">
        <v>112</v>
      </c>
      <c r="R976" s="170" t="s">
        <v>113</v>
      </c>
      <c r="S976" s="170" t="s">
        <v>964</v>
      </c>
      <c r="T976" s="170" t="s">
        <v>16</v>
      </c>
      <c r="U976" s="170" t="s">
        <v>965</v>
      </c>
      <c r="V976" s="170" t="s">
        <v>304</v>
      </c>
      <c r="W976" s="170" t="s">
        <v>1128</v>
      </c>
    </row>
    <row r="977" ht="15.75" customHeight="1" spans="1:23">
      <c r="A977" s="185"/>
      <c r="B977" s="185"/>
      <c r="C977" s="185"/>
      <c r="D977" s="186" t="s">
        <v>102</v>
      </c>
      <c r="E977" s="186" t="s">
        <v>103</v>
      </c>
      <c r="F977" s="180"/>
      <c r="G977" s="180"/>
      <c r="H977" s="173"/>
      <c r="I977" s="185" t="s">
        <v>133</v>
      </c>
      <c r="J977" s="170" t="s">
        <v>108</v>
      </c>
      <c r="K977" s="173" t="s">
        <v>93</v>
      </c>
      <c r="L977" s="185">
        <v>20</v>
      </c>
      <c r="M977" s="180" t="s">
        <v>279</v>
      </c>
      <c r="N977" s="173" t="s">
        <v>110</v>
      </c>
      <c r="O977" s="185" t="s">
        <v>14</v>
      </c>
      <c r="P977" s="170" t="s">
        <v>963</v>
      </c>
      <c r="Q977" s="170" t="s">
        <v>112</v>
      </c>
      <c r="R977" s="170" t="s">
        <v>113</v>
      </c>
      <c r="S977" s="170" t="s">
        <v>964</v>
      </c>
      <c r="T977" s="170" t="s">
        <v>16</v>
      </c>
      <c r="U977" s="170" t="s">
        <v>965</v>
      </c>
      <c r="V977" s="170" t="s">
        <v>304</v>
      </c>
      <c r="W977" s="170" t="s">
        <v>1129</v>
      </c>
    </row>
    <row r="978" customHeight="1" spans="1:23">
      <c r="A978" s="185"/>
      <c r="B978" s="185"/>
      <c r="C978" s="185"/>
      <c r="D978" s="186" t="s">
        <v>102</v>
      </c>
      <c r="E978" s="186" t="s">
        <v>103</v>
      </c>
      <c r="F978" s="180"/>
      <c r="G978" s="180"/>
      <c r="H978" s="173"/>
      <c r="I978" s="185" t="s">
        <v>755</v>
      </c>
      <c r="J978" s="170" t="s">
        <v>87</v>
      </c>
      <c r="K978" s="173" t="s">
        <v>134</v>
      </c>
      <c r="L978" s="185">
        <v>8</v>
      </c>
      <c r="M978" s="180" t="s">
        <v>279</v>
      </c>
      <c r="N978" s="173" t="s">
        <v>110</v>
      </c>
      <c r="O978" s="185" t="s">
        <v>14</v>
      </c>
      <c r="P978" s="170" t="s">
        <v>963</v>
      </c>
      <c r="Q978" s="170" t="s">
        <v>112</v>
      </c>
      <c r="R978" s="170" t="s">
        <v>113</v>
      </c>
      <c r="S978" s="170" t="s">
        <v>964</v>
      </c>
      <c r="T978" s="170" t="s">
        <v>16</v>
      </c>
      <c r="U978" s="170" t="s">
        <v>965</v>
      </c>
      <c r="V978" s="170" t="s">
        <v>304</v>
      </c>
      <c r="W978" s="170" t="s">
        <v>1130</v>
      </c>
    </row>
    <row r="979" customHeight="1" spans="1:23">
      <c r="A979" s="185"/>
      <c r="B979" s="185"/>
      <c r="C979" s="185"/>
      <c r="D979" s="186" t="s">
        <v>102</v>
      </c>
      <c r="E979" s="186" t="s">
        <v>103</v>
      </c>
      <c r="F979" s="180"/>
      <c r="G979" s="180"/>
      <c r="H979" s="187" t="s">
        <v>106</v>
      </c>
      <c r="I979" s="185" t="s">
        <v>281</v>
      </c>
      <c r="J979" s="170" t="s">
        <v>87</v>
      </c>
      <c r="K979" s="173" t="s">
        <v>134</v>
      </c>
      <c r="L979" s="185">
        <v>8</v>
      </c>
      <c r="M979" s="185" t="s">
        <v>98</v>
      </c>
      <c r="N979" s="173" t="s">
        <v>99</v>
      </c>
      <c r="O979" s="185" t="s">
        <v>14</v>
      </c>
      <c r="P979" s="170" t="s">
        <v>963</v>
      </c>
      <c r="Q979" s="170" t="s">
        <v>112</v>
      </c>
      <c r="R979" s="170" t="s">
        <v>113</v>
      </c>
      <c r="S979" s="170" t="s">
        <v>964</v>
      </c>
      <c r="T979" s="170" t="s">
        <v>16</v>
      </c>
      <c r="U979" s="170" t="s">
        <v>965</v>
      </c>
      <c r="V979" s="170" t="s">
        <v>304</v>
      </c>
      <c r="W979" s="170" t="s">
        <v>1131</v>
      </c>
    </row>
    <row r="980" customHeight="1" spans="1:23">
      <c r="A980" s="185"/>
      <c r="B980" s="185"/>
      <c r="C980" s="185"/>
      <c r="D980" s="186" t="s">
        <v>102</v>
      </c>
      <c r="E980" s="186" t="s">
        <v>103</v>
      </c>
      <c r="F980" s="180"/>
      <c r="G980" s="180"/>
      <c r="H980" s="189"/>
      <c r="I980" s="185" t="s">
        <v>196</v>
      </c>
      <c r="J980" s="170" t="s">
        <v>87</v>
      </c>
      <c r="K980" s="173" t="s">
        <v>134</v>
      </c>
      <c r="L980" s="185">
        <v>4</v>
      </c>
      <c r="M980" s="185" t="s">
        <v>98</v>
      </c>
      <c r="N980" s="173" t="s">
        <v>99</v>
      </c>
      <c r="O980" s="185" t="s">
        <v>14</v>
      </c>
      <c r="P980" s="170" t="s">
        <v>963</v>
      </c>
      <c r="Q980" s="170" t="s">
        <v>112</v>
      </c>
      <c r="R980" s="170" t="s">
        <v>113</v>
      </c>
      <c r="S980" s="170" t="s">
        <v>964</v>
      </c>
      <c r="T980" s="170" t="s">
        <v>16</v>
      </c>
      <c r="U980" s="170" t="s">
        <v>965</v>
      </c>
      <c r="V980" s="170" t="s">
        <v>304</v>
      </c>
      <c r="W980" s="170" t="s">
        <v>1132</v>
      </c>
    </row>
    <row r="981" ht="15.75" customHeight="1" spans="1:23">
      <c r="A981" s="185"/>
      <c r="B981" s="185"/>
      <c r="C981" s="185"/>
      <c r="D981" s="186" t="s">
        <v>102</v>
      </c>
      <c r="E981" s="186" t="s">
        <v>103</v>
      </c>
      <c r="F981" s="180"/>
      <c r="G981" s="180"/>
      <c r="H981" s="229" t="s">
        <v>95</v>
      </c>
      <c r="I981" s="230" t="s">
        <v>176</v>
      </c>
      <c r="J981" s="170" t="s">
        <v>97</v>
      </c>
      <c r="K981" s="173" t="s">
        <v>134</v>
      </c>
      <c r="L981" s="230">
        <v>26</v>
      </c>
      <c r="M981" s="230" t="s">
        <v>98</v>
      </c>
      <c r="N981" s="173" t="s">
        <v>99</v>
      </c>
      <c r="O981" s="185" t="s">
        <v>14</v>
      </c>
      <c r="P981" s="170" t="s">
        <v>963</v>
      </c>
      <c r="Q981" s="170" t="s">
        <v>112</v>
      </c>
      <c r="R981" s="170" t="s">
        <v>113</v>
      </c>
      <c r="S981" s="170" t="s">
        <v>964</v>
      </c>
      <c r="T981" s="170" t="s">
        <v>16</v>
      </c>
      <c r="U981" s="170" t="s">
        <v>965</v>
      </c>
      <c r="V981" s="170" t="s">
        <v>304</v>
      </c>
      <c r="W981" s="170" t="s">
        <v>1133</v>
      </c>
    </row>
    <row r="982" ht="15.75" customHeight="1" spans="1:23">
      <c r="A982" s="185"/>
      <c r="B982" s="185"/>
      <c r="C982" s="185"/>
      <c r="D982" s="186" t="s">
        <v>102</v>
      </c>
      <c r="E982" s="186" t="s">
        <v>103</v>
      </c>
      <c r="F982" s="180"/>
      <c r="G982" s="180"/>
      <c r="H982" s="229" t="s">
        <v>218</v>
      </c>
      <c r="I982" s="230" t="s">
        <v>219</v>
      </c>
      <c r="J982" s="170" t="s">
        <v>108</v>
      </c>
      <c r="K982" s="173" t="s">
        <v>134</v>
      </c>
      <c r="L982" s="230">
        <v>22</v>
      </c>
      <c r="M982" s="215" t="s">
        <v>279</v>
      </c>
      <c r="N982" s="173" t="s">
        <v>110</v>
      </c>
      <c r="O982" s="185" t="s">
        <v>14</v>
      </c>
      <c r="P982" s="170" t="s">
        <v>963</v>
      </c>
      <c r="Q982" s="170" t="s">
        <v>112</v>
      </c>
      <c r="R982" s="170" t="s">
        <v>113</v>
      </c>
      <c r="S982" s="170" t="s">
        <v>964</v>
      </c>
      <c r="T982" s="170" t="s">
        <v>16</v>
      </c>
      <c r="U982" s="170" t="s">
        <v>965</v>
      </c>
      <c r="V982" s="170" t="s">
        <v>304</v>
      </c>
      <c r="W982" s="170" t="s">
        <v>1134</v>
      </c>
    </row>
    <row r="983" ht="15.75" customHeight="1" spans="1:23">
      <c r="A983" s="185"/>
      <c r="B983" s="185"/>
      <c r="C983" s="185"/>
      <c r="D983" s="186" t="s">
        <v>102</v>
      </c>
      <c r="E983" s="186" t="s">
        <v>103</v>
      </c>
      <c r="F983" s="180"/>
      <c r="G983" s="180"/>
      <c r="H983" s="231" t="s">
        <v>119</v>
      </c>
      <c r="I983" s="230" t="s">
        <v>211</v>
      </c>
      <c r="J983" s="170" t="s">
        <v>108</v>
      </c>
      <c r="K983" s="173" t="s">
        <v>134</v>
      </c>
      <c r="L983" s="230">
        <v>28</v>
      </c>
      <c r="M983" s="230" t="s">
        <v>98</v>
      </c>
      <c r="N983" s="173" t="s">
        <v>99</v>
      </c>
      <c r="O983" s="185" t="s">
        <v>14</v>
      </c>
      <c r="P983" s="170" t="s">
        <v>963</v>
      </c>
      <c r="Q983" s="170" t="s">
        <v>112</v>
      </c>
      <c r="R983" s="170" t="s">
        <v>113</v>
      </c>
      <c r="S983" s="170" t="s">
        <v>964</v>
      </c>
      <c r="T983" s="170" t="s">
        <v>16</v>
      </c>
      <c r="U983" s="170" t="s">
        <v>965</v>
      </c>
      <c r="V983" s="170" t="s">
        <v>304</v>
      </c>
      <c r="W983" s="170" t="s">
        <v>1135</v>
      </c>
    </row>
    <row r="984" ht="15.75" customHeight="1" spans="1:23">
      <c r="A984" s="185"/>
      <c r="B984" s="185"/>
      <c r="C984" s="185"/>
      <c r="D984" s="186" t="s">
        <v>102</v>
      </c>
      <c r="E984" s="186" t="s">
        <v>103</v>
      </c>
      <c r="F984" s="180"/>
      <c r="G984" s="180"/>
      <c r="H984" s="231" t="s">
        <v>141</v>
      </c>
      <c r="I984" s="230" t="s">
        <v>479</v>
      </c>
      <c r="J984" s="170" t="s">
        <v>97</v>
      </c>
      <c r="K984" s="173" t="s">
        <v>134</v>
      </c>
      <c r="L984" s="230">
        <v>10</v>
      </c>
      <c r="M984" s="230" t="s">
        <v>98</v>
      </c>
      <c r="N984" s="173" t="s">
        <v>99</v>
      </c>
      <c r="O984" s="185" t="s">
        <v>14</v>
      </c>
      <c r="P984" s="170" t="s">
        <v>963</v>
      </c>
      <c r="Q984" s="170" t="s">
        <v>112</v>
      </c>
      <c r="R984" s="170" t="s">
        <v>113</v>
      </c>
      <c r="S984" s="170" t="s">
        <v>964</v>
      </c>
      <c r="T984" s="170" t="s">
        <v>16</v>
      </c>
      <c r="U984" s="170" t="s">
        <v>965</v>
      </c>
      <c r="V984" s="170" t="s">
        <v>304</v>
      </c>
      <c r="W984" s="170" t="s">
        <v>1136</v>
      </c>
    </row>
    <row r="985" customHeight="1" spans="1:23">
      <c r="A985" s="185" t="s">
        <v>1137</v>
      </c>
      <c r="B985" s="185" t="s">
        <v>1138</v>
      </c>
      <c r="C985" s="185" t="s">
        <v>173</v>
      </c>
      <c r="D985" s="186" t="s">
        <v>102</v>
      </c>
      <c r="E985" s="186" t="s">
        <v>154</v>
      </c>
      <c r="F985" s="180" t="s">
        <v>1139</v>
      </c>
      <c r="G985" s="180" t="s">
        <v>1140</v>
      </c>
      <c r="H985" s="200" t="s">
        <v>85</v>
      </c>
      <c r="I985" s="180" t="s">
        <v>86</v>
      </c>
      <c r="J985" s="170" t="s">
        <v>87</v>
      </c>
      <c r="K985" s="200" t="s">
        <v>134</v>
      </c>
      <c r="L985" s="180">
        <v>5</v>
      </c>
      <c r="M985" s="180" t="s">
        <v>89</v>
      </c>
      <c r="N985" s="200" t="s">
        <v>110</v>
      </c>
      <c r="O985" s="185" t="s">
        <v>14</v>
      </c>
      <c r="P985" s="170" t="s">
        <v>963</v>
      </c>
      <c r="Q985" s="170" t="s">
        <v>112</v>
      </c>
      <c r="R985" s="170" t="s">
        <v>113</v>
      </c>
      <c r="S985" s="170" t="s">
        <v>964</v>
      </c>
      <c r="T985" s="170" t="s">
        <v>16</v>
      </c>
      <c r="U985" s="170" t="s">
        <v>965</v>
      </c>
      <c r="V985" s="170" t="s">
        <v>304</v>
      </c>
      <c r="W985" s="170" t="s">
        <v>1141</v>
      </c>
    </row>
    <row r="986" ht="15.75" customHeight="1" spans="1:23">
      <c r="A986" s="185"/>
      <c r="B986" s="185"/>
      <c r="C986" s="185"/>
      <c r="D986" s="186" t="s">
        <v>102</v>
      </c>
      <c r="E986" s="186" t="s">
        <v>103</v>
      </c>
      <c r="F986" s="180"/>
      <c r="G986" s="180"/>
      <c r="H986" s="200"/>
      <c r="I986" s="180" t="s">
        <v>209</v>
      </c>
      <c r="J986" s="170" t="s">
        <v>108</v>
      </c>
      <c r="K986" s="200" t="s">
        <v>134</v>
      </c>
      <c r="L986" s="180">
        <v>24</v>
      </c>
      <c r="M986" s="180" t="s">
        <v>1142</v>
      </c>
      <c r="N986" s="200" t="s">
        <v>110</v>
      </c>
      <c r="O986" s="185" t="s">
        <v>14</v>
      </c>
      <c r="P986" s="170" t="s">
        <v>963</v>
      </c>
      <c r="Q986" s="170" t="s">
        <v>112</v>
      </c>
      <c r="R986" s="170" t="s">
        <v>113</v>
      </c>
      <c r="S986" s="170" t="s">
        <v>964</v>
      </c>
      <c r="T986" s="170" t="s">
        <v>16</v>
      </c>
      <c r="U986" s="170" t="s">
        <v>965</v>
      </c>
      <c r="V986" s="170" t="s">
        <v>304</v>
      </c>
      <c r="W986" s="170" t="s">
        <v>1143</v>
      </c>
    </row>
    <row r="987" customHeight="1" spans="1:23">
      <c r="A987" s="185"/>
      <c r="B987" s="185"/>
      <c r="C987" s="185"/>
      <c r="D987" s="186" t="s">
        <v>102</v>
      </c>
      <c r="E987" s="186" t="s">
        <v>103</v>
      </c>
      <c r="F987" s="180"/>
      <c r="G987" s="180"/>
      <c r="H987" s="200"/>
      <c r="I987" s="180" t="s">
        <v>267</v>
      </c>
      <c r="J987" s="170" t="s">
        <v>87</v>
      </c>
      <c r="K987" s="228" t="s">
        <v>134</v>
      </c>
      <c r="L987" s="180">
        <v>3</v>
      </c>
      <c r="M987" s="180" t="s">
        <v>89</v>
      </c>
      <c r="N987" s="200" t="s">
        <v>110</v>
      </c>
      <c r="O987" s="185" t="s">
        <v>14</v>
      </c>
      <c r="P987" s="170" t="s">
        <v>963</v>
      </c>
      <c r="Q987" s="170" t="s">
        <v>112</v>
      </c>
      <c r="R987" s="170" t="s">
        <v>113</v>
      </c>
      <c r="S987" s="170" t="s">
        <v>964</v>
      </c>
      <c r="T987" s="170" t="s">
        <v>16</v>
      </c>
      <c r="U987" s="170" t="s">
        <v>965</v>
      </c>
      <c r="V987" s="170" t="s">
        <v>304</v>
      </c>
      <c r="W987" s="170" t="s">
        <v>1144</v>
      </c>
    </row>
    <row r="988" ht="15.75" customHeight="1" spans="1:23">
      <c r="A988" s="185"/>
      <c r="B988" s="185"/>
      <c r="C988" s="185"/>
      <c r="D988" s="186" t="s">
        <v>102</v>
      </c>
      <c r="E988" s="186" t="s">
        <v>103</v>
      </c>
      <c r="F988" s="180"/>
      <c r="G988" s="180"/>
      <c r="H988" s="200"/>
      <c r="I988" s="180" t="s">
        <v>183</v>
      </c>
      <c r="J988" s="170" t="s">
        <v>108</v>
      </c>
      <c r="K988" s="228" t="s">
        <v>134</v>
      </c>
      <c r="L988" s="180">
        <v>24</v>
      </c>
      <c r="M988" s="180" t="s">
        <v>98</v>
      </c>
      <c r="N988" s="200" t="s">
        <v>99</v>
      </c>
      <c r="O988" s="185" t="s">
        <v>14</v>
      </c>
      <c r="P988" s="170" t="s">
        <v>963</v>
      </c>
      <c r="Q988" s="170" t="s">
        <v>112</v>
      </c>
      <c r="R988" s="170" t="s">
        <v>113</v>
      </c>
      <c r="S988" s="170" t="s">
        <v>964</v>
      </c>
      <c r="T988" s="170" t="s">
        <v>16</v>
      </c>
      <c r="U988" s="170" t="s">
        <v>965</v>
      </c>
      <c r="V988" s="170" t="s">
        <v>304</v>
      </c>
      <c r="W988" s="170" t="s">
        <v>1145</v>
      </c>
    </row>
    <row r="989" ht="15.75" customHeight="1" spans="1:23">
      <c r="A989" s="185"/>
      <c r="B989" s="185"/>
      <c r="C989" s="185"/>
      <c r="D989" s="186" t="s">
        <v>102</v>
      </c>
      <c r="E989" s="186" t="s">
        <v>103</v>
      </c>
      <c r="F989" s="180"/>
      <c r="G989" s="180"/>
      <c r="H989" s="200" t="s">
        <v>132</v>
      </c>
      <c r="I989" s="180" t="s">
        <v>133</v>
      </c>
      <c r="J989" s="170" t="s">
        <v>108</v>
      </c>
      <c r="K989" s="200" t="s">
        <v>93</v>
      </c>
      <c r="L989" s="180">
        <v>40</v>
      </c>
      <c r="M989" s="180" t="s">
        <v>1142</v>
      </c>
      <c r="N989" s="200" t="s">
        <v>110</v>
      </c>
      <c r="O989" s="185" t="s">
        <v>14</v>
      </c>
      <c r="P989" s="170" t="s">
        <v>963</v>
      </c>
      <c r="Q989" s="170" t="s">
        <v>112</v>
      </c>
      <c r="R989" s="170" t="s">
        <v>113</v>
      </c>
      <c r="S989" s="170" t="s">
        <v>964</v>
      </c>
      <c r="T989" s="170" t="s">
        <v>16</v>
      </c>
      <c r="U989" s="170" t="s">
        <v>965</v>
      </c>
      <c r="V989" s="170" t="s">
        <v>304</v>
      </c>
      <c r="W989" s="170" t="s">
        <v>1146</v>
      </c>
    </row>
    <row r="990" customHeight="1" spans="1:23">
      <c r="A990" s="185"/>
      <c r="B990" s="185"/>
      <c r="C990" s="185"/>
      <c r="D990" s="186" t="s">
        <v>102</v>
      </c>
      <c r="E990" s="186" t="s">
        <v>103</v>
      </c>
      <c r="F990" s="180"/>
      <c r="G990" s="180"/>
      <c r="H990" s="200"/>
      <c r="I990" s="180" t="s">
        <v>480</v>
      </c>
      <c r="J990" s="170" t="s">
        <v>87</v>
      </c>
      <c r="K990" s="200" t="s">
        <v>93</v>
      </c>
      <c r="L990" s="180">
        <v>16</v>
      </c>
      <c r="M990" s="180" t="s">
        <v>1142</v>
      </c>
      <c r="N990" s="200" t="s">
        <v>110</v>
      </c>
      <c r="O990" s="185" t="s">
        <v>14</v>
      </c>
      <c r="P990" s="170" t="s">
        <v>963</v>
      </c>
      <c r="Q990" s="170" t="s">
        <v>112</v>
      </c>
      <c r="R990" s="170" t="s">
        <v>113</v>
      </c>
      <c r="S990" s="170" t="s">
        <v>964</v>
      </c>
      <c r="T990" s="170" t="s">
        <v>16</v>
      </c>
      <c r="U990" s="170" t="s">
        <v>965</v>
      </c>
      <c r="V990" s="170" t="s">
        <v>304</v>
      </c>
      <c r="W990" s="170" t="s">
        <v>1147</v>
      </c>
    </row>
    <row r="991" customHeight="1" spans="1:23">
      <c r="A991" s="185"/>
      <c r="B991" s="185"/>
      <c r="C991" s="185"/>
      <c r="D991" s="186" t="s">
        <v>102</v>
      </c>
      <c r="E991" s="186" t="s">
        <v>103</v>
      </c>
      <c r="F991" s="180"/>
      <c r="G991" s="180"/>
      <c r="H991" s="200"/>
      <c r="I991" s="180" t="s">
        <v>755</v>
      </c>
      <c r="J991" s="170" t="s">
        <v>87</v>
      </c>
      <c r="K991" s="200" t="s">
        <v>93</v>
      </c>
      <c r="L991" s="180">
        <v>8</v>
      </c>
      <c r="M991" s="180" t="s">
        <v>1142</v>
      </c>
      <c r="N991" s="200" t="s">
        <v>110</v>
      </c>
      <c r="O991" s="185" t="s">
        <v>14</v>
      </c>
      <c r="P991" s="170" t="s">
        <v>963</v>
      </c>
      <c r="Q991" s="170" t="s">
        <v>112</v>
      </c>
      <c r="R991" s="170" t="s">
        <v>113</v>
      </c>
      <c r="S991" s="170" t="s">
        <v>964</v>
      </c>
      <c r="T991" s="170" t="s">
        <v>16</v>
      </c>
      <c r="U991" s="170" t="s">
        <v>965</v>
      </c>
      <c r="V991" s="170" t="s">
        <v>304</v>
      </c>
      <c r="W991" s="170" t="s">
        <v>1148</v>
      </c>
    </row>
    <row r="992" customHeight="1" spans="1:23">
      <c r="A992" s="185"/>
      <c r="B992" s="185"/>
      <c r="C992" s="185"/>
      <c r="D992" s="186" t="s">
        <v>102</v>
      </c>
      <c r="E992" s="186" t="s">
        <v>103</v>
      </c>
      <c r="F992" s="180"/>
      <c r="G992" s="180"/>
      <c r="H992" s="200" t="s">
        <v>106</v>
      </c>
      <c r="I992" s="180" t="s">
        <v>281</v>
      </c>
      <c r="J992" s="170" t="s">
        <v>87</v>
      </c>
      <c r="K992" s="200" t="s">
        <v>134</v>
      </c>
      <c r="L992" s="180">
        <v>8</v>
      </c>
      <c r="M992" s="180" t="s">
        <v>1149</v>
      </c>
      <c r="N992" s="200" t="s">
        <v>110</v>
      </c>
      <c r="O992" s="185" t="s">
        <v>14</v>
      </c>
      <c r="P992" s="170" t="s">
        <v>963</v>
      </c>
      <c r="Q992" s="170" t="s">
        <v>112</v>
      </c>
      <c r="R992" s="170" t="s">
        <v>113</v>
      </c>
      <c r="S992" s="170" t="s">
        <v>964</v>
      </c>
      <c r="T992" s="170" t="s">
        <v>16</v>
      </c>
      <c r="U992" s="170" t="s">
        <v>965</v>
      </c>
      <c r="V992" s="170" t="s">
        <v>304</v>
      </c>
      <c r="W992" s="170" t="s">
        <v>1150</v>
      </c>
    </row>
    <row r="993" customHeight="1" spans="1:23">
      <c r="A993" s="185"/>
      <c r="B993" s="185"/>
      <c r="C993" s="185"/>
      <c r="D993" s="186" t="s">
        <v>102</v>
      </c>
      <c r="E993" s="186" t="s">
        <v>103</v>
      </c>
      <c r="F993" s="180"/>
      <c r="G993" s="180"/>
      <c r="H993" s="200"/>
      <c r="I993" s="180" t="s">
        <v>196</v>
      </c>
      <c r="J993" s="170" t="s">
        <v>87</v>
      </c>
      <c r="K993" s="200" t="s">
        <v>134</v>
      </c>
      <c r="L993" s="180">
        <v>16</v>
      </c>
      <c r="M993" s="180" t="s">
        <v>1149</v>
      </c>
      <c r="N993" s="200" t="s">
        <v>110</v>
      </c>
      <c r="O993" s="185" t="s">
        <v>14</v>
      </c>
      <c r="P993" s="170" t="s">
        <v>963</v>
      </c>
      <c r="Q993" s="170" t="s">
        <v>112</v>
      </c>
      <c r="R993" s="170" t="s">
        <v>113</v>
      </c>
      <c r="S993" s="170" t="s">
        <v>964</v>
      </c>
      <c r="T993" s="170" t="s">
        <v>16</v>
      </c>
      <c r="U993" s="170" t="s">
        <v>965</v>
      </c>
      <c r="V993" s="170" t="s">
        <v>304</v>
      </c>
      <c r="W993" s="170" t="s">
        <v>1151</v>
      </c>
    </row>
    <row r="994" ht="15.75" customHeight="1" spans="1:23">
      <c r="A994" s="185"/>
      <c r="B994" s="185"/>
      <c r="C994" s="185"/>
      <c r="D994" s="186" t="s">
        <v>102</v>
      </c>
      <c r="E994" s="186" t="s">
        <v>103</v>
      </c>
      <c r="F994" s="180"/>
      <c r="G994" s="180"/>
      <c r="H994" s="200" t="s">
        <v>254</v>
      </c>
      <c r="I994" s="170" t="s">
        <v>255</v>
      </c>
      <c r="J994" s="170" t="s">
        <v>108</v>
      </c>
      <c r="K994" s="200" t="s">
        <v>134</v>
      </c>
      <c r="L994" s="170">
        <v>8</v>
      </c>
      <c r="M994" s="180" t="s">
        <v>1149</v>
      </c>
      <c r="N994" s="200" t="s">
        <v>99</v>
      </c>
      <c r="O994" s="185" t="s">
        <v>14</v>
      </c>
      <c r="P994" s="170" t="s">
        <v>963</v>
      </c>
      <c r="Q994" s="170" t="s">
        <v>112</v>
      </c>
      <c r="R994" s="170" t="s">
        <v>113</v>
      </c>
      <c r="S994" s="170" t="s">
        <v>964</v>
      </c>
      <c r="T994" s="170" t="s">
        <v>16</v>
      </c>
      <c r="U994" s="170" t="s">
        <v>965</v>
      </c>
      <c r="V994" s="170" t="s">
        <v>304</v>
      </c>
      <c r="W994" s="170" t="s">
        <v>1152</v>
      </c>
    </row>
    <row r="995" customHeight="1" spans="1:23">
      <c r="A995" s="185"/>
      <c r="B995" s="185"/>
      <c r="C995" s="185"/>
      <c r="D995" s="186" t="s">
        <v>102</v>
      </c>
      <c r="E995" s="186" t="s">
        <v>103</v>
      </c>
      <c r="F995" s="180"/>
      <c r="G995" s="180"/>
      <c r="H995" s="200"/>
      <c r="I995" s="180" t="s">
        <v>286</v>
      </c>
      <c r="J995" s="170" t="s">
        <v>87</v>
      </c>
      <c r="K995" s="200" t="s">
        <v>134</v>
      </c>
      <c r="L995" s="180">
        <v>8</v>
      </c>
      <c r="M995" s="180" t="s">
        <v>1149</v>
      </c>
      <c r="N995" s="200" t="s">
        <v>99</v>
      </c>
      <c r="O995" s="185" t="s">
        <v>14</v>
      </c>
      <c r="P995" s="170" t="s">
        <v>963</v>
      </c>
      <c r="Q995" s="170" t="s">
        <v>112</v>
      </c>
      <c r="R995" s="170" t="s">
        <v>113</v>
      </c>
      <c r="S995" s="170" t="s">
        <v>964</v>
      </c>
      <c r="T995" s="170" t="s">
        <v>16</v>
      </c>
      <c r="U995" s="170" t="s">
        <v>965</v>
      </c>
      <c r="V995" s="170" t="s">
        <v>304</v>
      </c>
      <c r="W995" s="170" t="s">
        <v>1153</v>
      </c>
    </row>
    <row r="996" ht="15.75" customHeight="1" spans="1:23">
      <c r="A996" s="185"/>
      <c r="B996" s="185"/>
      <c r="C996" s="185"/>
      <c r="D996" s="186" t="s">
        <v>102</v>
      </c>
      <c r="E996" s="186" t="s">
        <v>103</v>
      </c>
      <c r="F996" s="180"/>
      <c r="G996" s="180"/>
      <c r="H996" s="200" t="s">
        <v>119</v>
      </c>
      <c r="I996" s="180" t="s">
        <v>120</v>
      </c>
      <c r="J996" s="170" t="s">
        <v>108</v>
      </c>
      <c r="K996" s="200" t="s">
        <v>134</v>
      </c>
      <c r="L996" s="180">
        <v>16</v>
      </c>
      <c r="M996" s="180" t="s">
        <v>98</v>
      </c>
      <c r="N996" s="200" t="s">
        <v>99</v>
      </c>
      <c r="O996" s="185" t="s">
        <v>14</v>
      </c>
      <c r="P996" s="170" t="s">
        <v>963</v>
      </c>
      <c r="Q996" s="170" t="s">
        <v>112</v>
      </c>
      <c r="R996" s="170" t="s">
        <v>113</v>
      </c>
      <c r="S996" s="170" t="s">
        <v>964</v>
      </c>
      <c r="T996" s="170" t="s">
        <v>16</v>
      </c>
      <c r="U996" s="170" t="s">
        <v>965</v>
      </c>
      <c r="V996" s="170" t="s">
        <v>304</v>
      </c>
      <c r="W996" s="170" t="s">
        <v>1154</v>
      </c>
    </row>
    <row r="997" ht="15.75" customHeight="1" spans="1:23">
      <c r="A997" s="169" t="s">
        <v>1155</v>
      </c>
      <c r="B997" s="169" t="s">
        <v>1156</v>
      </c>
      <c r="C997" s="169" t="s">
        <v>173</v>
      </c>
      <c r="D997" s="198" t="s">
        <v>102</v>
      </c>
      <c r="E997" s="198" t="s">
        <v>103</v>
      </c>
      <c r="F997" s="199" t="s">
        <v>1157</v>
      </c>
      <c r="G997" s="199" t="s">
        <v>1158</v>
      </c>
      <c r="H997" s="232" t="s">
        <v>85</v>
      </c>
      <c r="I997" s="183" t="s">
        <v>209</v>
      </c>
      <c r="J997" s="170" t="s">
        <v>108</v>
      </c>
      <c r="K997" s="175" t="s">
        <v>93</v>
      </c>
      <c r="L997" s="183">
        <v>3</v>
      </c>
      <c r="M997" s="183" t="s">
        <v>1098</v>
      </c>
      <c r="N997" s="175" t="s">
        <v>90</v>
      </c>
      <c r="O997" s="169" t="s">
        <v>14</v>
      </c>
      <c r="P997" s="170" t="s">
        <v>963</v>
      </c>
      <c r="Q997" s="170" t="s">
        <v>112</v>
      </c>
      <c r="R997" s="170" t="s">
        <v>113</v>
      </c>
      <c r="S997" s="170" t="s">
        <v>964</v>
      </c>
      <c r="T997" s="170" t="s">
        <v>16</v>
      </c>
      <c r="U997" s="170" t="s">
        <v>965</v>
      </c>
      <c r="V997" s="170" t="s">
        <v>304</v>
      </c>
      <c r="W997" s="170" t="s">
        <v>1159</v>
      </c>
    </row>
    <row r="998" customHeight="1" spans="1:23">
      <c r="A998" s="177"/>
      <c r="B998" s="177"/>
      <c r="C998" s="177"/>
      <c r="D998" s="201" t="s">
        <v>102</v>
      </c>
      <c r="E998" s="201" t="s">
        <v>103</v>
      </c>
      <c r="F998" s="202"/>
      <c r="G998" s="202"/>
      <c r="H998" s="233"/>
      <c r="I998" s="180" t="s">
        <v>267</v>
      </c>
      <c r="J998" s="170" t="s">
        <v>87</v>
      </c>
      <c r="K998" s="175" t="s">
        <v>134</v>
      </c>
      <c r="L998" s="183">
        <v>3</v>
      </c>
      <c r="M998" s="183" t="s">
        <v>89</v>
      </c>
      <c r="N998" s="175" t="s">
        <v>90</v>
      </c>
      <c r="O998" s="177" t="s">
        <v>14</v>
      </c>
      <c r="P998" s="170" t="s">
        <v>963</v>
      </c>
      <c r="Q998" s="170" t="s">
        <v>112</v>
      </c>
      <c r="R998" s="170" t="s">
        <v>113</v>
      </c>
      <c r="S998" s="170" t="s">
        <v>964</v>
      </c>
      <c r="T998" s="170" t="s">
        <v>16</v>
      </c>
      <c r="U998" s="170" t="s">
        <v>965</v>
      </c>
      <c r="V998" s="170" t="s">
        <v>304</v>
      </c>
      <c r="W998" s="170" t="s">
        <v>1160</v>
      </c>
    </row>
    <row r="999" ht="15.75" customHeight="1" spans="1:23">
      <c r="A999" s="177"/>
      <c r="B999" s="177"/>
      <c r="C999" s="177"/>
      <c r="D999" s="201" t="s">
        <v>102</v>
      </c>
      <c r="E999" s="201" t="s">
        <v>103</v>
      </c>
      <c r="F999" s="202"/>
      <c r="G999" s="202"/>
      <c r="H999" s="196" t="s">
        <v>91</v>
      </c>
      <c r="I999" s="176" t="s">
        <v>475</v>
      </c>
      <c r="J999" s="170" t="s">
        <v>108</v>
      </c>
      <c r="K999" s="175" t="s">
        <v>134</v>
      </c>
      <c r="L999" s="176">
        <v>3</v>
      </c>
      <c r="M999" s="183" t="s">
        <v>1098</v>
      </c>
      <c r="N999" s="196" t="s">
        <v>110</v>
      </c>
      <c r="O999" s="177" t="s">
        <v>14</v>
      </c>
      <c r="P999" s="170" t="s">
        <v>963</v>
      </c>
      <c r="Q999" s="170" t="s">
        <v>112</v>
      </c>
      <c r="R999" s="170" t="s">
        <v>113</v>
      </c>
      <c r="S999" s="170" t="s">
        <v>964</v>
      </c>
      <c r="T999" s="170" t="s">
        <v>16</v>
      </c>
      <c r="U999" s="170" t="s">
        <v>965</v>
      </c>
      <c r="V999" s="170" t="s">
        <v>304</v>
      </c>
      <c r="W999" s="170" t="s">
        <v>1161</v>
      </c>
    </row>
    <row r="1000" ht="15.75" customHeight="1" spans="1:23">
      <c r="A1000" s="177"/>
      <c r="B1000" s="177"/>
      <c r="C1000" s="177"/>
      <c r="D1000" s="201" t="s">
        <v>102</v>
      </c>
      <c r="E1000" s="201" t="s">
        <v>103</v>
      </c>
      <c r="F1000" s="202"/>
      <c r="G1000" s="202"/>
      <c r="H1000" s="232" t="s">
        <v>95</v>
      </c>
      <c r="I1000" s="176" t="s">
        <v>285</v>
      </c>
      <c r="J1000" s="170" t="s">
        <v>108</v>
      </c>
      <c r="K1000" s="234" t="s">
        <v>93</v>
      </c>
      <c r="L1000" s="176">
        <v>10</v>
      </c>
      <c r="M1000" s="176" t="s">
        <v>98</v>
      </c>
      <c r="N1000" s="234" t="s">
        <v>90</v>
      </c>
      <c r="O1000" s="177" t="s">
        <v>14</v>
      </c>
      <c r="P1000" s="170" t="s">
        <v>963</v>
      </c>
      <c r="Q1000" s="170" t="s">
        <v>112</v>
      </c>
      <c r="R1000" s="170" t="s">
        <v>113</v>
      </c>
      <c r="S1000" s="170" t="s">
        <v>964</v>
      </c>
      <c r="T1000" s="170" t="s">
        <v>16</v>
      </c>
      <c r="U1000" s="170" t="s">
        <v>965</v>
      </c>
      <c r="V1000" s="170" t="s">
        <v>304</v>
      </c>
      <c r="W1000" s="170" t="s">
        <v>1162</v>
      </c>
    </row>
    <row r="1001" ht="15.75" customHeight="1" spans="1:23">
      <c r="A1001" s="177"/>
      <c r="B1001" s="177"/>
      <c r="C1001" s="177"/>
      <c r="D1001" s="201" t="s">
        <v>102</v>
      </c>
      <c r="E1001" s="201" t="s">
        <v>103</v>
      </c>
      <c r="F1001" s="202"/>
      <c r="G1001" s="202"/>
      <c r="H1001" s="235"/>
      <c r="I1001" s="176" t="s">
        <v>176</v>
      </c>
      <c r="J1001" s="170" t="s">
        <v>97</v>
      </c>
      <c r="K1001" s="234" t="s">
        <v>88</v>
      </c>
      <c r="L1001" s="176">
        <v>56</v>
      </c>
      <c r="M1001" s="176" t="s">
        <v>98</v>
      </c>
      <c r="N1001" s="234" t="s">
        <v>90</v>
      </c>
      <c r="O1001" s="177" t="s">
        <v>14</v>
      </c>
      <c r="P1001" s="170" t="s">
        <v>963</v>
      </c>
      <c r="Q1001" s="170" t="s">
        <v>112</v>
      </c>
      <c r="R1001" s="170" t="s">
        <v>113</v>
      </c>
      <c r="S1001" s="170" t="s">
        <v>964</v>
      </c>
      <c r="T1001" s="170" t="s">
        <v>16</v>
      </c>
      <c r="U1001" s="170" t="s">
        <v>965</v>
      </c>
      <c r="V1001" s="170" t="s">
        <v>304</v>
      </c>
      <c r="W1001" s="170" t="s">
        <v>1163</v>
      </c>
    </row>
    <row r="1002" ht="15.75" customHeight="1" spans="1:23">
      <c r="A1002" s="177"/>
      <c r="B1002" s="177"/>
      <c r="C1002" s="177"/>
      <c r="D1002" s="201" t="s">
        <v>102</v>
      </c>
      <c r="E1002" s="201" t="s">
        <v>103</v>
      </c>
      <c r="F1002" s="202"/>
      <c r="G1002" s="202"/>
      <c r="H1002" s="235"/>
      <c r="I1002" s="176" t="s">
        <v>136</v>
      </c>
      <c r="J1002" s="170" t="s">
        <v>108</v>
      </c>
      <c r="K1002" s="236" t="s">
        <v>93</v>
      </c>
      <c r="L1002" s="176">
        <v>80</v>
      </c>
      <c r="M1002" s="176" t="s">
        <v>98</v>
      </c>
      <c r="N1002" s="236" t="s">
        <v>110</v>
      </c>
      <c r="O1002" s="177" t="s">
        <v>14</v>
      </c>
      <c r="P1002" s="170" t="s">
        <v>963</v>
      </c>
      <c r="Q1002" s="170" t="s">
        <v>112</v>
      </c>
      <c r="R1002" s="170" t="s">
        <v>113</v>
      </c>
      <c r="S1002" s="170" t="s">
        <v>964</v>
      </c>
      <c r="T1002" s="170" t="s">
        <v>16</v>
      </c>
      <c r="U1002" s="170" t="s">
        <v>965</v>
      </c>
      <c r="V1002" s="170" t="s">
        <v>304</v>
      </c>
      <c r="W1002" s="170" t="s">
        <v>1164</v>
      </c>
    </row>
    <row r="1003" ht="15.75" customHeight="1" spans="1:23">
      <c r="A1003" s="177"/>
      <c r="B1003" s="177"/>
      <c r="C1003" s="177"/>
      <c r="D1003" s="201" t="s">
        <v>102</v>
      </c>
      <c r="E1003" s="201" t="s">
        <v>103</v>
      </c>
      <c r="F1003" s="202"/>
      <c r="G1003" s="202"/>
      <c r="H1003" s="233"/>
      <c r="I1003" s="176" t="s">
        <v>193</v>
      </c>
      <c r="J1003" s="170" t="s">
        <v>108</v>
      </c>
      <c r="K1003" s="234" t="s">
        <v>93</v>
      </c>
      <c r="L1003" s="176">
        <v>3</v>
      </c>
      <c r="M1003" s="176" t="s">
        <v>98</v>
      </c>
      <c r="N1003" s="234" t="s">
        <v>110</v>
      </c>
      <c r="O1003" s="177" t="s">
        <v>14</v>
      </c>
      <c r="P1003" s="170" t="s">
        <v>963</v>
      </c>
      <c r="Q1003" s="170" t="s">
        <v>112</v>
      </c>
      <c r="R1003" s="170" t="s">
        <v>113</v>
      </c>
      <c r="S1003" s="170" t="s">
        <v>964</v>
      </c>
      <c r="T1003" s="170" t="s">
        <v>16</v>
      </c>
      <c r="U1003" s="170" t="s">
        <v>965</v>
      </c>
      <c r="V1003" s="170" t="s">
        <v>304</v>
      </c>
      <c r="W1003" s="170" t="s">
        <v>1165</v>
      </c>
    </row>
    <row r="1004" ht="28.5" customHeight="1" spans="1:23">
      <c r="A1004" s="177"/>
      <c r="B1004" s="177"/>
      <c r="C1004" s="177"/>
      <c r="D1004" s="201" t="s">
        <v>102</v>
      </c>
      <c r="E1004" s="201" t="s">
        <v>103</v>
      </c>
      <c r="F1004" s="202"/>
      <c r="G1004" s="202"/>
      <c r="H1004" s="196" t="s">
        <v>218</v>
      </c>
      <c r="I1004" s="176" t="s">
        <v>219</v>
      </c>
      <c r="J1004" s="170" t="s">
        <v>108</v>
      </c>
      <c r="K1004" s="237" t="s">
        <v>88</v>
      </c>
      <c r="L1004" s="176">
        <v>3</v>
      </c>
      <c r="M1004" s="183" t="s">
        <v>1098</v>
      </c>
      <c r="N1004" s="196" t="s">
        <v>99</v>
      </c>
      <c r="O1004" s="177" t="s">
        <v>14</v>
      </c>
      <c r="P1004" s="170" t="s">
        <v>963</v>
      </c>
      <c r="Q1004" s="170" t="s">
        <v>112</v>
      </c>
      <c r="R1004" s="170" t="s">
        <v>113</v>
      </c>
      <c r="S1004" s="170" t="s">
        <v>964</v>
      </c>
      <c r="T1004" s="170" t="s">
        <v>16</v>
      </c>
      <c r="U1004" s="170" t="s">
        <v>965</v>
      </c>
      <c r="V1004" s="170" t="s">
        <v>304</v>
      </c>
      <c r="W1004" s="170" t="s">
        <v>1166</v>
      </c>
    </row>
    <row r="1005" ht="15.75" customHeight="1" spans="1:23">
      <c r="A1005" s="177"/>
      <c r="B1005" s="177"/>
      <c r="C1005" s="177"/>
      <c r="D1005" s="201" t="s">
        <v>102</v>
      </c>
      <c r="E1005" s="201" t="s">
        <v>103</v>
      </c>
      <c r="F1005" s="202"/>
      <c r="G1005" s="202"/>
      <c r="H1005" s="196" t="s">
        <v>106</v>
      </c>
      <c r="I1005" s="176" t="s">
        <v>107</v>
      </c>
      <c r="J1005" s="170" t="s">
        <v>108</v>
      </c>
      <c r="K1005" s="237" t="s">
        <v>88</v>
      </c>
      <c r="L1005" s="176">
        <v>10</v>
      </c>
      <c r="M1005" s="176" t="s">
        <v>98</v>
      </c>
      <c r="N1005" s="196" t="s">
        <v>99</v>
      </c>
      <c r="O1005" s="177" t="s">
        <v>14</v>
      </c>
      <c r="P1005" s="170" t="s">
        <v>963</v>
      </c>
      <c r="Q1005" s="170" t="s">
        <v>112</v>
      </c>
      <c r="R1005" s="170" t="s">
        <v>113</v>
      </c>
      <c r="S1005" s="170" t="s">
        <v>964</v>
      </c>
      <c r="T1005" s="170" t="s">
        <v>16</v>
      </c>
      <c r="U1005" s="170" t="s">
        <v>965</v>
      </c>
      <c r="V1005" s="170" t="s">
        <v>304</v>
      </c>
      <c r="W1005" s="170" t="s">
        <v>1167</v>
      </c>
    </row>
    <row r="1006" ht="15.75" customHeight="1" spans="1:23">
      <c r="A1006" s="177"/>
      <c r="B1006" s="177"/>
      <c r="C1006" s="177"/>
      <c r="D1006" s="201" t="s">
        <v>102</v>
      </c>
      <c r="E1006" s="201" t="s">
        <v>103</v>
      </c>
      <c r="F1006" s="202"/>
      <c r="G1006" s="202"/>
      <c r="H1006" s="196" t="s">
        <v>141</v>
      </c>
      <c r="I1006" s="176" t="s">
        <v>479</v>
      </c>
      <c r="J1006" s="170" t="s">
        <v>97</v>
      </c>
      <c r="K1006" s="237" t="s">
        <v>88</v>
      </c>
      <c r="L1006" s="176">
        <v>5</v>
      </c>
      <c r="M1006" s="176" t="s">
        <v>98</v>
      </c>
      <c r="N1006" s="234" t="s">
        <v>90</v>
      </c>
      <c r="O1006" s="177" t="s">
        <v>14</v>
      </c>
      <c r="P1006" s="170" t="s">
        <v>963</v>
      </c>
      <c r="Q1006" s="170" t="s">
        <v>112</v>
      </c>
      <c r="R1006" s="170" t="s">
        <v>113</v>
      </c>
      <c r="S1006" s="170" t="s">
        <v>964</v>
      </c>
      <c r="T1006" s="170" t="s">
        <v>16</v>
      </c>
      <c r="U1006" s="170" t="s">
        <v>965</v>
      </c>
      <c r="V1006" s="170" t="s">
        <v>304</v>
      </c>
      <c r="W1006" s="170" t="s">
        <v>1168</v>
      </c>
    </row>
    <row r="1007" ht="15.75" customHeight="1" spans="1:23">
      <c r="A1007" s="169" t="s">
        <v>1169</v>
      </c>
      <c r="B1007" s="169" t="s">
        <v>1170</v>
      </c>
      <c r="C1007" s="169" t="s">
        <v>83</v>
      </c>
      <c r="D1007" s="198" t="s">
        <v>102</v>
      </c>
      <c r="E1007" s="198" t="s">
        <v>103</v>
      </c>
      <c r="F1007" s="199" t="s">
        <v>1171</v>
      </c>
      <c r="G1007" s="199" t="s">
        <v>1172</v>
      </c>
      <c r="H1007" s="200" t="s">
        <v>85</v>
      </c>
      <c r="I1007" s="176" t="s">
        <v>209</v>
      </c>
      <c r="J1007" s="170" t="s">
        <v>108</v>
      </c>
      <c r="K1007" s="200" t="s">
        <v>93</v>
      </c>
      <c r="L1007" s="180">
        <v>10</v>
      </c>
      <c r="M1007" s="180" t="s">
        <v>89</v>
      </c>
      <c r="N1007" s="200" t="s">
        <v>90</v>
      </c>
      <c r="O1007" s="169" t="s">
        <v>14</v>
      </c>
      <c r="P1007" s="170" t="s">
        <v>963</v>
      </c>
      <c r="Q1007" s="170" t="s">
        <v>112</v>
      </c>
      <c r="R1007" s="170" t="s">
        <v>113</v>
      </c>
      <c r="S1007" s="170" t="s">
        <v>964</v>
      </c>
      <c r="T1007" s="170" t="s">
        <v>16</v>
      </c>
      <c r="U1007" s="170" t="s">
        <v>965</v>
      </c>
      <c r="V1007" s="170" t="s">
        <v>304</v>
      </c>
      <c r="W1007" s="170" t="s">
        <v>1173</v>
      </c>
    </row>
    <row r="1008" customHeight="1" spans="1:23">
      <c r="A1008" s="177"/>
      <c r="B1008" s="177"/>
      <c r="C1008" s="177"/>
      <c r="D1008" s="201" t="s">
        <v>102</v>
      </c>
      <c r="E1008" s="201" t="s">
        <v>103</v>
      </c>
      <c r="F1008" s="202"/>
      <c r="G1008" s="202"/>
      <c r="H1008" s="200" t="s">
        <v>85</v>
      </c>
      <c r="I1008" s="188" t="s">
        <v>267</v>
      </c>
      <c r="J1008" s="170" t="s">
        <v>87</v>
      </c>
      <c r="K1008" s="200" t="s">
        <v>93</v>
      </c>
      <c r="L1008" s="188">
        <v>2</v>
      </c>
      <c r="M1008" s="188" t="s">
        <v>279</v>
      </c>
      <c r="N1008" s="200" t="s">
        <v>90</v>
      </c>
      <c r="O1008" s="177" t="s">
        <v>14</v>
      </c>
      <c r="P1008" s="170" t="s">
        <v>963</v>
      </c>
      <c r="Q1008" s="170" t="s">
        <v>112</v>
      </c>
      <c r="R1008" s="170" t="s">
        <v>113</v>
      </c>
      <c r="S1008" s="170" t="s">
        <v>964</v>
      </c>
      <c r="T1008" s="170" t="s">
        <v>16</v>
      </c>
      <c r="U1008" s="170" t="s">
        <v>965</v>
      </c>
      <c r="V1008" s="170" t="s">
        <v>304</v>
      </c>
      <c r="W1008" s="170" t="s">
        <v>1174</v>
      </c>
    </row>
    <row r="1009" ht="15.75" customHeight="1" spans="1:23">
      <c r="A1009" s="177"/>
      <c r="B1009" s="177"/>
      <c r="C1009" s="177"/>
      <c r="D1009" s="201" t="s">
        <v>102</v>
      </c>
      <c r="E1009" s="201" t="s">
        <v>103</v>
      </c>
      <c r="F1009" s="202"/>
      <c r="G1009" s="202"/>
      <c r="H1009" s="200" t="s">
        <v>91</v>
      </c>
      <c r="I1009" s="180" t="s">
        <v>475</v>
      </c>
      <c r="J1009" s="170" t="s">
        <v>108</v>
      </c>
      <c r="K1009" s="200" t="s">
        <v>88</v>
      </c>
      <c r="L1009" s="188">
        <v>4</v>
      </c>
      <c r="M1009" s="180" t="s">
        <v>1098</v>
      </c>
      <c r="N1009" s="200" t="s">
        <v>99</v>
      </c>
      <c r="O1009" s="177" t="s">
        <v>14</v>
      </c>
      <c r="P1009" s="170" t="s">
        <v>963</v>
      </c>
      <c r="Q1009" s="170" t="s">
        <v>112</v>
      </c>
      <c r="R1009" s="170" t="s">
        <v>113</v>
      </c>
      <c r="S1009" s="170" t="s">
        <v>964</v>
      </c>
      <c r="T1009" s="170" t="s">
        <v>16</v>
      </c>
      <c r="U1009" s="170" t="s">
        <v>965</v>
      </c>
      <c r="V1009" s="170" t="s">
        <v>304</v>
      </c>
      <c r="W1009" s="170" t="s">
        <v>1175</v>
      </c>
    </row>
    <row r="1010" customHeight="1" spans="1:23">
      <c r="A1010" s="177"/>
      <c r="B1010" s="177"/>
      <c r="C1010" s="177"/>
      <c r="D1010" s="201" t="s">
        <v>102</v>
      </c>
      <c r="E1010" s="201" t="s">
        <v>103</v>
      </c>
      <c r="F1010" s="202"/>
      <c r="G1010" s="202"/>
      <c r="H1010" s="200" t="s">
        <v>106</v>
      </c>
      <c r="I1010" s="180" t="s">
        <v>281</v>
      </c>
      <c r="J1010" s="170" t="s">
        <v>87</v>
      </c>
      <c r="K1010" s="200" t="s">
        <v>93</v>
      </c>
      <c r="L1010" s="188">
        <v>24</v>
      </c>
      <c r="M1010" s="180" t="s">
        <v>279</v>
      </c>
      <c r="N1010" s="200" t="s">
        <v>99</v>
      </c>
      <c r="O1010" s="177" t="s">
        <v>14</v>
      </c>
      <c r="P1010" s="170" t="s">
        <v>963</v>
      </c>
      <c r="Q1010" s="170" t="s">
        <v>112</v>
      </c>
      <c r="R1010" s="170" t="s">
        <v>113</v>
      </c>
      <c r="S1010" s="170" t="s">
        <v>964</v>
      </c>
      <c r="T1010" s="170" t="s">
        <v>16</v>
      </c>
      <c r="U1010" s="170" t="s">
        <v>965</v>
      </c>
      <c r="V1010" s="170" t="s">
        <v>304</v>
      </c>
      <c r="W1010" s="170" t="s">
        <v>1176</v>
      </c>
    </row>
    <row r="1011" customHeight="1" spans="1:23">
      <c r="A1011" s="177"/>
      <c r="B1011" s="177"/>
      <c r="C1011" s="177"/>
      <c r="D1011" s="201" t="s">
        <v>102</v>
      </c>
      <c r="E1011" s="201" t="s">
        <v>103</v>
      </c>
      <c r="F1011" s="202"/>
      <c r="G1011" s="202"/>
      <c r="H1011" s="200" t="s">
        <v>106</v>
      </c>
      <c r="I1011" s="180" t="s">
        <v>196</v>
      </c>
      <c r="J1011" s="170" t="s">
        <v>87</v>
      </c>
      <c r="K1011" s="200" t="s">
        <v>88</v>
      </c>
      <c r="L1011" s="188">
        <v>4</v>
      </c>
      <c r="M1011" s="180" t="s">
        <v>279</v>
      </c>
      <c r="N1011" s="200" t="s">
        <v>99</v>
      </c>
      <c r="O1011" s="177" t="s">
        <v>14</v>
      </c>
      <c r="P1011" s="170" t="s">
        <v>963</v>
      </c>
      <c r="Q1011" s="170" t="s">
        <v>112</v>
      </c>
      <c r="R1011" s="170" t="s">
        <v>113</v>
      </c>
      <c r="S1011" s="170" t="s">
        <v>964</v>
      </c>
      <c r="T1011" s="170" t="s">
        <v>16</v>
      </c>
      <c r="U1011" s="170" t="s">
        <v>965</v>
      </c>
      <c r="V1011" s="170" t="s">
        <v>304</v>
      </c>
      <c r="W1011" s="170" t="s">
        <v>1177</v>
      </c>
    </row>
    <row r="1012" ht="15.75" customHeight="1" spans="1:23">
      <c r="A1012" s="177"/>
      <c r="B1012" s="177"/>
      <c r="C1012" s="177"/>
      <c r="D1012" s="201" t="s">
        <v>102</v>
      </c>
      <c r="E1012" s="201" t="s">
        <v>103</v>
      </c>
      <c r="F1012" s="202"/>
      <c r="G1012" s="202"/>
      <c r="H1012" s="11" t="s">
        <v>95</v>
      </c>
      <c r="I1012" s="219" t="s">
        <v>285</v>
      </c>
      <c r="J1012" s="170" t="s">
        <v>108</v>
      </c>
      <c r="K1012" s="200" t="s">
        <v>88</v>
      </c>
      <c r="L1012" s="183">
        <v>5</v>
      </c>
      <c r="M1012" s="180" t="s">
        <v>98</v>
      </c>
      <c r="N1012" s="200" t="s">
        <v>99</v>
      </c>
      <c r="O1012" s="177" t="s">
        <v>14</v>
      </c>
      <c r="P1012" s="170" t="s">
        <v>963</v>
      </c>
      <c r="Q1012" s="170" t="s">
        <v>112</v>
      </c>
      <c r="R1012" s="170" t="s">
        <v>113</v>
      </c>
      <c r="S1012" s="170" t="s">
        <v>964</v>
      </c>
      <c r="T1012" s="170" t="s">
        <v>16</v>
      </c>
      <c r="U1012" s="170" t="s">
        <v>965</v>
      </c>
      <c r="V1012" s="170" t="s">
        <v>304</v>
      </c>
      <c r="W1012" s="170" t="s">
        <v>1178</v>
      </c>
    </row>
    <row r="1013" ht="15.75" customHeight="1" spans="1:23">
      <c r="A1013" s="177"/>
      <c r="B1013" s="177"/>
      <c r="C1013" s="177"/>
      <c r="D1013" s="201" t="s">
        <v>102</v>
      </c>
      <c r="E1013" s="201" t="s">
        <v>103</v>
      </c>
      <c r="F1013" s="202"/>
      <c r="G1013" s="202"/>
      <c r="H1013" s="11" t="s">
        <v>95</v>
      </c>
      <c r="I1013" s="219" t="s">
        <v>176</v>
      </c>
      <c r="J1013" s="170" t="s">
        <v>97</v>
      </c>
      <c r="K1013" s="200" t="s">
        <v>88</v>
      </c>
      <c r="L1013" s="183">
        <v>60</v>
      </c>
      <c r="M1013" s="180" t="s">
        <v>98</v>
      </c>
      <c r="N1013" s="200" t="s">
        <v>99</v>
      </c>
      <c r="O1013" s="177" t="s">
        <v>14</v>
      </c>
      <c r="P1013" s="170" t="s">
        <v>963</v>
      </c>
      <c r="Q1013" s="170" t="s">
        <v>112</v>
      </c>
      <c r="R1013" s="170" t="s">
        <v>113</v>
      </c>
      <c r="S1013" s="170" t="s">
        <v>964</v>
      </c>
      <c r="T1013" s="170" t="s">
        <v>16</v>
      </c>
      <c r="U1013" s="170" t="s">
        <v>965</v>
      </c>
      <c r="V1013" s="170" t="s">
        <v>304</v>
      </c>
      <c r="W1013" s="170" t="s">
        <v>1179</v>
      </c>
    </row>
    <row r="1014" ht="15.75" customHeight="1" spans="1:23">
      <c r="A1014" s="177"/>
      <c r="B1014" s="177"/>
      <c r="C1014" s="177"/>
      <c r="D1014" s="201" t="s">
        <v>102</v>
      </c>
      <c r="E1014" s="201" t="s">
        <v>103</v>
      </c>
      <c r="F1014" s="202"/>
      <c r="G1014" s="202"/>
      <c r="H1014" s="11" t="s">
        <v>95</v>
      </c>
      <c r="I1014" s="219" t="s">
        <v>193</v>
      </c>
      <c r="J1014" s="170" t="s">
        <v>108</v>
      </c>
      <c r="K1014" s="200" t="s">
        <v>88</v>
      </c>
      <c r="L1014" s="183">
        <v>10</v>
      </c>
      <c r="M1014" s="180" t="s">
        <v>98</v>
      </c>
      <c r="N1014" s="200" t="s">
        <v>99</v>
      </c>
      <c r="O1014" s="177" t="s">
        <v>14</v>
      </c>
      <c r="P1014" s="170" t="s">
        <v>963</v>
      </c>
      <c r="Q1014" s="170" t="s">
        <v>112</v>
      </c>
      <c r="R1014" s="170" t="s">
        <v>113</v>
      </c>
      <c r="S1014" s="170" t="s">
        <v>964</v>
      </c>
      <c r="T1014" s="170" t="s">
        <v>16</v>
      </c>
      <c r="U1014" s="170" t="s">
        <v>965</v>
      </c>
      <c r="V1014" s="170" t="s">
        <v>304</v>
      </c>
      <c r="W1014" s="170" t="s">
        <v>1180</v>
      </c>
    </row>
    <row r="1015" ht="15.75" customHeight="1" spans="1:23">
      <c r="A1015" s="177"/>
      <c r="B1015" s="177"/>
      <c r="C1015" s="177"/>
      <c r="D1015" s="201" t="s">
        <v>102</v>
      </c>
      <c r="E1015" s="201" t="s">
        <v>103</v>
      </c>
      <c r="F1015" s="202"/>
      <c r="G1015" s="202"/>
      <c r="H1015" s="11" t="s">
        <v>95</v>
      </c>
      <c r="I1015" s="219" t="s">
        <v>136</v>
      </c>
      <c r="J1015" s="170" t="s">
        <v>108</v>
      </c>
      <c r="K1015" s="200" t="s">
        <v>93</v>
      </c>
      <c r="L1015" s="183">
        <v>6</v>
      </c>
      <c r="M1015" s="180" t="s">
        <v>98</v>
      </c>
      <c r="N1015" s="200" t="s">
        <v>99</v>
      </c>
      <c r="O1015" s="177" t="s">
        <v>14</v>
      </c>
      <c r="P1015" s="170" t="s">
        <v>963</v>
      </c>
      <c r="Q1015" s="170" t="s">
        <v>112</v>
      </c>
      <c r="R1015" s="170" t="s">
        <v>113</v>
      </c>
      <c r="S1015" s="170" t="s">
        <v>964</v>
      </c>
      <c r="T1015" s="170" t="s">
        <v>16</v>
      </c>
      <c r="U1015" s="170" t="s">
        <v>965</v>
      </c>
      <c r="V1015" s="170" t="s">
        <v>304</v>
      </c>
      <c r="W1015" s="170" t="s">
        <v>1181</v>
      </c>
    </row>
    <row r="1016" ht="15.75" customHeight="1" spans="1:23">
      <c r="A1016" s="177"/>
      <c r="B1016" s="177"/>
      <c r="C1016" s="177"/>
      <c r="D1016" s="201" t="s">
        <v>102</v>
      </c>
      <c r="E1016" s="201" t="s">
        <v>103</v>
      </c>
      <c r="F1016" s="202"/>
      <c r="G1016" s="202"/>
      <c r="H1016" s="11" t="s">
        <v>218</v>
      </c>
      <c r="I1016" s="219" t="s">
        <v>219</v>
      </c>
      <c r="J1016" s="170" t="s">
        <v>108</v>
      </c>
      <c r="K1016" s="200" t="s">
        <v>88</v>
      </c>
      <c r="L1016" s="183">
        <v>16</v>
      </c>
      <c r="M1016" s="180" t="s">
        <v>279</v>
      </c>
      <c r="N1016" s="200" t="s">
        <v>99</v>
      </c>
      <c r="O1016" s="177" t="s">
        <v>14</v>
      </c>
      <c r="P1016" s="170" t="s">
        <v>963</v>
      </c>
      <c r="Q1016" s="170" t="s">
        <v>112</v>
      </c>
      <c r="R1016" s="170" t="s">
        <v>113</v>
      </c>
      <c r="S1016" s="170" t="s">
        <v>964</v>
      </c>
      <c r="T1016" s="170" t="s">
        <v>16</v>
      </c>
      <c r="U1016" s="170" t="s">
        <v>965</v>
      </c>
      <c r="V1016" s="170" t="s">
        <v>304</v>
      </c>
      <c r="W1016" s="170" t="s">
        <v>1182</v>
      </c>
    </row>
    <row r="1017" ht="15.75" customHeight="1" spans="1:23">
      <c r="A1017" s="177"/>
      <c r="B1017" s="177"/>
      <c r="C1017" s="177"/>
      <c r="D1017" s="201" t="s">
        <v>102</v>
      </c>
      <c r="E1017" s="201" t="s">
        <v>103</v>
      </c>
      <c r="F1017" s="202"/>
      <c r="G1017" s="202"/>
      <c r="H1017" s="11" t="s">
        <v>119</v>
      </c>
      <c r="I1017" s="219" t="s">
        <v>211</v>
      </c>
      <c r="J1017" s="170" t="s">
        <v>108</v>
      </c>
      <c r="K1017" s="200" t="s">
        <v>88</v>
      </c>
      <c r="L1017" s="183">
        <v>30</v>
      </c>
      <c r="M1017" s="180" t="s">
        <v>279</v>
      </c>
      <c r="N1017" s="200" t="s">
        <v>99</v>
      </c>
      <c r="O1017" s="177" t="s">
        <v>14</v>
      </c>
      <c r="P1017" s="170" t="s">
        <v>963</v>
      </c>
      <c r="Q1017" s="170" t="s">
        <v>112</v>
      </c>
      <c r="R1017" s="170" t="s">
        <v>113</v>
      </c>
      <c r="S1017" s="170" t="s">
        <v>964</v>
      </c>
      <c r="T1017" s="170" t="s">
        <v>16</v>
      </c>
      <c r="U1017" s="170" t="s">
        <v>965</v>
      </c>
      <c r="V1017" s="170" t="s">
        <v>304</v>
      </c>
      <c r="W1017" s="170" t="s">
        <v>1183</v>
      </c>
    </row>
    <row r="1018" ht="15.75" customHeight="1" spans="1:23">
      <c r="A1018" s="184"/>
      <c r="B1018" s="184"/>
      <c r="C1018" s="184"/>
      <c r="D1018" s="222" t="s">
        <v>102</v>
      </c>
      <c r="E1018" s="222" t="s">
        <v>103</v>
      </c>
      <c r="F1018" s="223"/>
      <c r="G1018" s="223"/>
      <c r="H1018" s="11" t="s">
        <v>141</v>
      </c>
      <c r="I1018" s="219" t="s">
        <v>479</v>
      </c>
      <c r="J1018" s="170" t="s">
        <v>97</v>
      </c>
      <c r="K1018" s="200" t="s">
        <v>88</v>
      </c>
      <c r="L1018" s="183">
        <v>5</v>
      </c>
      <c r="M1018" s="180" t="s">
        <v>279</v>
      </c>
      <c r="N1018" s="200" t="s">
        <v>99</v>
      </c>
      <c r="O1018" s="184" t="s">
        <v>14</v>
      </c>
      <c r="P1018" s="170" t="s">
        <v>963</v>
      </c>
      <c r="Q1018" s="170" t="s">
        <v>112</v>
      </c>
      <c r="R1018" s="170" t="s">
        <v>113</v>
      </c>
      <c r="S1018" s="170" t="s">
        <v>964</v>
      </c>
      <c r="T1018" s="170" t="s">
        <v>16</v>
      </c>
      <c r="U1018" s="170" t="s">
        <v>965</v>
      </c>
      <c r="V1018" s="170" t="s">
        <v>304</v>
      </c>
      <c r="W1018" s="170" t="s">
        <v>1184</v>
      </c>
    </row>
    <row r="1019" ht="15.75" customHeight="1" spans="1:23">
      <c r="A1019" s="185" t="s">
        <v>1185</v>
      </c>
      <c r="B1019" s="185" t="s">
        <v>1186</v>
      </c>
      <c r="C1019" s="185" t="s">
        <v>173</v>
      </c>
      <c r="D1019" s="186" t="s">
        <v>102</v>
      </c>
      <c r="E1019" s="186" t="s">
        <v>103</v>
      </c>
      <c r="F1019" s="180" t="s">
        <v>1187</v>
      </c>
      <c r="G1019" s="180" t="s">
        <v>961</v>
      </c>
      <c r="H1019" s="11" t="s">
        <v>91</v>
      </c>
      <c r="I1019" s="219" t="s">
        <v>475</v>
      </c>
      <c r="J1019" s="170" t="s">
        <v>108</v>
      </c>
      <c r="K1019" s="175" t="s">
        <v>88</v>
      </c>
      <c r="L1019" s="183">
        <v>2</v>
      </c>
      <c r="M1019" s="183" t="s">
        <v>98</v>
      </c>
      <c r="N1019" s="175" t="s">
        <v>99</v>
      </c>
      <c r="O1019" s="185" t="s">
        <v>14</v>
      </c>
      <c r="P1019" s="170" t="s">
        <v>963</v>
      </c>
      <c r="Q1019" s="170" t="s">
        <v>112</v>
      </c>
      <c r="R1019" s="170" t="s">
        <v>113</v>
      </c>
      <c r="S1019" s="170" t="s">
        <v>964</v>
      </c>
      <c r="T1019" s="170" t="s">
        <v>16</v>
      </c>
      <c r="U1019" s="170" t="s">
        <v>965</v>
      </c>
      <c r="V1019" s="170" t="s">
        <v>304</v>
      </c>
      <c r="W1019" s="170" t="s">
        <v>1188</v>
      </c>
    </row>
    <row r="1020" customHeight="1" spans="1:23">
      <c r="A1020" s="185"/>
      <c r="B1020" s="185"/>
      <c r="C1020" s="185"/>
      <c r="D1020" s="186" t="s">
        <v>102</v>
      </c>
      <c r="E1020" s="186" t="s">
        <v>103</v>
      </c>
      <c r="F1020" s="180"/>
      <c r="G1020" s="180"/>
      <c r="H1020" s="225" t="s">
        <v>132</v>
      </c>
      <c r="I1020" s="226" t="s">
        <v>480</v>
      </c>
      <c r="J1020" s="170" t="s">
        <v>87</v>
      </c>
      <c r="K1020" s="175" t="s">
        <v>88</v>
      </c>
      <c r="L1020" s="183">
        <v>5</v>
      </c>
      <c r="M1020" s="180" t="s">
        <v>1098</v>
      </c>
      <c r="N1020" s="175" t="s">
        <v>90</v>
      </c>
      <c r="O1020" s="185" t="s">
        <v>14</v>
      </c>
      <c r="P1020" s="170" t="s">
        <v>963</v>
      </c>
      <c r="Q1020" s="170" t="s">
        <v>112</v>
      </c>
      <c r="R1020" s="170" t="s">
        <v>113</v>
      </c>
      <c r="S1020" s="170" t="s">
        <v>964</v>
      </c>
      <c r="T1020" s="170" t="s">
        <v>16</v>
      </c>
      <c r="U1020" s="170" t="s">
        <v>965</v>
      </c>
      <c r="V1020" s="170" t="s">
        <v>304</v>
      </c>
      <c r="W1020" s="170" t="s">
        <v>1189</v>
      </c>
    </row>
    <row r="1021" customHeight="1" spans="1:23">
      <c r="A1021" s="185"/>
      <c r="B1021" s="185"/>
      <c r="C1021" s="185"/>
      <c r="D1021" s="186" t="s">
        <v>102</v>
      </c>
      <c r="E1021" s="186" t="s">
        <v>103</v>
      </c>
      <c r="F1021" s="180"/>
      <c r="G1021" s="180"/>
      <c r="H1021" s="21" t="s">
        <v>106</v>
      </c>
      <c r="I1021" s="227" t="s">
        <v>281</v>
      </c>
      <c r="J1021" s="170" t="s">
        <v>87</v>
      </c>
      <c r="K1021" s="175" t="s">
        <v>93</v>
      </c>
      <c r="L1021" s="183">
        <v>35</v>
      </c>
      <c r="M1021" s="183" t="s">
        <v>98</v>
      </c>
      <c r="N1021" s="175" t="s">
        <v>99</v>
      </c>
      <c r="O1021" s="185" t="s">
        <v>14</v>
      </c>
      <c r="P1021" s="170" t="s">
        <v>963</v>
      </c>
      <c r="Q1021" s="170" t="s">
        <v>112</v>
      </c>
      <c r="R1021" s="170" t="s">
        <v>113</v>
      </c>
      <c r="S1021" s="170" t="s">
        <v>964</v>
      </c>
      <c r="T1021" s="170" t="s">
        <v>16</v>
      </c>
      <c r="U1021" s="170" t="s">
        <v>965</v>
      </c>
      <c r="V1021" s="170" t="s">
        <v>304</v>
      </c>
      <c r="W1021" s="170" t="s">
        <v>1190</v>
      </c>
    </row>
    <row r="1022" customHeight="1" spans="1:23">
      <c r="A1022" s="185"/>
      <c r="B1022" s="185"/>
      <c r="C1022" s="185"/>
      <c r="D1022" s="186" t="s">
        <v>102</v>
      </c>
      <c r="E1022" s="186" t="s">
        <v>103</v>
      </c>
      <c r="F1022" s="180"/>
      <c r="G1022" s="180"/>
      <c r="H1022" s="21"/>
      <c r="I1022" s="227" t="s">
        <v>196</v>
      </c>
      <c r="J1022" s="170" t="s">
        <v>87</v>
      </c>
      <c r="K1022" s="175" t="s">
        <v>88</v>
      </c>
      <c r="L1022" s="183">
        <v>2</v>
      </c>
      <c r="M1022" s="183" t="s">
        <v>98</v>
      </c>
      <c r="N1022" s="175" t="s">
        <v>99</v>
      </c>
      <c r="O1022" s="185" t="s">
        <v>14</v>
      </c>
      <c r="P1022" s="170" t="s">
        <v>963</v>
      </c>
      <c r="Q1022" s="170" t="s">
        <v>112</v>
      </c>
      <c r="R1022" s="170" t="s">
        <v>113</v>
      </c>
      <c r="S1022" s="170" t="s">
        <v>964</v>
      </c>
      <c r="T1022" s="170" t="s">
        <v>16</v>
      </c>
      <c r="U1022" s="170" t="s">
        <v>965</v>
      </c>
      <c r="V1022" s="170" t="s">
        <v>304</v>
      </c>
      <c r="W1022" s="170" t="s">
        <v>1191</v>
      </c>
    </row>
    <row r="1023" ht="15.75" customHeight="1" spans="1:23">
      <c r="A1023" s="185"/>
      <c r="B1023" s="185"/>
      <c r="C1023" s="185"/>
      <c r="D1023" s="186" t="s">
        <v>102</v>
      </c>
      <c r="E1023" s="186" t="s">
        <v>103</v>
      </c>
      <c r="F1023" s="180"/>
      <c r="G1023" s="180"/>
      <c r="H1023" s="21" t="s">
        <v>95</v>
      </c>
      <c r="I1023" s="227" t="s">
        <v>285</v>
      </c>
      <c r="J1023" s="170" t="s">
        <v>108</v>
      </c>
      <c r="K1023" s="175" t="s">
        <v>93</v>
      </c>
      <c r="L1023" s="183">
        <v>25</v>
      </c>
      <c r="M1023" s="180" t="s">
        <v>279</v>
      </c>
      <c r="N1023" s="175" t="s">
        <v>99</v>
      </c>
      <c r="O1023" s="185" t="s">
        <v>14</v>
      </c>
      <c r="P1023" s="170" t="s">
        <v>963</v>
      </c>
      <c r="Q1023" s="170" t="s">
        <v>112</v>
      </c>
      <c r="R1023" s="170" t="s">
        <v>113</v>
      </c>
      <c r="S1023" s="170" t="s">
        <v>964</v>
      </c>
      <c r="T1023" s="170" t="s">
        <v>16</v>
      </c>
      <c r="U1023" s="170" t="s">
        <v>965</v>
      </c>
      <c r="V1023" s="170" t="s">
        <v>304</v>
      </c>
      <c r="W1023" s="170" t="s">
        <v>1192</v>
      </c>
    </row>
    <row r="1024" ht="15.75" customHeight="1" spans="1:23">
      <c r="A1024" s="185"/>
      <c r="B1024" s="185"/>
      <c r="C1024" s="185"/>
      <c r="D1024" s="186" t="s">
        <v>102</v>
      </c>
      <c r="E1024" s="186" t="s">
        <v>103</v>
      </c>
      <c r="F1024" s="180"/>
      <c r="G1024" s="180"/>
      <c r="H1024" s="21"/>
      <c r="I1024" s="220" t="s">
        <v>176</v>
      </c>
      <c r="J1024" s="170" t="s">
        <v>97</v>
      </c>
      <c r="K1024" s="175" t="s">
        <v>93</v>
      </c>
      <c r="L1024" s="183">
        <v>30</v>
      </c>
      <c r="M1024" s="183" t="s">
        <v>98</v>
      </c>
      <c r="N1024" s="175" t="s">
        <v>99</v>
      </c>
      <c r="O1024" s="185" t="s">
        <v>14</v>
      </c>
      <c r="P1024" s="170" t="s">
        <v>963</v>
      </c>
      <c r="Q1024" s="170" t="s">
        <v>112</v>
      </c>
      <c r="R1024" s="170" t="s">
        <v>113</v>
      </c>
      <c r="S1024" s="170" t="s">
        <v>964</v>
      </c>
      <c r="T1024" s="170" t="s">
        <v>16</v>
      </c>
      <c r="U1024" s="170" t="s">
        <v>965</v>
      </c>
      <c r="V1024" s="170" t="s">
        <v>304</v>
      </c>
      <c r="W1024" s="170" t="s">
        <v>1193</v>
      </c>
    </row>
    <row r="1025" ht="15.75" customHeight="1" spans="1:23">
      <c r="A1025" s="185"/>
      <c r="B1025" s="185"/>
      <c r="C1025" s="185"/>
      <c r="D1025" s="186" t="s">
        <v>102</v>
      </c>
      <c r="E1025" s="186" t="s">
        <v>103</v>
      </c>
      <c r="F1025" s="180"/>
      <c r="G1025" s="180"/>
      <c r="H1025" s="21"/>
      <c r="I1025" s="220" t="s">
        <v>193</v>
      </c>
      <c r="J1025" s="170" t="s">
        <v>108</v>
      </c>
      <c r="K1025" s="175" t="s">
        <v>88</v>
      </c>
      <c r="L1025" s="183">
        <v>3</v>
      </c>
      <c r="M1025" s="183" t="s">
        <v>98</v>
      </c>
      <c r="N1025" s="175" t="s">
        <v>99</v>
      </c>
      <c r="O1025" s="185" t="s">
        <v>14</v>
      </c>
      <c r="P1025" s="170" t="s">
        <v>963</v>
      </c>
      <c r="Q1025" s="170" t="s">
        <v>112</v>
      </c>
      <c r="R1025" s="170" t="s">
        <v>113</v>
      </c>
      <c r="S1025" s="170" t="s">
        <v>964</v>
      </c>
      <c r="T1025" s="170" t="s">
        <v>16</v>
      </c>
      <c r="U1025" s="170" t="s">
        <v>965</v>
      </c>
      <c r="V1025" s="170" t="s">
        <v>304</v>
      </c>
      <c r="W1025" s="170" t="s">
        <v>1194</v>
      </c>
    </row>
    <row r="1026" ht="15.75" customHeight="1" spans="1:23">
      <c r="A1026" s="185"/>
      <c r="B1026" s="185"/>
      <c r="C1026" s="185"/>
      <c r="D1026" s="186" t="s">
        <v>102</v>
      </c>
      <c r="E1026" s="186" t="s">
        <v>103</v>
      </c>
      <c r="F1026" s="180"/>
      <c r="G1026" s="180"/>
      <c r="H1026" s="21"/>
      <c r="I1026" s="220" t="s">
        <v>136</v>
      </c>
      <c r="J1026" s="170" t="s">
        <v>108</v>
      </c>
      <c r="K1026" s="175" t="s">
        <v>93</v>
      </c>
      <c r="L1026" s="183">
        <v>70</v>
      </c>
      <c r="M1026" s="180" t="s">
        <v>279</v>
      </c>
      <c r="N1026" s="175" t="s">
        <v>99</v>
      </c>
      <c r="O1026" s="185" t="s">
        <v>14</v>
      </c>
      <c r="P1026" s="170" t="s">
        <v>963</v>
      </c>
      <c r="Q1026" s="170" t="s">
        <v>112</v>
      </c>
      <c r="R1026" s="170" t="s">
        <v>113</v>
      </c>
      <c r="S1026" s="170" t="s">
        <v>964</v>
      </c>
      <c r="T1026" s="170" t="s">
        <v>16</v>
      </c>
      <c r="U1026" s="170" t="s">
        <v>965</v>
      </c>
      <c r="V1026" s="170" t="s">
        <v>304</v>
      </c>
      <c r="W1026" s="170" t="s">
        <v>1195</v>
      </c>
    </row>
    <row r="1027" ht="25.5" customHeight="1" spans="1:23">
      <c r="A1027" s="185"/>
      <c r="B1027" s="185"/>
      <c r="C1027" s="185"/>
      <c r="D1027" s="186" t="s">
        <v>102</v>
      </c>
      <c r="E1027" s="186" t="s">
        <v>103</v>
      </c>
      <c r="F1027" s="180"/>
      <c r="G1027" s="180"/>
      <c r="H1027" s="19" t="s">
        <v>218</v>
      </c>
      <c r="I1027" s="227" t="s">
        <v>219</v>
      </c>
      <c r="J1027" s="170" t="s">
        <v>108</v>
      </c>
      <c r="K1027" s="175" t="s">
        <v>88</v>
      </c>
      <c r="L1027" s="183">
        <v>4</v>
      </c>
      <c r="M1027" s="180" t="s">
        <v>279</v>
      </c>
      <c r="N1027" s="175" t="s">
        <v>99</v>
      </c>
      <c r="O1027" s="185" t="s">
        <v>14</v>
      </c>
      <c r="P1027" s="170" t="s">
        <v>963</v>
      </c>
      <c r="Q1027" s="170" t="s">
        <v>112</v>
      </c>
      <c r="R1027" s="170" t="s">
        <v>113</v>
      </c>
      <c r="S1027" s="170" t="s">
        <v>964</v>
      </c>
      <c r="T1027" s="170" t="s">
        <v>16</v>
      </c>
      <c r="U1027" s="170" t="s">
        <v>965</v>
      </c>
      <c r="V1027" s="170" t="s">
        <v>304</v>
      </c>
      <c r="W1027" s="170" t="s">
        <v>1196</v>
      </c>
    </row>
    <row r="1028" customHeight="1" spans="1:23">
      <c r="A1028" s="169" t="s">
        <v>1197</v>
      </c>
      <c r="B1028" s="238" t="s">
        <v>1198</v>
      </c>
      <c r="C1028" s="169" t="s">
        <v>173</v>
      </c>
      <c r="D1028" s="198" t="s">
        <v>102</v>
      </c>
      <c r="E1028" s="198" t="s">
        <v>103</v>
      </c>
      <c r="F1028" s="199" t="s">
        <v>1199</v>
      </c>
      <c r="G1028" s="199" t="s">
        <v>1029</v>
      </c>
      <c r="H1028" s="239" t="s">
        <v>85</v>
      </c>
      <c r="I1028" s="180" t="s">
        <v>86</v>
      </c>
      <c r="J1028" s="170" t="s">
        <v>87</v>
      </c>
      <c r="K1028" s="200" t="s">
        <v>93</v>
      </c>
      <c r="L1028" s="183">
        <v>1.5</v>
      </c>
      <c r="M1028" s="183" t="s">
        <v>89</v>
      </c>
      <c r="N1028" s="200" t="s">
        <v>90</v>
      </c>
      <c r="O1028" s="169" t="s">
        <v>14</v>
      </c>
      <c r="P1028" s="170" t="s">
        <v>963</v>
      </c>
      <c r="Q1028" s="170" t="s">
        <v>112</v>
      </c>
      <c r="R1028" s="170" t="s">
        <v>113</v>
      </c>
      <c r="S1028" s="170" t="s">
        <v>964</v>
      </c>
      <c r="T1028" s="170" t="s">
        <v>16</v>
      </c>
      <c r="U1028" s="170" t="s">
        <v>965</v>
      </c>
      <c r="V1028" s="170" t="s">
        <v>304</v>
      </c>
      <c r="W1028" s="170" t="s">
        <v>1200</v>
      </c>
    </row>
    <row r="1029" customHeight="1" spans="1:23">
      <c r="A1029" s="177"/>
      <c r="B1029" s="177"/>
      <c r="C1029" s="177"/>
      <c r="D1029" s="201" t="s">
        <v>102</v>
      </c>
      <c r="E1029" s="201" t="s">
        <v>103</v>
      </c>
      <c r="F1029" s="202"/>
      <c r="G1029" s="202"/>
      <c r="H1029" s="240"/>
      <c r="I1029" s="180" t="s">
        <v>267</v>
      </c>
      <c r="J1029" s="170" t="s">
        <v>87</v>
      </c>
      <c r="K1029" s="200" t="s">
        <v>93</v>
      </c>
      <c r="L1029" s="183">
        <v>2</v>
      </c>
      <c r="M1029" s="183" t="s">
        <v>89</v>
      </c>
      <c r="N1029" s="200" t="s">
        <v>90</v>
      </c>
      <c r="O1029" s="177" t="s">
        <v>14</v>
      </c>
      <c r="P1029" s="170" t="s">
        <v>963</v>
      </c>
      <c r="Q1029" s="170" t="s">
        <v>112</v>
      </c>
      <c r="R1029" s="170" t="s">
        <v>113</v>
      </c>
      <c r="S1029" s="170" t="s">
        <v>964</v>
      </c>
      <c r="T1029" s="170" t="s">
        <v>16</v>
      </c>
      <c r="U1029" s="170" t="s">
        <v>965</v>
      </c>
      <c r="V1029" s="170" t="s">
        <v>304</v>
      </c>
      <c r="W1029" s="170" t="s">
        <v>1201</v>
      </c>
    </row>
    <row r="1030" ht="15.75" customHeight="1" spans="1:23">
      <c r="A1030" s="177"/>
      <c r="B1030" s="177"/>
      <c r="C1030" s="177"/>
      <c r="D1030" s="201" t="s">
        <v>102</v>
      </c>
      <c r="E1030" s="201" t="s">
        <v>103</v>
      </c>
      <c r="F1030" s="202"/>
      <c r="G1030" s="202"/>
      <c r="H1030" s="240" t="s">
        <v>91</v>
      </c>
      <c r="I1030" s="183" t="s">
        <v>475</v>
      </c>
      <c r="J1030" s="170" t="s">
        <v>108</v>
      </c>
      <c r="K1030" s="200" t="s">
        <v>93</v>
      </c>
      <c r="L1030" s="183">
        <v>3.5</v>
      </c>
      <c r="M1030" s="194" t="s">
        <v>962</v>
      </c>
      <c r="N1030" s="200" t="s">
        <v>90</v>
      </c>
      <c r="O1030" s="177" t="s">
        <v>14</v>
      </c>
      <c r="P1030" s="170" t="s">
        <v>963</v>
      </c>
      <c r="Q1030" s="170" t="s">
        <v>112</v>
      </c>
      <c r="R1030" s="170" t="s">
        <v>113</v>
      </c>
      <c r="S1030" s="170" t="s">
        <v>964</v>
      </c>
      <c r="T1030" s="170" t="s">
        <v>16</v>
      </c>
      <c r="U1030" s="170" t="s">
        <v>965</v>
      </c>
      <c r="V1030" s="170" t="s">
        <v>304</v>
      </c>
      <c r="W1030" s="170" t="s">
        <v>1202</v>
      </c>
    </row>
    <row r="1031" customHeight="1" spans="1:23">
      <c r="A1031" s="177"/>
      <c r="B1031" s="177"/>
      <c r="C1031" s="177"/>
      <c r="D1031" s="201" t="s">
        <v>102</v>
      </c>
      <c r="E1031" s="201" t="s">
        <v>103</v>
      </c>
      <c r="F1031" s="202"/>
      <c r="G1031" s="202"/>
      <c r="H1031" s="241" t="s">
        <v>106</v>
      </c>
      <c r="I1031" s="182" t="s">
        <v>281</v>
      </c>
      <c r="J1031" s="170" t="s">
        <v>87</v>
      </c>
      <c r="K1031" s="200" t="s">
        <v>93</v>
      </c>
      <c r="L1031" s="182">
        <v>36</v>
      </c>
      <c r="M1031" s="180" t="s">
        <v>98</v>
      </c>
      <c r="N1031" s="200" t="s">
        <v>110</v>
      </c>
      <c r="O1031" s="177" t="s">
        <v>14</v>
      </c>
      <c r="P1031" s="170" t="s">
        <v>963</v>
      </c>
      <c r="Q1031" s="170" t="s">
        <v>112</v>
      </c>
      <c r="R1031" s="170" t="s">
        <v>113</v>
      </c>
      <c r="S1031" s="170" t="s">
        <v>964</v>
      </c>
      <c r="T1031" s="170" t="s">
        <v>16</v>
      </c>
      <c r="U1031" s="170" t="s">
        <v>965</v>
      </c>
      <c r="V1031" s="170" t="s">
        <v>304</v>
      </c>
      <c r="W1031" s="170" t="s">
        <v>1203</v>
      </c>
    </row>
    <row r="1032" ht="15.75" customHeight="1" spans="1:23">
      <c r="A1032" s="177"/>
      <c r="B1032" s="177"/>
      <c r="C1032" s="177"/>
      <c r="D1032" s="201" t="s">
        <v>102</v>
      </c>
      <c r="E1032" s="201" t="s">
        <v>103</v>
      </c>
      <c r="F1032" s="202"/>
      <c r="G1032" s="202"/>
      <c r="H1032" s="200" t="s">
        <v>254</v>
      </c>
      <c r="I1032" s="221" t="s">
        <v>255</v>
      </c>
      <c r="J1032" s="170" t="s">
        <v>108</v>
      </c>
      <c r="K1032" s="200" t="s">
        <v>134</v>
      </c>
      <c r="L1032" s="195">
        <v>6</v>
      </c>
      <c r="M1032" s="180" t="s">
        <v>98</v>
      </c>
      <c r="N1032" s="200" t="s">
        <v>99</v>
      </c>
      <c r="O1032" s="177" t="s">
        <v>14</v>
      </c>
      <c r="P1032" s="170" t="s">
        <v>963</v>
      </c>
      <c r="Q1032" s="170" t="s">
        <v>112</v>
      </c>
      <c r="R1032" s="170" t="s">
        <v>113</v>
      </c>
      <c r="S1032" s="170" t="s">
        <v>964</v>
      </c>
      <c r="T1032" s="170" t="s">
        <v>16</v>
      </c>
      <c r="U1032" s="170" t="s">
        <v>965</v>
      </c>
      <c r="V1032" s="170" t="s">
        <v>304</v>
      </c>
      <c r="W1032" s="170" t="s">
        <v>1204</v>
      </c>
    </row>
    <row r="1033" ht="15.75" customHeight="1" spans="1:23">
      <c r="A1033" s="177"/>
      <c r="B1033" s="177"/>
      <c r="C1033" s="177"/>
      <c r="D1033" s="201" t="s">
        <v>102</v>
      </c>
      <c r="E1033" s="201" t="s">
        <v>103</v>
      </c>
      <c r="F1033" s="202"/>
      <c r="G1033" s="202"/>
      <c r="H1033" s="239" t="s">
        <v>95</v>
      </c>
      <c r="I1033" s="221" t="s">
        <v>285</v>
      </c>
      <c r="J1033" s="170" t="s">
        <v>108</v>
      </c>
      <c r="K1033" s="200" t="s">
        <v>93</v>
      </c>
      <c r="L1033" s="180">
        <v>18</v>
      </c>
      <c r="M1033" s="180" t="s">
        <v>98</v>
      </c>
      <c r="N1033" s="200" t="s">
        <v>90</v>
      </c>
      <c r="O1033" s="177" t="s">
        <v>14</v>
      </c>
      <c r="P1033" s="170" t="s">
        <v>963</v>
      </c>
      <c r="Q1033" s="170" t="s">
        <v>112</v>
      </c>
      <c r="R1033" s="170" t="s">
        <v>113</v>
      </c>
      <c r="S1033" s="170" t="s">
        <v>964</v>
      </c>
      <c r="T1033" s="170" t="s">
        <v>16</v>
      </c>
      <c r="U1033" s="170" t="s">
        <v>965</v>
      </c>
      <c r="V1033" s="170" t="s">
        <v>304</v>
      </c>
      <c r="W1033" s="170" t="s">
        <v>1205</v>
      </c>
    </row>
    <row r="1034" ht="15.75" customHeight="1" spans="1:23">
      <c r="A1034" s="177"/>
      <c r="B1034" s="177"/>
      <c r="C1034" s="177"/>
      <c r="D1034" s="201" t="s">
        <v>102</v>
      </c>
      <c r="E1034" s="201" t="s">
        <v>103</v>
      </c>
      <c r="F1034" s="202"/>
      <c r="G1034" s="202"/>
      <c r="H1034" s="240"/>
      <c r="I1034" s="242" t="s">
        <v>176</v>
      </c>
      <c r="J1034" s="170" t="s">
        <v>97</v>
      </c>
      <c r="K1034" s="200" t="s">
        <v>93</v>
      </c>
      <c r="L1034" s="180">
        <v>47</v>
      </c>
      <c r="M1034" s="180" t="s">
        <v>98</v>
      </c>
      <c r="N1034" s="200" t="s">
        <v>90</v>
      </c>
      <c r="O1034" s="177" t="s">
        <v>14</v>
      </c>
      <c r="P1034" s="170" t="s">
        <v>963</v>
      </c>
      <c r="Q1034" s="170" t="s">
        <v>112</v>
      </c>
      <c r="R1034" s="170" t="s">
        <v>113</v>
      </c>
      <c r="S1034" s="170" t="s">
        <v>964</v>
      </c>
      <c r="T1034" s="170" t="s">
        <v>16</v>
      </c>
      <c r="U1034" s="170" t="s">
        <v>965</v>
      </c>
      <c r="V1034" s="170" t="s">
        <v>304</v>
      </c>
      <c r="W1034" s="170" t="s">
        <v>1206</v>
      </c>
    </row>
    <row r="1035" ht="15.75" customHeight="1" spans="1:23">
      <c r="A1035" s="177"/>
      <c r="B1035" s="177"/>
      <c r="C1035" s="177"/>
      <c r="D1035" s="201" t="s">
        <v>102</v>
      </c>
      <c r="E1035" s="201" t="s">
        <v>103</v>
      </c>
      <c r="F1035" s="202"/>
      <c r="G1035" s="202"/>
      <c r="H1035" s="240"/>
      <c r="I1035" s="242" t="s">
        <v>193</v>
      </c>
      <c r="J1035" s="170" t="s">
        <v>108</v>
      </c>
      <c r="K1035" s="200" t="s">
        <v>134</v>
      </c>
      <c r="L1035" s="180">
        <v>3</v>
      </c>
      <c r="M1035" s="180" t="s">
        <v>98</v>
      </c>
      <c r="N1035" s="200" t="s">
        <v>90</v>
      </c>
      <c r="O1035" s="177" t="s">
        <v>14</v>
      </c>
      <c r="P1035" s="170" t="s">
        <v>963</v>
      </c>
      <c r="Q1035" s="170" t="s">
        <v>112</v>
      </c>
      <c r="R1035" s="170" t="s">
        <v>113</v>
      </c>
      <c r="S1035" s="170" t="s">
        <v>964</v>
      </c>
      <c r="T1035" s="170" t="s">
        <v>16</v>
      </c>
      <c r="U1035" s="170" t="s">
        <v>965</v>
      </c>
      <c r="V1035" s="170" t="s">
        <v>304</v>
      </c>
      <c r="W1035" s="170" t="s">
        <v>1207</v>
      </c>
    </row>
    <row r="1036" ht="15.75" customHeight="1" spans="1:23">
      <c r="A1036" s="177"/>
      <c r="B1036" s="177"/>
      <c r="C1036" s="177"/>
      <c r="D1036" s="201" t="s">
        <v>102</v>
      </c>
      <c r="E1036" s="201" t="s">
        <v>103</v>
      </c>
      <c r="F1036" s="202"/>
      <c r="G1036" s="202"/>
      <c r="H1036" s="243"/>
      <c r="I1036" s="244" t="s">
        <v>136</v>
      </c>
      <c r="J1036" s="170" t="s">
        <v>108</v>
      </c>
      <c r="K1036" s="200" t="s">
        <v>93</v>
      </c>
      <c r="L1036" s="180">
        <v>40</v>
      </c>
      <c r="M1036" s="180" t="s">
        <v>98</v>
      </c>
      <c r="N1036" s="200" t="s">
        <v>90</v>
      </c>
      <c r="O1036" s="177" t="s">
        <v>14</v>
      </c>
      <c r="P1036" s="170" t="s">
        <v>963</v>
      </c>
      <c r="Q1036" s="170" t="s">
        <v>112</v>
      </c>
      <c r="R1036" s="170" t="s">
        <v>113</v>
      </c>
      <c r="S1036" s="170" t="s">
        <v>964</v>
      </c>
      <c r="T1036" s="170" t="s">
        <v>16</v>
      </c>
      <c r="U1036" s="170" t="s">
        <v>965</v>
      </c>
      <c r="V1036" s="170" t="s">
        <v>304</v>
      </c>
      <c r="W1036" s="170" t="s">
        <v>1208</v>
      </c>
    </row>
    <row r="1037" ht="30" customHeight="1" spans="1:23">
      <c r="A1037" s="177"/>
      <c r="B1037" s="177"/>
      <c r="C1037" s="177"/>
      <c r="D1037" s="201" t="s">
        <v>102</v>
      </c>
      <c r="E1037" s="201" t="s">
        <v>103</v>
      </c>
      <c r="F1037" s="202"/>
      <c r="G1037" s="202"/>
      <c r="H1037" s="200" t="s">
        <v>218</v>
      </c>
      <c r="I1037" s="180" t="s">
        <v>219</v>
      </c>
      <c r="J1037" s="170" t="s">
        <v>108</v>
      </c>
      <c r="K1037" s="200" t="s">
        <v>88</v>
      </c>
      <c r="L1037" s="180">
        <v>5</v>
      </c>
      <c r="M1037" s="180" t="s">
        <v>279</v>
      </c>
      <c r="N1037" s="200" t="s">
        <v>90</v>
      </c>
      <c r="O1037" s="177" t="s">
        <v>14</v>
      </c>
      <c r="P1037" s="170" t="s">
        <v>963</v>
      </c>
      <c r="Q1037" s="170" t="s">
        <v>112</v>
      </c>
      <c r="R1037" s="170" t="s">
        <v>113</v>
      </c>
      <c r="S1037" s="170" t="s">
        <v>964</v>
      </c>
      <c r="T1037" s="170" t="s">
        <v>16</v>
      </c>
      <c r="U1037" s="170" t="s">
        <v>965</v>
      </c>
      <c r="V1037" s="170" t="s">
        <v>304</v>
      </c>
      <c r="W1037" s="170" t="s">
        <v>1209</v>
      </c>
    </row>
    <row r="1038" ht="15.75" customHeight="1" spans="1:23">
      <c r="A1038" s="177"/>
      <c r="B1038" s="177"/>
      <c r="C1038" s="177"/>
      <c r="D1038" s="201" t="s">
        <v>102</v>
      </c>
      <c r="E1038" s="201" t="s">
        <v>103</v>
      </c>
      <c r="F1038" s="202"/>
      <c r="G1038" s="202"/>
      <c r="H1038" s="200" t="s">
        <v>119</v>
      </c>
      <c r="I1038" s="180" t="s">
        <v>211</v>
      </c>
      <c r="J1038" s="170" t="s">
        <v>108</v>
      </c>
      <c r="K1038" s="200" t="s">
        <v>134</v>
      </c>
      <c r="L1038" s="180">
        <v>6</v>
      </c>
      <c r="M1038" s="180" t="s">
        <v>98</v>
      </c>
      <c r="N1038" s="200" t="s">
        <v>99</v>
      </c>
      <c r="O1038" s="177" t="s">
        <v>14</v>
      </c>
      <c r="P1038" s="170" t="s">
        <v>963</v>
      </c>
      <c r="Q1038" s="170" t="s">
        <v>112</v>
      </c>
      <c r="R1038" s="170" t="s">
        <v>113</v>
      </c>
      <c r="S1038" s="170" t="s">
        <v>964</v>
      </c>
      <c r="T1038" s="170" t="s">
        <v>16</v>
      </c>
      <c r="U1038" s="170" t="s">
        <v>965</v>
      </c>
      <c r="V1038" s="170" t="s">
        <v>304</v>
      </c>
      <c r="W1038" s="170" t="s">
        <v>1210</v>
      </c>
    </row>
    <row r="1039" ht="15.75" customHeight="1" spans="1:23">
      <c r="A1039" s="184"/>
      <c r="B1039" s="184"/>
      <c r="C1039" s="184"/>
      <c r="D1039" s="222" t="s">
        <v>102</v>
      </c>
      <c r="E1039" s="222" t="s">
        <v>103</v>
      </c>
      <c r="F1039" s="223"/>
      <c r="G1039" s="223"/>
      <c r="H1039" s="200" t="s">
        <v>141</v>
      </c>
      <c r="I1039" s="180" t="s">
        <v>479</v>
      </c>
      <c r="J1039" s="170" t="s">
        <v>97</v>
      </c>
      <c r="K1039" s="200" t="s">
        <v>134</v>
      </c>
      <c r="L1039" s="180">
        <v>8</v>
      </c>
      <c r="M1039" s="180" t="s">
        <v>98</v>
      </c>
      <c r="N1039" s="200" t="s">
        <v>99</v>
      </c>
      <c r="O1039" s="184" t="s">
        <v>14</v>
      </c>
      <c r="P1039" s="170" t="s">
        <v>963</v>
      </c>
      <c r="Q1039" s="170" t="s">
        <v>112</v>
      </c>
      <c r="R1039" s="170" t="s">
        <v>113</v>
      </c>
      <c r="S1039" s="170" t="s">
        <v>964</v>
      </c>
      <c r="T1039" s="170" t="s">
        <v>16</v>
      </c>
      <c r="U1039" s="170" t="s">
        <v>965</v>
      </c>
      <c r="V1039" s="170" t="s">
        <v>304</v>
      </c>
      <c r="W1039" s="170" t="s">
        <v>1211</v>
      </c>
    </row>
    <row r="1040" ht="15.75" customHeight="1" spans="1:23">
      <c r="A1040" s="185" t="s">
        <v>1212</v>
      </c>
      <c r="B1040" s="185" t="s">
        <v>1213</v>
      </c>
      <c r="C1040" s="185" t="s">
        <v>173</v>
      </c>
      <c r="D1040" s="186" t="s">
        <v>102</v>
      </c>
      <c r="E1040" s="186" t="s">
        <v>103</v>
      </c>
      <c r="F1040" s="180" t="s">
        <v>1214</v>
      </c>
      <c r="G1040" s="180" t="s">
        <v>1029</v>
      </c>
      <c r="H1040" s="11" t="s">
        <v>91</v>
      </c>
      <c r="I1040" s="219" t="s">
        <v>475</v>
      </c>
      <c r="J1040" s="170" t="s">
        <v>108</v>
      </c>
      <c r="K1040" s="200" t="s">
        <v>93</v>
      </c>
      <c r="L1040" s="183">
        <v>2</v>
      </c>
      <c r="M1040" s="183" t="s">
        <v>98</v>
      </c>
      <c r="N1040" s="200" t="s">
        <v>90</v>
      </c>
      <c r="O1040" s="185" t="s">
        <v>14</v>
      </c>
      <c r="P1040" s="170" t="s">
        <v>963</v>
      </c>
      <c r="Q1040" s="170" t="s">
        <v>112</v>
      </c>
      <c r="R1040" s="170" t="s">
        <v>113</v>
      </c>
      <c r="S1040" s="170" t="s">
        <v>964</v>
      </c>
      <c r="T1040" s="170" t="s">
        <v>16</v>
      </c>
      <c r="U1040" s="170" t="s">
        <v>965</v>
      </c>
      <c r="V1040" s="170" t="s">
        <v>304</v>
      </c>
      <c r="W1040" s="170" t="s">
        <v>1215</v>
      </c>
    </row>
    <row r="1041" customHeight="1" spans="1:23">
      <c r="A1041" s="185"/>
      <c r="B1041" s="185"/>
      <c r="C1041" s="185"/>
      <c r="D1041" s="186" t="s">
        <v>102</v>
      </c>
      <c r="E1041" s="186" t="s">
        <v>103</v>
      </c>
      <c r="F1041" s="180"/>
      <c r="G1041" s="180"/>
      <c r="H1041" s="225" t="s">
        <v>132</v>
      </c>
      <c r="I1041" s="226" t="s">
        <v>480</v>
      </c>
      <c r="J1041" s="170" t="s">
        <v>87</v>
      </c>
      <c r="K1041" s="200" t="s">
        <v>93</v>
      </c>
      <c r="L1041" s="183">
        <v>5</v>
      </c>
      <c r="M1041" s="180" t="s">
        <v>1098</v>
      </c>
      <c r="N1041" s="200" t="s">
        <v>99</v>
      </c>
      <c r="O1041" s="185" t="s">
        <v>14</v>
      </c>
      <c r="P1041" s="170" t="s">
        <v>963</v>
      </c>
      <c r="Q1041" s="170" t="s">
        <v>112</v>
      </c>
      <c r="R1041" s="170" t="s">
        <v>113</v>
      </c>
      <c r="S1041" s="170" t="s">
        <v>964</v>
      </c>
      <c r="T1041" s="170" t="s">
        <v>16</v>
      </c>
      <c r="U1041" s="170" t="s">
        <v>965</v>
      </c>
      <c r="V1041" s="170" t="s">
        <v>304</v>
      </c>
      <c r="W1041" s="170" t="s">
        <v>1216</v>
      </c>
    </row>
    <row r="1042" customHeight="1" spans="1:23">
      <c r="A1042" s="185"/>
      <c r="B1042" s="185"/>
      <c r="C1042" s="185"/>
      <c r="D1042" s="186" t="s">
        <v>102</v>
      </c>
      <c r="E1042" s="186" t="s">
        <v>103</v>
      </c>
      <c r="F1042" s="180"/>
      <c r="G1042" s="180"/>
      <c r="H1042" s="21" t="s">
        <v>106</v>
      </c>
      <c r="I1042" s="227" t="s">
        <v>281</v>
      </c>
      <c r="J1042" s="170" t="s">
        <v>87</v>
      </c>
      <c r="K1042" s="200" t="s">
        <v>93</v>
      </c>
      <c r="L1042" s="183">
        <v>35</v>
      </c>
      <c r="M1042" s="183" t="s">
        <v>98</v>
      </c>
      <c r="N1042" s="200" t="s">
        <v>90</v>
      </c>
      <c r="O1042" s="185" t="s">
        <v>14</v>
      </c>
      <c r="P1042" s="170" t="s">
        <v>963</v>
      </c>
      <c r="Q1042" s="170" t="s">
        <v>112</v>
      </c>
      <c r="R1042" s="170" t="s">
        <v>113</v>
      </c>
      <c r="S1042" s="170" t="s">
        <v>964</v>
      </c>
      <c r="T1042" s="170" t="s">
        <v>16</v>
      </c>
      <c r="U1042" s="170" t="s">
        <v>965</v>
      </c>
      <c r="V1042" s="170" t="s">
        <v>304</v>
      </c>
      <c r="W1042" s="170" t="s">
        <v>1217</v>
      </c>
    </row>
    <row r="1043" customHeight="1" spans="1:23">
      <c r="A1043" s="185"/>
      <c r="B1043" s="185"/>
      <c r="C1043" s="185"/>
      <c r="D1043" s="186" t="s">
        <v>102</v>
      </c>
      <c r="E1043" s="186" t="s">
        <v>103</v>
      </c>
      <c r="F1043" s="180"/>
      <c r="G1043" s="180"/>
      <c r="H1043" s="21"/>
      <c r="I1043" s="227" t="s">
        <v>196</v>
      </c>
      <c r="J1043" s="170" t="s">
        <v>87</v>
      </c>
      <c r="K1043" s="200" t="s">
        <v>93</v>
      </c>
      <c r="L1043" s="183">
        <v>2</v>
      </c>
      <c r="M1043" s="183" t="s">
        <v>89</v>
      </c>
      <c r="N1043" s="200" t="s">
        <v>90</v>
      </c>
      <c r="O1043" s="185" t="s">
        <v>14</v>
      </c>
      <c r="P1043" s="170" t="s">
        <v>963</v>
      </c>
      <c r="Q1043" s="170" t="s">
        <v>112</v>
      </c>
      <c r="R1043" s="170" t="s">
        <v>113</v>
      </c>
      <c r="S1043" s="170" t="s">
        <v>964</v>
      </c>
      <c r="T1043" s="170" t="s">
        <v>16</v>
      </c>
      <c r="U1043" s="170" t="s">
        <v>965</v>
      </c>
      <c r="V1043" s="170" t="s">
        <v>304</v>
      </c>
      <c r="W1043" s="170" t="s">
        <v>1218</v>
      </c>
    </row>
    <row r="1044" ht="15.75" customHeight="1" spans="1:23">
      <c r="A1044" s="185"/>
      <c r="B1044" s="185"/>
      <c r="C1044" s="185"/>
      <c r="D1044" s="186" t="s">
        <v>102</v>
      </c>
      <c r="E1044" s="186" t="s">
        <v>103</v>
      </c>
      <c r="F1044" s="180"/>
      <c r="G1044" s="180"/>
      <c r="H1044" s="21" t="s">
        <v>95</v>
      </c>
      <c r="I1044" s="227" t="s">
        <v>285</v>
      </c>
      <c r="J1044" s="170" t="s">
        <v>108</v>
      </c>
      <c r="K1044" s="200" t="s">
        <v>93</v>
      </c>
      <c r="L1044" s="183">
        <v>25</v>
      </c>
      <c r="M1044" s="180" t="s">
        <v>279</v>
      </c>
      <c r="N1044" s="200" t="s">
        <v>90</v>
      </c>
      <c r="O1044" s="185" t="s">
        <v>14</v>
      </c>
      <c r="P1044" s="170" t="s">
        <v>963</v>
      </c>
      <c r="Q1044" s="170" t="s">
        <v>112</v>
      </c>
      <c r="R1044" s="170" t="s">
        <v>113</v>
      </c>
      <c r="S1044" s="170" t="s">
        <v>964</v>
      </c>
      <c r="T1044" s="170" t="s">
        <v>16</v>
      </c>
      <c r="U1044" s="170" t="s">
        <v>965</v>
      </c>
      <c r="V1044" s="170" t="s">
        <v>304</v>
      </c>
      <c r="W1044" s="170" t="s">
        <v>1219</v>
      </c>
    </row>
    <row r="1045" ht="15.75" customHeight="1" spans="1:23">
      <c r="A1045" s="185"/>
      <c r="B1045" s="185"/>
      <c r="C1045" s="185"/>
      <c r="D1045" s="186" t="s">
        <v>102</v>
      </c>
      <c r="E1045" s="186" t="s">
        <v>103</v>
      </c>
      <c r="F1045" s="180"/>
      <c r="G1045" s="180"/>
      <c r="H1045" s="21"/>
      <c r="I1045" s="220" t="s">
        <v>176</v>
      </c>
      <c r="J1045" s="170" t="s">
        <v>97</v>
      </c>
      <c r="K1045" s="200" t="s">
        <v>93</v>
      </c>
      <c r="L1045" s="183">
        <v>30</v>
      </c>
      <c r="M1045" s="183" t="s">
        <v>98</v>
      </c>
      <c r="N1045" s="200" t="s">
        <v>110</v>
      </c>
      <c r="O1045" s="185" t="s">
        <v>14</v>
      </c>
      <c r="P1045" s="170" t="s">
        <v>963</v>
      </c>
      <c r="Q1045" s="170" t="s">
        <v>112</v>
      </c>
      <c r="R1045" s="170" t="s">
        <v>113</v>
      </c>
      <c r="S1045" s="170" t="s">
        <v>964</v>
      </c>
      <c r="T1045" s="170" t="s">
        <v>16</v>
      </c>
      <c r="U1045" s="170" t="s">
        <v>965</v>
      </c>
      <c r="V1045" s="170" t="s">
        <v>304</v>
      </c>
      <c r="W1045" s="170" t="s">
        <v>1220</v>
      </c>
    </row>
    <row r="1046" ht="15.75" customHeight="1" spans="1:23">
      <c r="A1046" s="185"/>
      <c r="B1046" s="185"/>
      <c r="C1046" s="185"/>
      <c r="D1046" s="186" t="s">
        <v>102</v>
      </c>
      <c r="E1046" s="186" t="s">
        <v>103</v>
      </c>
      <c r="F1046" s="180"/>
      <c r="G1046" s="180"/>
      <c r="H1046" s="21"/>
      <c r="I1046" s="220" t="s">
        <v>193</v>
      </c>
      <c r="J1046" s="170" t="s">
        <v>108</v>
      </c>
      <c r="K1046" s="200" t="s">
        <v>93</v>
      </c>
      <c r="L1046" s="183">
        <v>3</v>
      </c>
      <c r="M1046" s="183" t="s">
        <v>98</v>
      </c>
      <c r="N1046" s="200" t="s">
        <v>110</v>
      </c>
      <c r="O1046" s="185" t="s">
        <v>14</v>
      </c>
      <c r="P1046" s="170" t="s">
        <v>963</v>
      </c>
      <c r="Q1046" s="170" t="s">
        <v>112</v>
      </c>
      <c r="R1046" s="170" t="s">
        <v>113</v>
      </c>
      <c r="S1046" s="170" t="s">
        <v>964</v>
      </c>
      <c r="T1046" s="170" t="s">
        <v>16</v>
      </c>
      <c r="U1046" s="170" t="s">
        <v>965</v>
      </c>
      <c r="V1046" s="170" t="s">
        <v>304</v>
      </c>
      <c r="W1046" s="170" t="s">
        <v>1221</v>
      </c>
    </row>
    <row r="1047" ht="15.75" customHeight="1" spans="1:23">
      <c r="A1047" s="185"/>
      <c r="B1047" s="185"/>
      <c r="C1047" s="185"/>
      <c r="D1047" s="186" t="s">
        <v>102</v>
      </c>
      <c r="E1047" s="186" t="s">
        <v>103</v>
      </c>
      <c r="F1047" s="180"/>
      <c r="G1047" s="180"/>
      <c r="H1047" s="21"/>
      <c r="I1047" s="220" t="s">
        <v>136</v>
      </c>
      <c r="J1047" s="170" t="s">
        <v>108</v>
      </c>
      <c r="K1047" s="200" t="s">
        <v>93</v>
      </c>
      <c r="L1047" s="183">
        <v>70</v>
      </c>
      <c r="M1047" s="180" t="s">
        <v>279</v>
      </c>
      <c r="N1047" s="200" t="s">
        <v>110</v>
      </c>
      <c r="O1047" s="185" t="s">
        <v>14</v>
      </c>
      <c r="P1047" s="170" t="s">
        <v>963</v>
      </c>
      <c r="Q1047" s="170" t="s">
        <v>112</v>
      </c>
      <c r="R1047" s="170" t="s">
        <v>113</v>
      </c>
      <c r="S1047" s="170" t="s">
        <v>964</v>
      </c>
      <c r="T1047" s="170" t="s">
        <v>16</v>
      </c>
      <c r="U1047" s="170" t="s">
        <v>965</v>
      </c>
      <c r="V1047" s="170" t="s">
        <v>304</v>
      </c>
      <c r="W1047" s="170" t="s">
        <v>1222</v>
      </c>
    </row>
    <row r="1048" ht="25.5" customHeight="1" spans="1:23">
      <c r="A1048" s="185"/>
      <c r="B1048" s="185"/>
      <c r="C1048" s="185"/>
      <c r="D1048" s="186" t="s">
        <v>102</v>
      </c>
      <c r="E1048" s="186" t="s">
        <v>103</v>
      </c>
      <c r="F1048" s="180"/>
      <c r="G1048" s="180"/>
      <c r="H1048" s="19" t="s">
        <v>218</v>
      </c>
      <c r="I1048" s="227" t="s">
        <v>219</v>
      </c>
      <c r="J1048" s="170" t="s">
        <v>108</v>
      </c>
      <c r="K1048" s="200" t="s">
        <v>93</v>
      </c>
      <c r="L1048" s="183">
        <v>4</v>
      </c>
      <c r="M1048" s="180" t="s">
        <v>279</v>
      </c>
      <c r="N1048" s="200" t="s">
        <v>99</v>
      </c>
      <c r="O1048" s="185" t="s">
        <v>14</v>
      </c>
      <c r="P1048" s="170" t="s">
        <v>963</v>
      </c>
      <c r="Q1048" s="170" t="s">
        <v>112</v>
      </c>
      <c r="R1048" s="170" t="s">
        <v>113</v>
      </c>
      <c r="S1048" s="170" t="s">
        <v>964</v>
      </c>
      <c r="T1048" s="170" t="s">
        <v>16</v>
      </c>
      <c r="U1048" s="170" t="s">
        <v>965</v>
      </c>
      <c r="V1048" s="170" t="s">
        <v>304</v>
      </c>
      <c r="W1048" s="170" t="s">
        <v>1223</v>
      </c>
    </row>
    <row r="1049" ht="25.5" customHeight="1" spans="1:23">
      <c r="A1049" s="169" t="s">
        <v>1224</v>
      </c>
      <c r="B1049" s="169" t="s">
        <v>1225</v>
      </c>
      <c r="C1049" s="185"/>
      <c r="D1049" s="186"/>
      <c r="E1049" s="186"/>
      <c r="F1049" s="199" t="s">
        <v>1226</v>
      </c>
      <c r="G1049" s="199" t="s">
        <v>1029</v>
      </c>
      <c r="H1049" s="19" t="s">
        <v>85</v>
      </c>
      <c r="I1049" s="17" t="s">
        <v>267</v>
      </c>
      <c r="J1049" s="170" t="s">
        <v>87</v>
      </c>
      <c r="K1049" s="200" t="s">
        <v>93</v>
      </c>
      <c r="L1049" s="175">
        <v>5</v>
      </c>
      <c r="M1049" s="194" t="s">
        <v>1030</v>
      </c>
      <c r="N1049" s="200" t="s">
        <v>99</v>
      </c>
      <c r="O1049" s="185"/>
      <c r="P1049" s="170"/>
      <c r="Q1049" s="170"/>
      <c r="R1049" s="170"/>
      <c r="S1049" s="170"/>
      <c r="T1049" s="170"/>
      <c r="U1049" s="170"/>
      <c r="V1049" s="170"/>
      <c r="W1049" s="170"/>
    </row>
    <row r="1050" ht="15.75" customHeight="1" spans="1:23">
      <c r="A1050" s="177"/>
      <c r="B1050" s="177"/>
      <c r="C1050" s="185" t="s">
        <v>173</v>
      </c>
      <c r="D1050" s="186" t="s">
        <v>102</v>
      </c>
      <c r="E1050" s="186" t="s">
        <v>103</v>
      </c>
      <c r="F1050" s="202"/>
      <c r="G1050" s="202"/>
      <c r="H1050" s="19" t="s">
        <v>91</v>
      </c>
      <c r="I1050" s="227" t="s">
        <v>475</v>
      </c>
      <c r="J1050" s="170" t="s">
        <v>108</v>
      </c>
      <c r="K1050" s="200" t="s">
        <v>93</v>
      </c>
      <c r="L1050" s="175">
        <v>2</v>
      </c>
      <c r="M1050" s="194" t="s">
        <v>1030</v>
      </c>
      <c r="N1050" s="200" t="s">
        <v>90</v>
      </c>
      <c r="O1050" s="185" t="s">
        <v>14</v>
      </c>
      <c r="P1050" s="170" t="s">
        <v>963</v>
      </c>
      <c r="Q1050" s="170" t="s">
        <v>112</v>
      </c>
      <c r="R1050" s="170" t="s">
        <v>113</v>
      </c>
      <c r="S1050" s="170" t="s">
        <v>964</v>
      </c>
      <c r="T1050" s="170" t="s">
        <v>16</v>
      </c>
      <c r="U1050" s="170" t="s">
        <v>965</v>
      </c>
      <c r="V1050" s="170" t="s">
        <v>304</v>
      </c>
      <c r="W1050" s="170" t="s">
        <v>1227</v>
      </c>
    </row>
    <row r="1051" customHeight="1" spans="1:23">
      <c r="A1051" s="177"/>
      <c r="B1051" s="177"/>
      <c r="C1051" s="185"/>
      <c r="D1051" s="186" t="s">
        <v>102</v>
      </c>
      <c r="E1051" s="186" t="s">
        <v>103</v>
      </c>
      <c r="F1051" s="202"/>
      <c r="G1051" s="202"/>
      <c r="H1051" s="19" t="s">
        <v>132</v>
      </c>
      <c r="I1051" s="227" t="s">
        <v>480</v>
      </c>
      <c r="J1051" s="170" t="s">
        <v>87</v>
      </c>
      <c r="K1051" s="200" t="s">
        <v>93</v>
      </c>
      <c r="L1051" s="175">
        <v>5</v>
      </c>
      <c r="M1051" s="180" t="s">
        <v>1098</v>
      </c>
      <c r="N1051" s="200" t="s">
        <v>90</v>
      </c>
      <c r="O1051" s="185" t="s">
        <v>14</v>
      </c>
      <c r="P1051" s="170" t="s">
        <v>963</v>
      </c>
      <c r="Q1051" s="170" t="s">
        <v>112</v>
      </c>
      <c r="R1051" s="170" t="s">
        <v>113</v>
      </c>
      <c r="S1051" s="170" t="s">
        <v>964</v>
      </c>
      <c r="T1051" s="170" t="s">
        <v>16</v>
      </c>
      <c r="U1051" s="170" t="s">
        <v>965</v>
      </c>
      <c r="V1051" s="170" t="s">
        <v>304</v>
      </c>
      <c r="W1051" s="170" t="s">
        <v>1228</v>
      </c>
    </row>
    <row r="1052" customHeight="1" spans="1:23">
      <c r="A1052" s="177"/>
      <c r="B1052" s="177"/>
      <c r="C1052" s="185"/>
      <c r="D1052" s="186" t="s">
        <v>102</v>
      </c>
      <c r="E1052" s="186" t="s">
        <v>103</v>
      </c>
      <c r="F1052" s="202"/>
      <c r="G1052" s="202"/>
      <c r="H1052" s="19" t="s">
        <v>106</v>
      </c>
      <c r="I1052" s="227" t="s">
        <v>281</v>
      </c>
      <c r="J1052" s="170" t="s">
        <v>87</v>
      </c>
      <c r="K1052" s="200" t="s">
        <v>93</v>
      </c>
      <c r="L1052" s="175">
        <v>30</v>
      </c>
      <c r="M1052" s="176" t="s">
        <v>279</v>
      </c>
      <c r="N1052" s="200" t="s">
        <v>90</v>
      </c>
      <c r="O1052" s="185" t="s">
        <v>14</v>
      </c>
      <c r="P1052" s="170" t="s">
        <v>963</v>
      </c>
      <c r="Q1052" s="170" t="s">
        <v>112</v>
      </c>
      <c r="R1052" s="170" t="s">
        <v>113</v>
      </c>
      <c r="S1052" s="170" t="s">
        <v>964</v>
      </c>
      <c r="T1052" s="170" t="s">
        <v>16</v>
      </c>
      <c r="U1052" s="170" t="s">
        <v>965</v>
      </c>
      <c r="V1052" s="170" t="s">
        <v>304</v>
      </c>
      <c r="W1052" s="170" t="s">
        <v>1229</v>
      </c>
    </row>
    <row r="1053" customHeight="1" spans="1:23">
      <c r="A1053" s="177"/>
      <c r="B1053" s="177"/>
      <c r="C1053" s="185"/>
      <c r="D1053" s="186" t="s">
        <v>102</v>
      </c>
      <c r="E1053" s="186" t="s">
        <v>103</v>
      </c>
      <c r="F1053" s="202"/>
      <c r="G1053" s="202"/>
      <c r="H1053" s="239" t="s">
        <v>95</v>
      </c>
      <c r="I1053" s="180" t="s">
        <v>196</v>
      </c>
      <c r="J1053" s="170" t="s">
        <v>87</v>
      </c>
      <c r="K1053" s="200" t="s">
        <v>93</v>
      </c>
      <c r="L1053" s="175">
        <v>2</v>
      </c>
      <c r="M1053" s="176" t="s">
        <v>279</v>
      </c>
      <c r="N1053" s="200" t="s">
        <v>90</v>
      </c>
      <c r="O1053" s="185" t="s">
        <v>14</v>
      </c>
      <c r="P1053" s="170" t="s">
        <v>963</v>
      </c>
      <c r="Q1053" s="170" t="s">
        <v>112</v>
      </c>
      <c r="R1053" s="170" t="s">
        <v>113</v>
      </c>
      <c r="S1053" s="170" t="s">
        <v>964</v>
      </c>
      <c r="T1053" s="170" t="s">
        <v>16</v>
      </c>
      <c r="U1053" s="170" t="s">
        <v>965</v>
      </c>
      <c r="V1053" s="170" t="s">
        <v>304</v>
      </c>
      <c r="W1053" s="170" t="s">
        <v>1230</v>
      </c>
    </row>
    <row r="1054" ht="15.75" customHeight="1" spans="1:23">
      <c r="A1054" s="177"/>
      <c r="B1054" s="177"/>
      <c r="C1054" s="185"/>
      <c r="D1054" s="186" t="s">
        <v>102</v>
      </c>
      <c r="E1054" s="186" t="s">
        <v>103</v>
      </c>
      <c r="F1054" s="202"/>
      <c r="G1054" s="202"/>
      <c r="H1054" s="239" t="s">
        <v>95</v>
      </c>
      <c r="I1054" s="180" t="s">
        <v>285</v>
      </c>
      <c r="J1054" s="170" t="s">
        <v>108</v>
      </c>
      <c r="K1054" s="200" t="s">
        <v>93</v>
      </c>
      <c r="L1054" s="175">
        <v>25</v>
      </c>
      <c r="M1054" s="176" t="s">
        <v>279</v>
      </c>
      <c r="N1054" s="200" t="s">
        <v>90</v>
      </c>
      <c r="O1054" s="185" t="s">
        <v>14</v>
      </c>
      <c r="P1054" s="170" t="s">
        <v>963</v>
      </c>
      <c r="Q1054" s="170" t="s">
        <v>112</v>
      </c>
      <c r="R1054" s="170" t="s">
        <v>113</v>
      </c>
      <c r="S1054" s="170" t="s">
        <v>964</v>
      </c>
      <c r="T1054" s="170" t="s">
        <v>16</v>
      </c>
      <c r="U1054" s="170" t="s">
        <v>965</v>
      </c>
      <c r="V1054" s="170" t="s">
        <v>304</v>
      </c>
      <c r="W1054" s="170" t="s">
        <v>1231</v>
      </c>
    </row>
    <row r="1055" ht="15.75" customHeight="1" spans="1:23">
      <c r="A1055" s="177"/>
      <c r="B1055" s="177"/>
      <c r="C1055" s="185"/>
      <c r="D1055" s="186" t="s">
        <v>102</v>
      </c>
      <c r="E1055" s="186" t="s">
        <v>103</v>
      </c>
      <c r="F1055" s="202"/>
      <c r="G1055" s="202"/>
      <c r="H1055" s="239" t="s">
        <v>95</v>
      </c>
      <c r="I1055" s="180" t="s">
        <v>176</v>
      </c>
      <c r="J1055" s="170" t="s">
        <v>97</v>
      </c>
      <c r="K1055" s="200" t="s">
        <v>93</v>
      </c>
      <c r="L1055" s="175">
        <v>30</v>
      </c>
      <c r="M1055" s="176" t="s">
        <v>279</v>
      </c>
      <c r="N1055" s="200" t="s">
        <v>110</v>
      </c>
      <c r="O1055" s="185" t="s">
        <v>14</v>
      </c>
      <c r="P1055" s="170" t="s">
        <v>963</v>
      </c>
      <c r="Q1055" s="170" t="s">
        <v>112</v>
      </c>
      <c r="R1055" s="170" t="s">
        <v>113</v>
      </c>
      <c r="S1055" s="170" t="s">
        <v>964</v>
      </c>
      <c r="T1055" s="170" t="s">
        <v>16</v>
      </c>
      <c r="U1055" s="170" t="s">
        <v>965</v>
      </c>
      <c r="V1055" s="170" t="s">
        <v>304</v>
      </c>
      <c r="W1055" s="170" t="s">
        <v>1232</v>
      </c>
    </row>
    <row r="1056" ht="15.75" customHeight="1" spans="1:23">
      <c r="A1056" s="177"/>
      <c r="B1056" s="177"/>
      <c r="C1056" s="185"/>
      <c r="D1056" s="186" t="s">
        <v>102</v>
      </c>
      <c r="E1056" s="186" t="s">
        <v>103</v>
      </c>
      <c r="F1056" s="202"/>
      <c r="G1056" s="202"/>
      <c r="H1056" s="239" t="s">
        <v>95</v>
      </c>
      <c r="I1056" s="180" t="s">
        <v>193</v>
      </c>
      <c r="J1056" s="170" t="s">
        <v>108</v>
      </c>
      <c r="K1056" s="200" t="s">
        <v>93</v>
      </c>
      <c r="L1056" s="175">
        <v>3</v>
      </c>
      <c r="M1056" s="176" t="s">
        <v>279</v>
      </c>
      <c r="N1056" s="200" t="s">
        <v>110</v>
      </c>
      <c r="O1056" s="185" t="s">
        <v>14</v>
      </c>
      <c r="P1056" s="170" t="s">
        <v>963</v>
      </c>
      <c r="Q1056" s="170" t="s">
        <v>112</v>
      </c>
      <c r="R1056" s="170" t="s">
        <v>113</v>
      </c>
      <c r="S1056" s="170" t="s">
        <v>964</v>
      </c>
      <c r="T1056" s="170" t="s">
        <v>16</v>
      </c>
      <c r="U1056" s="170" t="s">
        <v>965</v>
      </c>
      <c r="V1056" s="170" t="s">
        <v>304</v>
      </c>
      <c r="W1056" s="170" t="s">
        <v>1233</v>
      </c>
    </row>
    <row r="1057" ht="15.75" customHeight="1" spans="1:23">
      <c r="A1057" s="177"/>
      <c r="B1057" s="177"/>
      <c r="C1057" s="185"/>
      <c r="D1057" s="186" t="s">
        <v>102</v>
      </c>
      <c r="E1057" s="186" t="s">
        <v>103</v>
      </c>
      <c r="F1057" s="202"/>
      <c r="G1057" s="202"/>
      <c r="H1057" s="239" t="s">
        <v>95</v>
      </c>
      <c r="I1057" s="182" t="s">
        <v>136</v>
      </c>
      <c r="J1057" s="170" t="s">
        <v>108</v>
      </c>
      <c r="K1057" s="200" t="s">
        <v>93</v>
      </c>
      <c r="L1057" s="175">
        <v>70</v>
      </c>
      <c r="M1057" s="182" t="s">
        <v>279</v>
      </c>
      <c r="N1057" s="200" t="s">
        <v>110</v>
      </c>
      <c r="O1057" s="185" t="s">
        <v>14</v>
      </c>
      <c r="P1057" s="170" t="s">
        <v>963</v>
      </c>
      <c r="Q1057" s="170" t="s">
        <v>112</v>
      </c>
      <c r="R1057" s="170" t="s">
        <v>113</v>
      </c>
      <c r="S1057" s="170" t="s">
        <v>964</v>
      </c>
      <c r="T1057" s="170" t="s">
        <v>16</v>
      </c>
      <c r="U1057" s="170" t="s">
        <v>965</v>
      </c>
      <c r="V1057" s="170" t="s">
        <v>304</v>
      </c>
      <c r="W1057" s="170" t="s">
        <v>1234</v>
      </c>
    </row>
    <row r="1058" ht="15.75" customHeight="1" spans="1:23">
      <c r="A1058" s="184"/>
      <c r="B1058" s="184"/>
      <c r="C1058" s="185"/>
      <c r="D1058" s="186" t="s">
        <v>102</v>
      </c>
      <c r="E1058" s="186" t="s">
        <v>103</v>
      </c>
      <c r="F1058" s="223"/>
      <c r="G1058" s="223"/>
      <c r="H1058" s="200" t="s">
        <v>218</v>
      </c>
      <c r="I1058" s="182" t="s">
        <v>219</v>
      </c>
      <c r="J1058" s="170" t="s">
        <v>108</v>
      </c>
      <c r="K1058" s="200" t="s">
        <v>93</v>
      </c>
      <c r="L1058" s="183">
        <v>4</v>
      </c>
      <c r="M1058" s="182" t="s">
        <v>279</v>
      </c>
      <c r="N1058" s="200" t="s">
        <v>99</v>
      </c>
      <c r="O1058" s="185" t="s">
        <v>14</v>
      </c>
      <c r="P1058" s="170" t="s">
        <v>963</v>
      </c>
      <c r="Q1058" s="170" t="s">
        <v>112</v>
      </c>
      <c r="R1058" s="170" t="s">
        <v>113</v>
      </c>
      <c r="S1058" s="170" t="s">
        <v>964</v>
      </c>
      <c r="T1058" s="170" t="s">
        <v>16</v>
      </c>
      <c r="U1058" s="170" t="s">
        <v>965</v>
      </c>
      <c r="V1058" s="170" t="s">
        <v>304</v>
      </c>
      <c r="W1058" s="170" t="s">
        <v>1235</v>
      </c>
    </row>
    <row r="1059" ht="15.75" customHeight="1" spans="1:23">
      <c r="A1059" s="169" t="s">
        <v>1236</v>
      </c>
      <c r="B1059" s="169" t="s">
        <v>1237</v>
      </c>
      <c r="C1059" s="169" t="s">
        <v>173</v>
      </c>
      <c r="D1059" s="198" t="s">
        <v>102</v>
      </c>
      <c r="E1059" s="198" t="s">
        <v>103</v>
      </c>
      <c r="F1059" s="199" t="s">
        <v>1238</v>
      </c>
      <c r="G1059" s="199" t="s">
        <v>1029</v>
      </c>
      <c r="H1059" s="19" t="s">
        <v>91</v>
      </c>
      <c r="I1059" s="227" t="s">
        <v>475</v>
      </c>
      <c r="J1059" s="170" t="s">
        <v>108</v>
      </c>
      <c r="K1059" s="200" t="s">
        <v>93</v>
      </c>
      <c r="L1059" s="183">
        <v>2</v>
      </c>
      <c r="M1059" s="194" t="s">
        <v>1030</v>
      </c>
      <c r="N1059" s="200" t="s">
        <v>90</v>
      </c>
      <c r="O1059" s="169" t="s">
        <v>14</v>
      </c>
      <c r="P1059" s="170" t="s">
        <v>963</v>
      </c>
      <c r="Q1059" s="170" t="s">
        <v>112</v>
      </c>
      <c r="R1059" s="170" t="s">
        <v>113</v>
      </c>
      <c r="S1059" s="170" t="s">
        <v>964</v>
      </c>
      <c r="T1059" s="170" t="s">
        <v>16</v>
      </c>
      <c r="U1059" s="170" t="s">
        <v>965</v>
      </c>
      <c r="V1059" s="170" t="s">
        <v>304</v>
      </c>
      <c r="W1059" s="170" t="s">
        <v>1239</v>
      </c>
    </row>
    <row r="1060" customHeight="1" spans="1:23">
      <c r="A1060" s="177"/>
      <c r="B1060" s="177"/>
      <c r="C1060" s="177"/>
      <c r="D1060" s="201" t="s">
        <v>102</v>
      </c>
      <c r="E1060" s="201" t="s">
        <v>103</v>
      </c>
      <c r="F1060" s="202"/>
      <c r="G1060" s="202"/>
      <c r="H1060" s="19" t="s">
        <v>132</v>
      </c>
      <c r="I1060" s="227" t="s">
        <v>480</v>
      </c>
      <c r="J1060" s="170" t="s">
        <v>87</v>
      </c>
      <c r="K1060" s="200" t="s">
        <v>93</v>
      </c>
      <c r="L1060" s="183">
        <v>5</v>
      </c>
      <c r="M1060" s="180" t="s">
        <v>1098</v>
      </c>
      <c r="N1060" s="200" t="s">
        <v>90</v>
      </c>
      <c r="O1060" s="177" t="s">
        <v>14</v>
      </c>
      <c r="P1060" s="170" t="s">
        <v>963</v>
      </c>
      <c r="Q1060" s="170" t="s">
        <v>112</v>
      </c>
      <c r="R1060" s="170" t="s">
        <v>113</v>
      </c>
      <c r="S1060" s="170" t="s">
        <v>964</v>
      </c>
      <c r="T1060" s="170" t="s">
        <v>16</v>
      </c>
      <c r="U1060" s="170" t="s">
        <v>965</v>
      </c>
      <c r="V1060" s="170" t="s">
        <v>304</v>
      </c>
      <c r="W1060" s="170" t="s">
        <v>1240</v>
      </c>
    </row>
    <row r="1061" customHeight="1" spans="1:23">
      <c r="A1061" s="177"/>
      <c r="B1061" s="177"/>
      <c r="C1061" s="177"/>
      <c r="D1061" s="201" t="s">
        <v>102</v>
      </c>
      <c r="E1061" s="201" t="s">
        <v>103</v>
      </c>
      <c r="F1061" s="202"/>
      <c r="G1061" s="202"/>
      <c r="H1061" s="19" t="s">
        <v>106</v>
      </c>
      <c r="I1061" s="227" t="s">
        <v>281</v>
      </c>
      <c r="J1061" s="170" t="s">
        <v>87</v>
      </c>
      <c r="K1061" s="200" t="s">
        <v>93</v>
      </c>
      <c r="L1061" s="183">
        <v>35</v>
      </c>
      <c r="M1061" s="176" t="s">
        <v>279</v>
      </c>
      <c r="N1061" s="200" t="s">
        <v>90</v>
      </c>
      <c r="O1061" s="177" t="s">
        <v>14</v>
      </c>
      <c r="P1061" s="170" t="s">
        <v>963</v>
      </c>
      <c r="Q1061" s="170" t="s">
        <v>112</v>
      </c>
      <c r="R1061" s="170" t="s">
        <v>113</v>
      </c>
      <c r="S1061" s="170" t="s">
        <v>964</v>
      </c>
      <c r="T1061" s="170" t="s">
        <v>16</v>
      </c>
      <c r="U1061" s="170" t="s">
        <v>965</v>
      </c>
      <c r="V1061" s="170" t="s">
        <v>304</v>
      </c>
      <c r="W1061" s="170" t="s">
        <v>1241</v>
      </c>
    </row>
    <row r="1062" customHeight="1" spans="1:23">
      <c r="A1062" s="177"/>
      <c r="B1062" s="177"/>
      <c r="C1062" s="177"/>
      <c r="D1062" s="201" t="s">
        <v>102</v>
      </c>
      <c r="E1062" s="201" t="s">
        <v>103</v>
      </c>
      <c r="F1062" s="202"/>
      <c r="G1062" s="202"/>
      <c r="H1062" s="239" t="s">
        <v>95</v>
      </c>
      <c r="I1062" s="180" t="s">
        <v>196</v>
      </c>
      <c r="J1062" s="170" t="s">
        <v>87</v>
      </c>
      <c r="K1062" s="200" t="s">
        <v>93</v>
      </c>
      <c r="L1062" s="180">
        <v>2</v>
      </c>
      <c r="M1062" s="176" t="s">
        <v>279</v>
      </c>
      <c r="N1062" s="200" t="s">
        <v>90</v>
      </c>
      <c r="O1062" s="177" t="s">
        <v>14</v>
      </c>
      <c r="P1062" s="170" t="s">
        <v>963</v>
      </c>
      <c r="Q1062" s="170" t="s">
        <v>112</v>
      </c>
      <c r="R1062" s="170" t="s">
        <v>113</v>
      </c>
      <c r="S1062" s="170" t="s">
        <v>964</v>
      </c>
      <c r="T1062" s="170" t="s">
        <v>16</v>
      </c>
      <c r="U1062" s="170" t="s">
        <v>965</v>
      </c>
      <c r="V1062" s="170" t="s">
        <v>304</v>
      </c>
      <c r="W1062" s="170" t="s">
        <v>1242</v>
      </c>
    </row>
    <row r="1063" ht="15.75" customHeight="1" spans="1:23">
      <c r="A1063" s="177"/>
      <c r="B1063" s="177"/>
      <c r="C1063" s="177"/>
      <c r="D1063" s="201" t="s">
        <v>102</v>
      </c>
      <c r="E1063" s="201" t="s">
        <v>103</v>
      </c>
      <c r="F1063" s="202"/>
      <c r="G1063" s="202"/>
      <c r="H1063" s="239" t="s">
        <v>95</v>
      </c>
      <c r="I1063" s="180" t="s">
        <v>285</v>
      </c>
      <c r="J1063" s="170" t="s">
        <v>108</v>
      </c>
      <c r="K1063" s="200" t="s">
        <v>93</v>
      </c>
      <c r="L1063" s="180">
        <v>25</v>
      </c>
      <c r="M1063" s="176" t="s">
        <v>279</v>
      </c>
      <c r="N1063" s="200" t="s">
        <v>90</v>
      </c>
      <c r="O1063" s="177" t="s">
        <v>14</v>
      </c>
      <c r="P1063" s="170" t="s">
        <v>963</v>
      </c>
      <c r="Q1063" s="170" t="s">
        <v>112</v>
      </c>
      <c r="R1063" s="170" t="s">
        <v>113</v>
      </c>
      <c r="S1063" s="170" t="s">
        <v>964</v>
      </c>
      <c r="T1063" s="170" t="s">
        <v>16</v>
      </c>
      <c r="U1063" s="170" t="s">
        <v>965</v>
      </c>
      <c r="V1063" s="170" t="s">
        <v>304</v>
      </c>
      <c r="W1063" s="170" t="s">
        <v>1243</v>
      </c>
    </row>
    <row r="1064" ht="15.75" customHeight="1" spans="1:23">
      <c r="A1064" s="177"/>
      <c r="B1064" s="177"/>
      <c r="C1064" s="177"/>
      <c r="D1064" s="201" t="s">
        <v>102</v>
      </c>
      <c r="E1064" s="201" t="s">
        <v>103</v>
      </c>
      <c r="F1064" s="202"/>
      <c r="G1064" s="202"/>
      <c r="H1064" s="239" t="s">
        <v>95</v>
      </c>
      <c r="I1064" s="180" t="s">
        <v>176</v>
      </c>
      <c r="J1064" s="170" t="s">
        <v>97</v>
      </c>
      <c r="K1064" s="200" t="s">
        <v>93</v>
      </c>
      <c r="L1064" s="180">
        <v>30</v>
      </c>
      <c r="M1064" s="176" t="s">
        <v>279</v>
      </c>
      <c r="N1064" s="200" t="s">
        <v>110</v>
      </c>
      <c r="O1064" s="177" t="s">
        <v>14</v>
      </c>
      <c r="P1064" s="170" t="s">
        <v>963</v>
      </c>
      <c r="Q1064" s="170" t="s">
        <v>112</v>
      </c>
      <c r="R1064" s="170" t="s">
        <v>113</v>
      </c>
      <c r="S1064" s="170" t="s">
        <v>964</v>
      </c>
      <c r="T1064" s="170" t="s">
        <v>16</v>
      </c>
      <c r="U1064" s="170" t="s">
        <v>965</v>
      </c>
      <c r="V1064" s="170" t="s">
        <v>304</v>
      </c>
      <c r="W1064" s="170" t="s">
        <v>1244</v>
      </c>
    </row>
    <row r="1065" ht="15.75" customHeight="1" spans="1:23">
      <c r="A1065" s="177"/>
      <c r="B1065" s="177"/>
      <c r="C1065" s="177"/>
      <c r="D1065" s="201" t="s">
        <v>102</v>
      </c>
      <c r="E1065" s="201" t="s">
        <v>103</v>
      </c>
      <c r="F1065" s="202"/>
      <c r="G1065" s="202"/>
      <c r="H1065" s="239" t="s">
        <v>95</v>
      </c>
      <c r="I1065" s="180" t="s">
        <v>193</v>
      </c>
      <c r="J1065" s="170" t="s">
        <v>108</v>
      </c>
      <c r="K1065" s="200" t="s">
        <v>93</v>
      </c>
      <c r="L1065" s="180">
        <v>3</v>
      </c>
      <c r="M1065" s="176" t="s">
        <v>279</v>
      </c>
      <c r="N1065" s="200" t="s">
        <v>110</v>
      </c>
      <c r="O1065" s="177" t="s">
        <v>14</v>
      </c>
      <c r="P1065" s="170" t="s">
        <v>963</v>
      </c>
      <c r="Q1065" s="170" t="s">
        <v>112</v>
      </c>
      <c r="R1065" s="170" t="s">
        <v>113</v>
      </c>
      <c r="S1065" s="170" t="s">
        <v>964</v>
      </c>
      <c r="T1065" s="170" t="s">
        <v>16</v>
      </c>
      <c r="U1065" s="170" t="s">
        <v>965</v>
      </c>
      <c r="V1065" s="170" t="s">
        <v>304</v>
      </c>
      <c r="W1065" s="170" t="s">
        <v>1245</v>
      </c>
    </row>
    <row r="1066" ht="15.75" customHeight="1" spans="1:23">
      <c r="A1066" s="177"/>
      <c r="B1066" s="177"/>
      <c r="C1066" s="177"/>
      <c r="D1066" s="201" t="s">
        <v>102</v>
      </c>
      <c r="E1066" s="201" t="s">
        <v>103</v>
      </c>
      <c r="F1066" s="202"/>
      <c r="G1066" s="202"/>
      <c r="H1066" s="239" t="s">
        <v>95</v>
      </c>
      <c r="I1066" s="182" t="s">
        <v>136</v>
      </c>
      <c r="J1066" s="170" t="s">
        <v>108</v>
      </c>
      <c r="K1066" s="200" t="s">
        <v>93</v>
      </c>
      <c r="L1066" s="182">
        <v>70</v>
      </c>
      <c r="M1066" s="182" t="s">
        <v>279</v>
      </c>
      <c r="N1066" s="200" t="s">
        <v>110</v>
      </c>
      <c r="O1066" s="177" t="s">
        <v>14</v>
      </c>
      <c r="P1066" s="170" t="s">
        <v>963</v>
      </c>
      <c r="Q1066" s="170" t="s">
        <v>112</v>
      </c>
      <c r="R1066" s="170" t="s">
        <v>113</v>
      </c>
      <c r="S1066" s="170" t="s">
        <v>964</v>
      </c>
      <c r="T1066" s="170" t="s">
        <v>16</v>
      </c>
      <c r="U1066" s="170" t="s">
        <v>965</v>
      </c>
      <c r="V1066" s="170" t="s">
        <v>304</v>
      </c>
      <c r="W1066" s="170" t="s">
        <v>1246</v>
      </c>
    </row>
    <row r="1067" ht="15.75" customHeight="1" spans="1:23">
      <c r="A1067" s="184"/>
      <c r="B1067" s="184"/>
      <c r="C1067" s="184"/>
      <c r="D1067" s="222" t="s">
        <v>102</v>
      </c>
      <c r="E1067" s="222" t="s">
        <v>103</v>
      </c>
      <c r="F1067" s="223"/>
      <c r="G1067" s="223"/>
      <c r="H1067" s="200" t="s">
        <v>218</v>
      </c>
      <c r="I1067" s="182" t="s">
        <v>219</v>
      </c>
      <c r="J1067" s="170" t="s">
        <v>108</v>
      </c>
      <c r="K1067" s="200" t="s">
        <v>93</v>
      </c>
      <c r="L1067" s="182">
        <v>4</v>
      </c>
      <c r="M1067" s="182" t="s">
        <v>279</v>
      </c>
      <c r="N1067" s="200" t="s">
        <v>99</v>
      </c>
      <c r="O1067" s="184" t="s">
        <v>14</v>
      </c>
      <c r="P1067" s="170" t="s">
        <v>963</v>
      </c>
      <c r="Q1067" s="170" t="s">
        <v>112</v>
      </c>
      <c r="R1067" s="170" t="s">
        <v>113</v>
      </c>
      <c r="S1067" s="170" t="s">
        <v>964</v>
      </c>
      <c r="T1067" s="170" t="s">
        <v>16</v>
      </c>
      <c r="U1067" s="170" t="s">
        <v>965</v>
      </c>
      <c r="V1067" s="170" t="s">
        <v>304</v>
      </c>
      <c r="W1067" s="170" t="s">
        <v>1247</v>
      </c>
    </row>
    <row r="1068" ht="15.75" customHeight="1" spans="1:23">
      <c r="A1068" s="169" t="s">
        <v>1248</v>
      </c>
      <c r="B1068" s="169" t="s">
        <v>1249</v>
      </c>
      <c r="C1068" s="169" t="s">
        <v>83</v>
      </c>
      <c r="D1068" s="198" t="s">
        <v>102</v>
      </c>
      <c r="E1068" s="198" t="s">
        <v>103</v>
      </c>
      <c r="F1068" s="199" t="s">
        <v>1250</v>
      </c>
      <c r="G1068" s="199" t="s">
        <v>1251</v>
      </c>
      <c r="H1068" s="228" t="s">
        <v>85</v>
      </c>
      <c r="I1068" s="245" t="s">
        <v>209</v>
      </c>
      <c r="J1068" s="170" t="s">
        <v>108</v>
      </c>
      <c r="K1068" s="175" t="s">
        <v>88</v>
      </c>
      <c r="L1068" s="185">
        <v>6</v>
      </c>
      <c r="M1068" s="176" t="s">
        <v>1098</v>
      </c>
      <c r="N1068" s="175" t="s">
        <v>90</v>
      </c>
      <c r="O1068" s="169" t="s">
        <v>14</v>
      </c>
      <c r="P1068" s="170" t="s">
        <v>963</v>
      </c>
      <c r="Q1068" s="170" t="s">
        <v>112</v>
      </c>
      <c r="R1068" s="170" t="s">
        <v>113</v>
      </c>
      <c r="S1068" s="170" t="s">
        <v>964</v>
      </c>
      <c r="T1068" s="170" t="s">
        <v>16</v>
      </c>
      <c r="U1068" s="170" t="s">
        <v>965</v>
      </c>
      <c r="V1068" s="170" t="s">
        <v>304</v>
      </c>
      <c r="W1068" s="170" t="s">
        <v>1252</v>
      </c>
    </row>
    <row r="1069" customHeight="1" spans="1:23">
      <c r="A1069" s="177"/>
      <c r="B1069" s="177"/>
      <c r="C1069" s="177"/>
      <c r="D1069" s="201" t="s">
        <v>102</v>
      </c>
      <c r="E1069" s="201" t="s">
        <v>103</v>
      </c>
      <c r="F1069" s="202"/>
      <c r="G1069" s="202"/>
      <c r="H1069" s="228"/>
      <c r="I1069" s="245" t="s">
        <v>267</v>
      </c>
      <c r="J1069" s="170" t="s">
        <v>87</v>
      </c>
      <c r="K1069" s="175" t="s">
        <v>88</v>
      </c>
      <c r="L1069" s="185">
        <v>6</v>
      </c>
      <c r="M1069" s="176" t="s">
        <v>89</v>
      </c>
      <c r="N1069" s="175" t="s">
        <v>90</v>
      </c>
      <c r="O1069" s="177" t="s">
        <v>14</v>
      </c>
      <c r="P1069" s="170" t="s">
        <v>963</v>
      </c>
      <c r="Q1069" s="170" t="s">
        <v>112</v>
      </c>
      <c r="R1069" s="170" t="s">
        <v>113</v>
      </c>
      <c r="S1069" s="170" t="s">
        <v>964</v>
      </c>
      <c r="T1069" s="170" t="s">
        <v>16</v>
      </c>
      <c r="U1069" s="170" t="s">
        <v>965</v>
      </c>
      <c r="V1069" s="170" t="s">
        <v>304</v>
      </c>
      <c r="W1069" s="170" t="s">
        <v>1253</v>
      </c>
    </row>
    <row r="1070" ht="15.75" customHeight="1" spans="1:23">
      <c r="A1070" s="177"/>
      <c r="B1070" s="177"/>
      <c r="C1070" s="177"/>
      <c r="D1070" s="201" t="s">
        <v>102</v>
      </c>
      <c r="E1070" s="201" t="s">
        <v>103</v>
      </c>
      <c r="F1070" s="202"/>
      <c r="G1070" s="202"/>
      <c r="H1070" s="228" t="s">
        <v>91</v>
      </c>
      <c r="I1070" s="245" t="s">
        <v>475</v>
      </c>
      <c r="J1070" s="170" t="s">
        <v>108</v>
      </c>
      <c r="K1070" s="175" t="s">
        <v>88</v>
      </c>
      <c r="L1070" s="185">
        <v>38</v>
      </c>
      <c r="M1070" s="176" t="s">
        <v>1098</v>
      </c>
      <c r="N1070" s="175" t="s">
        <v>90</v>
      </c>
      <c r="O1070" s="177" t="s">
        <v>14</v>
      </c>
      <c r="P1070" s="170" t="s">
        <v>963</v>
      </c>
      <c r="Q1070" s="170" t="s">
        <v>112</v>
      </c>
      <c r="R1070" s="170" t="s">
        <v>113</v>
      </c>
      <c r="S1070" s="170" t="s">
        <v>964</v>
      </c>
      <c r="T1070" s="170" t="s">
        <v>16</v>
      </c>
      <c r="U1070" s="170" t="s">
        <v>965</v>
      </c>
      <c r="V1070" s="170" t="s">
        <v>304</v>
      </c>
      <c r="W1070" s="170" t="s">
        <v>1254</v>
      </c>
    </row>
    <row r="1071" customHeight="1" spans="1:23">
      <c r="A1071" s="177"/>
      <c r="B1071" s="177"/>
      <c r="C1071" s="177"/>
      <c r="D1071" s="201" t="s">
        <v>102</v>
      </c>
      <c r="E1071" s="201" t="s">
        <v>103</v>
      </c>
      <c r="F1071" s="202"/>
      <c r="G1071" s="202"/>
      <c r="H1071" s="200" t="s">
        <v>106</v>
      </c>
      <c r="I1071" s="180" t="s">
        <v>281</v>
      </c>
      <c r="J1071" s="170" t="s">
        <v>87</v>
      </c>
      <c r="K1071" s="175" t="s">
        <v>93</v>
      </c>
      <c r="L1071" s="185">
        <v>20</v>
      </c>
      <c r="M1071" s="176" t="s">
        <v>1098</v>
      </c>
      <c r="N1071" s="175" t="s">
        <v>99</v>
      </c>
      <c r="O1071" s="177" t="s">
        <v>14</v>
      </c>
      <c r="P1071" s="170" t="s">
        <v>963</v>
      </c>
      <c r="Q1071" s="170" t="s">
        <v>112</v>
      </c>
      <c r="R1071" s="170" t="s">
        <v>113</v>
      </c>
      <c r="S1071" s="170" t="s">
        <v>964</v>
      </c>
      <c r="T1071" s="170" t="s">
        <v>16</v>
      </c>
      <c r="U1071" s="170" t="s">
        <v>965</v>
      </c>
      <c r="V1071" s="170" t="s">
        <v>304</v>
      </c>
      <c r="W1071" s="170" t="s">
        <v>1255</v>
      </c>
    </row>
    <row r="1072" customHeight="1" spans="1:23">
      <c r="A1072" s="177"/>
      <c r="B1072" s="177"/>
      <c r="C1072" s="177"/>
      <c r="D1072" s="201" t="s">
        <v>102</v>
      </c>
      <c r="E1072" s="201" t="s">
        <v>103</v>
      </c>
      <c r="F1072" s="202"/>
      <c r="G1072" s="202"/>
      <c r="H1072" s="200"/>
      <c r="I1072" s="180" t="s">
        <v>196</v>
      </c>
      <c r="J1072" s="170" t="s">
        <v>87</v>
      </c>
      <c r="K1072" s="175" t="s">
        <v>88</v>
      </c>
      <c r="L1072" s="185">
        <v>6</v>
      </c>
      <c r="M1072" s="176" t="s">
        <v>98</v>
      </c>
      <c r="N1072" s="175" t="s">
        <v>99</v>
      </c>
      <c r="O1072" s="177" t="s">
        <v>14</v>
      </c>
      <c r="P1072" s="170" t="s">
        <v>963</v>
      </c>
      <c r="Q1072" s="170" t="s">
        <v>112</v>
      </c>
      <c r="R1072" s="170" t="s">
        <v>113</v>
      </c>
      <c r="S1072" s="170" t="s">
        <v>964</v>
      </c>
      <c r="T1072" s="170" t="s">
        <v>16</v>
      </c>
      <c r="U1072" s="170" t="s">
        <v>965</v>
      </c>
      <c r="V1072" s="170" t="s">
        <v>304</v>
      </c>
      <c r="W1072" s="170" t="s">
        <v>1256</v>
      </c>
    </row>
    <row r="1073" ht="15.75" customHeight="1" spans="1:23">
      <c r="A1073" s="177"/>
      <c r="B1073" s="177"/>
      <c r="C1073" s="177"/>
      <c r="D1073" s="201" t="s">
        <v>102</v>
      </c>
      <c r="E1073" s="201" t="s">
        <v>103</v>
      </c>
      <c r="F1073" s="202"/>
      <c r="G1073" s="202"/>
      <c r="H1073" s="200" t="s">
        <v>95</v>
      </c>
      <c r="I1073" s="180" t="s">
        <v>285</v>
      </c>
      <c r="J1073" s="170" t="s">
        <v>108</v>
      </c>
      <c r="K1073" s="175" t="s">
        <v>134</v>
      </c>
      <c r="L1073" s="185">
        <v>12</v>
      </c>
      <c r="M1073" s="176" t="s">
        <v>98</v>
      </c>
      <c r="N1073" s="175" t="s">
        <v>99</v>
      </c>
      <c r="O1073" s="177" t="s">
        <v>14</v>
      </c>
      <c r="P1073" s="170" t="s">
        <v>963</v>
      </c>
      <c r="Q1073" s="170" t="s">
        <v>112</v>
      </c>
      <c r="R1073" s="170" t="s">
        <v>113</v>
      </c>
      <c r="S1073" s="170" t="s">
        <v>964</v>
      </c>
      <c r="T1073" s="170" t="s">
        <v>16</v>
      </c>
      <c r="U1073" s="170" t="s">
        <v>965</v>
      </c>
      <c r="V1073" s="170" t="s">
        <v>304</v>
      </c>
      <c r="W1073" s="170" t="s">
        <v>1257</v>
      </c>
    </row>
    <row r="1074" ht="15.75" customHeight="1" spans="1:23">
      <c r="A1074" s="177"/>
      <c r="B1074" s="177"/>
      <c r="C1074" s="177"/>
      <c r="D1074" s="201" t="s">
        <v>102</v>
      </c>
      <c r="E1074" s="201" t="s">
        <v>103</v>
      </c>
      <c r="F1074" s="202"/>
      <c r="G1074" s="202"/>
      <c r="H1074" s="200"/>
      <c r="I1074" s="178" t="s">
        <v>176</v>
      </c>
      <c r="J1074" s="170" t="s">
        <v>97</v>
      </c>
      <c r="K1074" s="175" t="s">
        <v>93</v>
      </c>
      <c r="L1074" s="185">
        <v>28</v>
      </c>
      <c r="M1074" s="176" t="s">
        <v>98</v>
      </c>
      <c r="N1074" s="175" t="s">
        <v>99</v>
      </c>
      <c r="O1074" s="177" t="s">
        <v>14</v>
      </c>
      <c r="P1074" s="170" t="s">
        <v>963</v>
      </c>
      <c r="Q1074" s="170" t="s">
        <v>112</v>
      </c>
      <c r="R1074" s="170" t="s">
        <v>113</v>
      </c>
      <c r="S1074" s="170" t="s">
        <v>964</v>
      </c>
      <c r="T1074" s="170" t="s">
        <v>16</v>
      </c>
      <c r="U1074" s="170" t="s">
        <v>965</v>
      </c>
      <c r="V1074" s="170" t="s">
        <v>304</v>
      </c>
      <c r="W1074" s="170" t="s">
        <v>1258</v>
      </c>
    </row>
    <row r="1075" ht="15.75" customHeight="1" spans="1:23">
      <c r="A1075" s="177"/>
      <c r="B1075" s="177"/>
      <c r="C1075" s="177"/>
      <c r="D1075" s="201" t="s">
        <v>102</v>
      </c>
      <c r="E1075" s="201" t="s">
        <v>103</v>
      </c>
      <c r="F1075" s="202"/>
      <c r="G1075" s="202"/>
      <c r="H1075" s="200"/>
      <c r="I1075" s="178" t="s">
        <v>193</v>
      </c>
      <c r="J1075" s="170" t="s">
        <v>108</v>
      </c>
      <c r="K1075" s="175" t="s">
        <v>88</v>
      </c>
      <c r="L1075" s="185">
        <v>4</v>
      </c>
      <c r="M1075" s="176" t="s">
        <v>98</v>
      </c>
      <c r="N1075" s="175" t="s">
        <v>99</v>
      </c>
      <c r="O1075" s="177" t="s">
        <v>14</v>
      </c>
      <c r="P1075" s="170" t="s">
        <v>963</v>
      </c>
      <c r="Q1075" s="170" t="s">
        <v>112</v>
      </c>
      <c r="R1075" s="170" t="s">
        <v>113</v>
      </c>
      <c r="S1075" s="170" t="s">
        <v>964</v>
      </c>
      <c r="T1075" s="170" t="s">
        <v>16</v>
      </c>
      <c r="U1075" s="170" t="s">
        <v>965</v>
      </c>
      <c r="V1075" s="170" t="s">
        <v>304</v>
      </c>
      <c r="W1075" s="170" t="s">
        <v>1259</v>
      </c>
    </row>
    <row r="1076" ht="15.75" customHeight="1" spans="1:23">
      <c r="A1076" s="177"/>
      <c r="B1076" s="177"/>
      <c r="C1076" s="177"/>
      <c r="D1076" s="201" t="s">
        <v>102</v>
      </c>
      <c r="E1076" s="201" t="s">
        <v>103</v>
      </c>
      <c r="F1076" s="202"/>
      <c r="G1076" s="202"/>
      <c r="H1076" s="200"/>
      <c r="I1076" s="191" t="s">
        <v>136</v>
      </c>
      <c r="J1076" s="170" t="s">
        <v>108</v>
      </c>
      <c r="K1076" s="175" t="s">
        <v>93</v>
      </c>
      <c r="L1076" s="185">
        <v>4</v>
      </c>
      <c r="M1076" s="176" t="s">
        <v>279</v>
      </c>
      <c r="N1076" s="175" t="s">
        <v>99</v>
      </c>
      <c r="O1076" s="177" t="s">
        <v>14</v>
      </c>
      <c r="P1076" s="170" t="s">
        <v>963</v>
      </c>
      <c r="Q1076" s="170" t="s">
        <v>112</v>
      </c>
      <c r="R1076" s="170" t="s">
        <v>113</v>
      </c>
      <c r="S1076" s="170" t="s">
        <v>964</v>
      </c>
      <c r="T1076" s="170" t="s">
        <v>16</v>
      </c>
      <c r="U1076" s="170" t="s">
        <v>965</v>
      </c>
      <c r="V1076" s="170" t="s">
        <v>304</v>
      </c>
      <c r="W1076" s="170" t="s">
        <v>1260</v>
      </c>
    </row>
    <row r="1077" ht="30" customHeight="1" spans="1:23">
      <c r="A1077" s="177"/>
      <c r="B1077" s="177"/>
      <c r="C1077" s="177"/>
      <c r="D1077" s="201" t="s">
        <v>102</v>
      </c>
      <c r="E1077" s="201" t="s">
        <v>103</v>
      </c>
      <c r="F1077" s="202"/>
      <c r="G1077" s="202"/>
      <c r="H1077" s="178" t="s">
        <v>218</v>
      </c>
      <c r="I1077" s="180" t="s">
        <v>219</v>
      </c>
      <c r="J1077" s="170" t="s">
        <v>108</v>
      </c>
      <c r="K1077" s="175" t="s">
        <v>134</v>
      </c>
      <c r="L1077" s="185">
        <v>26</v>
      </c>
      <c r="M1077" s="176" t="s">
        <v>279</v>
      </c>
      <c r="N1077" s="175" t="s">
        <v>99</v>
      </c>
      <c r="O1077" s="177" t="s">
        <v>14</v>
      </c>
      <c r="P1077" s="170" t="s">
        <v>963</v>
      </c>
      <c r="Q1077" s="170" t="s">
        <v>112</v>
      </c>
      <c r="R1077" s="170" t="s">
        <v>113</v>
      </c>
      <c r="S1077" s="170" t="s">
        <v>964</v>
      </c>
      <c r="T1077" s="170" t="s">
        <v>16</v>
      </c>
      <c r="U1077" s="170" t="s">
        <v>965</v>
      </c>
      <c r="V1077" s="170" t="s">
        <v>304</v>
      </c>
      <c r="W1077" s="170" t="s">
        <v>1261</v>
      </c>
    </row>
    <row r="1078" ht="15.75" customHeight="1" spans="1:23">
      <c r="A1078" s="177"/>
      <c r="B1078" s="177"/>
      <c r="C1078" s="177"/>
      <c r="D1078" s="201" t="s">
        <v>102</v>
      </c>
      <c r="E1078" s="201" t="s">
        <v>103</v>
      </c>
      <c r="F1078" s="202"/>
      <c r="G1078" s="202"/>
      <c r="H1078" s="246" t="s">
        <v>119</v>
      </c>
      <c r="I1078" s="180" t="s">
        <v>211</v>
      </c>
      <c r="J1078" s="170" t="s">
        <v>108</v>
      </c>
      <c r="K1078" s="175" t="s">
        <v>93</v>
      </c>
      <c r="L1078" s="185">
        <v>8</v>
      </c>
      <c r="M1078" s="176" t="s">
        <v>279</v>
      </c>
      <c r="N1078" s="175" t="s">
        <v>99</v>
      </c>
      <c r="O1078" s="177" t="s">
        <v>14</v>
      </c>
      <c r="P1078" s="170" t="s">
        <v>963</v>
      </c>
      <c r="Q1078" s="170" t="s">
        <v>112</v>
      </c>
      <c r="R1078" s="170" t="s">
        <v>113</v>
      </c>
      <c r="S1078" s="170" t="s">
        <v>964</v>
      </c>
      <c r="T1078" s="170" t="s">
        <v>16</v>
      </c>
      <c r="U1078" s="170" t="s">
        <v>965</v>
      </c>
      <c r="V1078" s="170" t="s">
        <v>304</v>
      </c>
      <c r="W1078" s="170" t="s">
        <v>1262</v>
      </c>
    </row>
    <row r="1079" ht="15.75" customHeight="1" spans="1:23">
      <c r="A1079" s="184"/>
      <c r="B1079" s="184"/>
      <c r="C1079" s="184"/>
      <c r="D1079" s="222" t="s">
        <v>102</v>
      </c>
      <c r="E1079" s="222" t="s">
        <v>103</v>
      </c>
      <c r="F1079" s="223"/>
      <c r="G1079" s="223"/>
      <c r="H1079" s="200" t="s">
        <v>141</v>
      </c>
      <c r="I1079" s="180" t="s">
        <v>479</v>
      </c>
      <c r="J1079" s="170" t="s">
        <v>97</v>
      </c>
      <c r="K1079" s="175" t="s">
        <v>88</v>
      </c>
      <c r="L1079" s="185">
        <v>18</v>
      </c>
      <c r="M1079" s="176" t="s">
        <v>279</v>
      </c>
      <c r="N1079" s="175" t="s">
        <v>99</v>
      </c>
      <c r="O1079" s="184" t="s">
        <v>14</v>
      </c>
      <c r="P1079" s="170" t="s">
        <v>963</v>
      </c>
      <c r="Q1079" s="170" t="s">
        <v>112</v>
      </c>
      <c r="R1079" s="170" t="s">
        <v>113</v>
      </c>
      <c r="S1079" s="170" t="s">
        <v>964</v>
      </c>
      <c r="T1079" s="170" t="s">
        <v>16</v>
      </c>
      <c r="U1079" s="170" t="s">
        <v>965</v>
      </c>
      <c r="V1079" s="170" t="s">
        <v>304</v>
      </c>
      <c r="W1079" s="170" t="s">
        <v>1263</v>
      </c>
    </row>
    <row r="1080" ht="15.75" customHeight="1" spans="1:23">
      <c r="A1080" s="185" t="s">
        <v>1264</v>
      </c>
      <c r="B1080" s="185" t="s">
        <v>1265</v>
      </c>
      <c r="C1080" s="185" t="s">
        <v>173</v>
      </c>
      <c r="D1080" s="186" t="s">
        <v>102</v>
      </c>
      <c r="E1080" s="186" t="s">
        <v>103</v>
      </c>
      <c r="F1080" s="180" t="s">
        <v>1266</v>
      </c>
      <c r="G1080" s="185" t="s">
        <v>1029</v>
      </c>
      <c r="H1080" s="200" t="s">
        <v>91</v>
      </c>
      <c r="I1080" s="191" t="s">
        <v>475</v>
      </c>
      <c r="J1080" s="170" t="s">
        <v>108</v>
      </c>
      <c r="K1080" s="200" t="s">
        <v>93</v>
      </c>
      <c r="L1080" s="180">
        <v>2</v>
      </c>
      <c r="M1080" s="176" t="s">
        <v>279</v>
      </c>
      <c r="N1080" s="200" t="s">
        <v>90</v>
      </c>
      <c r="O1080" s="185" t="s">
        <v>14</v>
      </c>
      <c r="P1080" s="170" t="s">
        <v>963</v>
      </c>
      <c r="Q1080" s="170" t="s">
        <v>112</v>
      </c>
      <c r="R1080" s="170" t="s">
        <v>113</v>
      </c>
      <c r="S1080" s="170" t="s">
        <v>964</v>
      </c>
      <c r="T1080" s="170" t="s">
        <v>16</v>
      </c>
      <c r="U1080" s="170" t="s">
        <v>965</v>
      </c>
      <c r="V1080" s="170" t="s">
        <v>304</v>
      </c>
      <c r="W1080" s="170" t="s">
        <v>1267</v>
      </c>
    </row>
    <row r="1081" customHeight="1" spans="1:23">
      <c r="A1081" s="185"/>
      <c r="B1081" s="185"/>
      <c r="C1081" s="185"/>
      <c r="D1081" s="186" t="s">
        <v>102</v>
      </c>
      <c r="E1081" s="186" t="s">
        <v>103</v>
      </c>
      <c r="F1081" s="180"/>
      <c r="G1081" s="180"/>
      <c r="H1081" s="200" t="s">
        <v>132</v>
      </c>
      <c r="I1081" s="180" t="s">
        <v>480</v>
      </c>
      <c r="J1081" s="170" t="s">
        <v>87</v>
      </c>
      <c r="K1081" s="200" t="s">
        <v>93</v>
      </c>
      <c r="L1081" s="180">
        <v>5</v>
      </c>
      <c r="M1081" s="180" t="s">
        <v>1098</v>
      </c>
      <c r="N1081" s="200" t="s">
        <v>90</v>
      </c>
      <c r="O1081" s="185" t="s">
        <v>14</v>
      </c>
      <c r="P1081" s="170" t="s">
        <v>963</v>
      </c>
      <c r="Q1081" s="170" t="s">
        <v>112</v>
      </c>
      <c r="R1081" s="170" t="s">
        <v>113</v>
      </c>
      <c r="S1081" s="170" t="s">
        <v>964</v>
      </c>
      <c r="T1081" s="170" t="s">
        <v>16</v>
      </c>
      <c r="U1081" s="170" t="s">
        <v>965</v>
      </c>
      <c r="V1081" s="170" t="s">
        <v>304</v>
      </c>
      <c r="W1081" s="170" t="s">
        <v>1268</v>
      </c>
    </row>
    <row r="1082" customHeight="1" spans="1:23">
      <c r="A1082" s="185"/>
      <c r="B1082" s="185"/>
      <c r="C1082" s="185"/>
      <c r="D1082" s="186" t="s">
        <v>102</v>
      </c>
      <c r="E1082" s="186" t="s">
        <v>103</v>
      </c>
      <c r="F1082" s="180"/>
      <c r="G1082" s="180"/>
      <c r="H1082" s="239" t="s">
        <v>106</v>
      </c>
      <c r="I1082" s="180" t="s">
        <v>281</v>
      </c>
      <c r="J1082" s="170" t="s">
        <v>87</v>
      </c>
      <c r="K1082" s="200" t="s">
        <v>93</v>
      </c>
      <c r="L1082" s="180">
        <v>35</v>
      </c>
      <c r="M1082" s="180" t="s">
        <v>98</v>
      </c>
      <c r="N1082" s="200" t="s">
        <v>90</v>
      </c>
      <c r="O1082" s="185" t="s">
        <v>14</v>
      </c>
      <c r="P1082" s="170" t="s">
        <v>963</v>
      </c>
      <c r="Q1082" s="170" t="s">
        <v>112</v>
      </c>
      <c r="R1082" s="170" t="s">
        <v>113</v>
      </c>
      <c r="S1082" s="170" t="s">
        <v>964</v>
      </c>
      <c r="T1082" s="170" t="s">
        <v>16</v>
      </c>
      <c r="U1082" s="170" t="s">
        <v>965</v>
      </c>
      <c r="V1082" s="170" t="s">
        <v>304</v>
      </c>
      <c r="W1082" s="170" t="s">
        <v>1269</v>
      </c>
    </row>
    <row r="1083" customHeight="1" spans="1:23">
      <c r="A1083" s="185"/>
      <c r="B1083" s="185"/>
      <c r="C1083" s="185"/>
      <c r="D1083" s="186" t="s">
        <v>102</v>
      </c>
      <c r="E1083" s="186" t="s">
        <v>103</v>
      </c>
      <c r="F1083" s="180"/>
      <c r="G1083" s="180"/>
      <c r="H1083" s="243"/>
      <c r="I1083" s="180" t="s">
        <v>196</v>
      </c>
      <c r="J1083" s="170" t="s">
        <v>87</v>
      </c>
      <c r="K1083" s="200" t="s">
        <v>93</v>
      </c>
      <c r="L1083" s="180">
        <v>2</v>
      </c>
      <c r="M1083" s="180" t="s">
        <v>98</v>
      </c>
      <c r="N1083" s="200" t="s">
        <v>90</v>
      </c>
      <c r="O1083" s="185" t="s">
        <v>14</v>
      </c>
      <c r="P1083" s="170" t="s">
        <v>963</v>
      </c>
      <c r="Q1083" s="170" t="s">
        <v>112</v>
      </c>
      <c r="R1083" s="170" t="s">
        <v>113</v>
      </c>
      <c r="S1083" s="170" t="s">
        <v>964</v>
      </c>
      <c r="T1083" s="170" t="s">
        <v>16</v>
      </c>
      <c r="U1083" s="170" t="s">
        <v>965</v>
      </c>
      <c r="V1083" s="170" t="s">
        <v>304</v>
      </c>
      <c r="W1083" s="170" t="s">
        <v>1270</v>
      </c>
    </row>
    <row r="1084" ht="15.75" customHeight="1" spans="1:23">
      <c r="A1084" s="185"/>
      <c r="B1084" s="185"/>
      <c r="C1084" s="185"/>
      <c r="D1084" s="186" t="s">
        <v>102</v>
      </c>
      <c r="E1084" s="186" t="s">
        <v>103</v>
      </c>
      <c r="F1084" s="180"/>
      <c r="G1084" s="180"/>
      <c r="H1084" s="239" t="s">
        <v>95</v>
      </c>
      <c r="I1084" s="180" t="s">
        <v>285</v>
      </c>
      <c r="J1084" s="170" t="s">
        <v>108</v>
      </c>
      <c r="K1084" s="200" t="s">
        <v>93</v>
      </c>
      <c r="L1084" s="180">
        <v>25</v>
      </c>
      <c r="M1084" s="180" t="s">
        <v>279</v>
      </c>
      <c r="N1084" s="200" t="s">
        <v>90</v>
      </c>
      <c r="O1084" s="185" t="s">
        <v>14</v>
      </c>
      <c r="P1084" s="170" t="s">
        <v>963</v>
      </c>
      <c r="Q1084" s="170" t="s">
        <v>112</v>
      </c>
      <c r="R1084" s="170" t="s">
        <v>113</v>
      </c>
      <c r="S1084" s="170" t="s">
        <v>964</v>
      </c>
      <c r="T1084" s="170" t="s">
        <v>16</v>
      </c>
      <c r="U1084" s="170" t="s">
        <v>965</v>
      </c>
      <c r="V1084" s="170" t="s">
        <v>304</v>
      </c>
      <c r="W1084" s="170" t="s">
        <v>1271</v>
      </c>
    </row>
    <row r="1085" ht="15.75" customHeight="1" spans="1:23">
      <c r="A1085" s="185"/>
      <c r="B1085" s="185"/>
      <c r="C1085" s="185"/>
      <c r="D1085" s="186" t="s">
        <v>102</v>
      </c>
      <c r="E1085" s="186" t="s">
        <v>103</v>
      </c>
      <c r="F1085" s="180"/>
      <c r="G1085" s="180"/>
      <c r="H1085" s="240"/>
      <c r="I1085" s="180" t="s">
        <v>176</v>
      </c>
      <c r="J1085" s="170" t="s">
        <v>97</v>
      </c>
      <c r="K1085" s="200" t="s">
        <v>93</v>
      </c>
      <c r="L1085" s="180">
        <v>30</v>
      </c>
      <c r="M1085" s="180" t="s">
        <v>98</v>
      </c>
      <c r="N1085" s="200" t="s">
        <v>110</v>
      </c>
      <c r="O1085" s="185" t="s">
        <v>14</v>
      </c>
      <c r="P1085" s="170" t="s">
        <v>963</v>
      </c>
      <c r="Q1085" s="170" t="s">
        <v>112</v>
      </c>
      <c r="R1085" s="170" t="s">
        <v>113</v>
      </c>
      <c r="S1085" s="170" t="s">
        <v>964</v>
      </c>
      <c r="T1085" s="170" t="s">
        <v>16</v>
      </c>
      <c r="U1085" s="170" t="s">
        <v>965</v>
      </c>
      <c r="V1085" s="170" t="s">
        <v>304</v>
      </c>
      <c r="W1085" s="170" t="s">
        <v>1272</v>
      </c>
    </row>
    <row r="1086" ht="15.75" customHeight="1" spans="1:23">
      <c r="A1086" s="185"/>
      <c r="B1086" s="185"/>
      <c r="C1086" s="185"/>
      <c r="D1086" s="186" t="s">
        <v>102</v>
      </c>
      <c r="E1086" s="186" t="s">
        <v>103</v>
      </c>
      <c r="F1086" s="180"/>
      <c r="G1086" s="180"/>
      <c r="H1086" s="240"/>
      <c r="I1086" s="180" t="s">
        <v>193</v>
      </c>
      <c r="J1086" s="170" t="s">
        <v>108</v>
      </c>
      <c r="K1086" s="200" t="s">
        <v>93</v>
      </c>
      <c r="L1086" s="180">
        <v>3</v>
      </c>
      <c r="M1086" s="180" t="s">
        <v>98</v>
      </c>
      <c r="N1086" s="200" t="s">
        <v>110</v>
      </c>
      <c r="O1086" s="185" t="s">
        <v>14</v>
      </c>
      <c r="P1086" s="170" t="s">
        <v>963</v>
      </c>
      <c r="Q1086" s="170" t="s">
        <v>112</v>
      </c>
      <c r="R1086" s="170" t="s">
        <v>113</v>
      </c>
      <c r="S1086" s="170" t="s">
        <v>964</v>
      </c>
      <c r="T1086" s="170" t="s">
        <v>16</v>
      </c>
      <c r="U1086" s="170" t="s">
        <v>965</v>
      </c>
      <c r="V1086" s="170" t="s">
        <v>304</v>
      </c>
      <c r="W1086" s="170" t="s">
        <v>1273</v>
      </c>
    </row>
    <row r="1087" ht="15.75" customHeight="1" spans="1:23">
      <c r="A1087" s="185"/>
      <c r="B1087" s="185"/>
      <c r="C1087" s="185"/>
      <c r="D1087" s="186" t="s">
        <v>102</v>
      </c>
      <c r="E1087" s="186" t="s">
        <v>103</v>
      </c>
      <c r="F1087" s="180"/>
      <c r="G1087" s="180"/>
      <c r="H1087" s="243"/>
      <c r="I1087" s="180" t="s">
        <v>136</v>
      </c>
      <c r="J1087" s="170" t="s">
        <v>108</v>
      </c>
      <c r="K1087" s="200" t="s">
        <v>93</v>
      </c>
      <c r="L1087" s="180">
        <v>70</v>
      </c>
      <c r="M1087" s="180" t="s">
        <v>279</v>
      </c>
      <c r="N1087" s="200" t="s">
        <v>110</v>
      </c>
      <c r="O1087" s="185" t="s">
        <v>14</v>
      </c>
      <c r="P1087" s="170" t="s">
        <v>963</v>
      </c>
      <c r="Q1087" s="170" t="s">
        <v>112</v>
      </c>
      <c r="R1087" s="170" t="s">
        <v>113</v>
      </c>
      <c r="S1087" s="170" t="s">
        <v>964</v>
      </c>
      <c r="T1087" s="170" t="s">
        <v>16</v>
      </c>
      <c r="U1087" s="170" t="s">
        <v>965</v>
      </c>
      <c r="V1087" s="170" t="s">
        <v>304</v>
      </c>
      <c r="W1087" s="170" t="s">
        <v>1274</v>
      </c>
    </row>
    <row r="1088" ht="30" customHeight="1" spans="1:23">
      <c r="A1088" s="185"/>
      <c r="B1088" s="185"/>
      <c r="C1088" s="185"/>
      <c r="D1088" s="186" t="s">
        <v>102</v>
      </c>
      <c r="E1088" s="186" t="s">
        <v>103</v>
      </c>
      <c r="F1088" s="180"/>
      <c r="G1088" s="180"/>
      <c r="H1088" s="200" t="s">
        <v>218</v>
      </c>
      <c r="I1088" s="180" t="s">
        <v>219</v>
      </c>
      <c r="J1088" s="170" t="s">
        <v>108</v>
      </c>
      <c r="K1088" s="200" t="s">
        <v>93</v>
      </c>
      <c r="L1088" s="180">
        <v>6</v>
      </c>
      <c r="M1088" s="180" t="s">
        <v>279</v>
      </c>
      <c r="N1088" s="200" t="s">
        <v>99</v>
      </c>
      <c r="O1088" s="185" t="s">
        <v>14</v>
      </c>
      <c r="P1088" s="170" t="s">
        <v>963</v>
      </c>
      <c r="Q1088" s="170" t="s">
        <v>112</v>
      </c>
      <c r="R1088" s="170" t="s">
        <v>113</v>
      </c>
      <c r="S1088" s="170" t="s">
        <v>964</v>
      </c>
      <c r="T1088" s="170" t="s">
        <v>16</v>
      </c>
      <c r="U1088" s="170" t="s">
        <v>965</v>
      </c>
      <c r="V1088" s="170" t="s">
        <v>304</v>
      </c>
      <c r="W1088" s="170" t="s">
        <v>1275</v>
      </c>
    </row>
    <row r="1089" ht="15.75" customHeight="1" spans="1:23">
      <c r="A1089" s="185" t="s">
        <v>1276</v>
      </c>
      <c r="B1089" s="185" t="s">
        <v>1277</v>
      </c>
      <c r="C1089" s="185" t="s">
        <v>173</v>
      </c>
      <c r="D1089" s="186" t="s">
        <v>102</v>
      </c>
      <c r="E1089" s="186" t="s">
        <v>103</v>
      </c>
      <c r="F1089" s="180" t="s">
        <v>1278</v>
      </c>
      <c r="G1089" s="180" t="s">
        <v>1279</v>
      </c>
      <c r="H1089" s="239" t="s">
        <v>85</v>
      </c>
      <c r="I1089" s="180" t="s">
        <v>209</v>
      </c>
      <c r="J1089" s="170" t="s">
        <v>108</v>
      </c>
      <c r="K1089" s="200" t="s">
        <v>134</v>
      </c>
      <c r="L1089" s="176">
        <v>3</v>
      </c>
      <c r="M1089" s="180" t="s">
        <v>1030</v>
      </c>
      <c r="N1089" s="200" t="s">
        <v>90</v>
      </c>
      <c r="O1089" s="185" t="s">
        <v>14</v>
      </c>
      <c r="P1089" s="170" t="s">
        <v>963</v>
      </c>
      <c r="Q1089" s="170" t="s">
        <v>112</v>
      </c>
      <c r="R1089" s="170" t="s">
        <v>113</v>
      </c>
      <c r="S1089" s="170" t="s">
        <v>964</v>
      </c>
      <c r="T1089" s="170" t="s">
        <v>16</v>
      </c>
      <c r="U1089" s="170" t="s">
        <v>965</v>
      </c>
      <c r="V1089" s="170" t="s">
        <v>304</v>
      </c>
      <c r="W1089" s="170" t="s">
        <v>1280</v>
      </c>
    </row>
    <row r="1090" customHeight="1" spans="1:23">
      <c r="A1090" s="185"/>
      <c r="B1090" s="185"/>
      <c r="C1090" s="185"/>
      <c r="D1090" s="186" t="s">
        <v>102</v>
      </c>
      <c r="E1090" s="186" t="s">
        <v>103</v>
      </c>
      <c r="F1090" s="180"/>
      <c r="G1090" s="180"/>
      <c r="H1090" s="247"/>
      <c r="I1090" s="182" t="s">
        <v>267</v>
      </c>
      <c r="J1090" s="170" t="s">
        <v>87</v>
      </c>
      <c r="K1090" s="200" t="s">
        <v>134</v>
      </c>
      <c r="L1090" s="182">
        <v>5</v>
      </c>
      <c r="M1090" s="180" t="s">
        <v>1030</v>
      </c>
      <c r="N1090" s="200" t="s">
        <v>90</v>
      </c>
      <c r="O1090" s="185" t="s">
        <v>14</v>
      </c>
      <c r="P1090" s="170" t="s">
        <v>963</v>
      </c>
      <c r="Q1090" s="170" t="s">
        <v>112</v>
      </c>
      <c r="R1090" s="170" t="s">
        <v>113</v>
      </c>
      <c r="S1090" s="170" t="s">
        <v>964</v>
      </c>
      <c r="T1090" s="170" t="s">
        <v>16</v>
      </c>
      <c r="U1090" s="170" t="s">
        <v>965</v>
      </c>
      <c r="V1090" s="170" t="s">
        <v>304</v>
      </c>
      <c r="W1090" s="170" t="s">
        <v>1281</v>
      </c>
    </row>
    <row r="1091" ht="15.75" customHeight="1" spans="1:23">
      <c r="A1091" s="185"/>
      <c r="B1091" s="185"/>
      <c r="C1091" s="185"/>
      <c r="D1091" s="186" t="s">
        <v>102</v>
      </c>
      <c r="E1091" s="186" t="s">
        <v>103</v>
      </c>
      <c r="F1091" s="180"/>
      <c r="G1091" s="180"/>
      <c r="H1091" s="175" t="s">
        <v>91</v>
      </c>
      <c r="I1091" s="182" t="s">
        <v>475</v>
      </c>
      <c r="J1091" s="170" t="s">
        <v>108</v>
      </c>
      <c r="K1091" s="200" t="s">
        <v>134</v>
      </c>
      <c r="L1091" s="182">
        <v>10</v>
      </c>
      <c r="M1091" s="180" t="s">
        <v>98</v>
      </c>
      <c r="N1091" s="200" t="s">
        <v>110</v>
      </c>
      <c r="O1091" s="185" t="s">
        <v>14</v>
      </c>
      <c r="P1091" s="170" t="s">
        <v>963</v>
      </c>
      <c r="Q1091" s="170" t="s">
        <v>112</v>
      </c>
      <c r="R1091" s="170" t="s">
        <v>113</v>
      </c>
      <c r="S1091" s="170" t="s">
        <v>964</v>
      </c>
      <c r="T1091" s="170" t="s">
        <v>16</v>
      </c>
      <c r="U1091" s="170" t="s">
        <v>965</v>
      </c>
      <c r="V1091" s="170" t="s">
        <v>304</v>
      </c>
      <c r="W1091" s="170" t="s">
        <v>1282</v>
      </c>
    </row>
    <row r="1092" customHeight="1" spans="1:23">
      <c r="A1092" s="185"/>
      <c r="B1092" s="185"/>
      <c r="C1092" s="185"/>
      <c r="D1092" s="186" t="s">
        <v>102</v>
      </c>
      <c r="E1092" s="186" t="s">
        <v>103</v>
      </c>
      <c r="F1092" s="180"/>
      <c r="G1092" s="180"/>
      <c r="H1092" s="187" t="s">
        <v>106</v>
      </c>
      <c r="I1092" s="185" t="s">
        <v>281</v>
      </c>
      <c r="J1092" s="170" t="s">
        <v>87</v>
      </c>
      <c r="K1092" s="200" t="s">
        <v>93</v>
      </c>
      <c r="L1092" s="182">
        <v>40</v>
      </c>
      <c r="M1092" s="182" t="s">
        <v>98</v>
      </c>
      <c r="N1092" s="200" t="s">
        <v>90</v>
      </c>
      <c r="O1092" s="185" t="s">
        <v>14</v>
      </c>
      <c r="P1092" s="170" t="s">
        <v>963</v>
      </c>
      <c r="Q1092" s="170" t="s">
        <v>112</v>
      </c>
      <c r="R1092" s="170" t="s">
        <v>113</v>
      </c>
      <c r="S1092" s="170" t="s">
        <v>964</v>
      </c>
      <c r="T1092" s="170" t="s">
        <v>16</v>
      </c>
      <c r="U1092" s="170" t="s">
        <v>965</v>
      </c>
      <c r="V1092" s="170" t="s">
        <v>304</v>
      </c>
      <c r="W1092" s="170" t="s">
        <v>1283</v>
      </c>
    </row>
    <row r="1093" customHeight="1" spans="1:23">
      <c r="A1093" s="185"/>
      <c r="B1093" s="185"/>
      <c r="C1093" s="185"/>
      <c r="D1093" s="186" t="s">
        <v>102</v>
      </c>
      <c r="E1093" s="186" t="s">
        <v>103</v>
      </c>
      <c r="F1093" s="180"/>
      <c r="G1093" s="180"/>
      <c r="H1093" s="189"/>
      <c r="I1093" s="224" t="s">
        <v>196</v>
      </c>
      <c r="J1093" s="170" t="s">
        <v>87</v>
      </c>
      <c r="K1093" s="200" t="s">
        <v>93</v>
      </c>
      <c r="L1093" s="182">
        <v>8</v>
      </c>
      <c r="M1093" s="180" t="s">
        <v>98</v>
      </c>
      <c r="N1093" s="200" t="s">
        <v>90</v>
      </c>
      <c r="O1093" s="185" t="s">
        <v>14</v>
      </c>
      <c r="P1093" s="170" t="s">
        <v>963</v>
      </c>
      <c r="Q1093" s="170" t="s">
        <v>112</v>
      </c>
      <c r="R1093" s="170" t="s">
        <v>113</v>
      </c>
      <c r="S1093" s="170" t="s">
        <v>964</v>
      </c>
      <c r="T1093" s="170" t="s">
        <v>16</v>
      </c>
      <c r="U1093" s="170" t="s">
        <v>965</v>
      </c>
      <c r="V1093" s="170" t="s">
        <v>304</v>
      </c>
      <c r="W1093" s="170" t="s">
        <v>1284</v>
      </c>
    </row>
    <row r="1094" ht="15.75" customHeight="1" spans="1:23">
      <c r="A1094" s="185"/>
      <c r="B1094" s="185"/>
      <c r="C1094" s="185"/>
      <c r="D1094" s="186" t="s">
        <v>102</v>
      </c>
      <c r="E1094" s="186" t="s">
        <v>103</v>
      </c>
      <c r="F1094" s="180"/>
      <c r="G1094" s="180"/>
      <c r="H1094" s="187" t="s">
        <v>95</v>
      </c>
      <c r="I1094" s="182" t="s">
        <v>176</v>
      </c>
      <c r="J1094" s="170" t="s">
        <v>97</v>
      </c>
      <c r="K1094" s="200" t="s">
        <v>134</v>
      </c>
      <c r="L1094" s="182">
        <v>20</v>
      </c>
      <c r="M1094" s="180" t="s">
        <v>98</v>
      </c>
      <c r="N1094" s="207" t="s">
        <v>90</v>
      </c>
      <c r="O1094" s="185" t="s">
        <v>14</v>
      </c>
      <c r="P1094" s="170" t="s">
        <v>963</v>
      </c>
      <c r="Q1094" s="170" t="s">
        <v>112</v>
      </c>
      <c r="R1094" s="170" t="s">
        <v>113</v>
      </c>
      <c r="S1094" s="170" t="s">
        <v>964</v>
      </c>
      <c r="T1094" s="170" t="s">
        <v>16</v>
      </c>
      <c r="U1094" s="170" t="s">
        <v>965</v>
      </c>
      <c r="V1094" s="170" t="s">
        <v>304</v>
      </c>
      <c r="W1094" s="170" t="s">
        <v>1285</v>
      </c>
    </row>
    <row r="1095" ht="15.75" customHeight="1" spans="1:23">
      <c r="A1095" s="185"/>
      <c r="B1095" s="185"/>
      <c r="C1095" s="185"/>
      <c r="D1095" s="186" t="s">
        <v>102</v>
      </c>
      <c r="E1095" s="186" t="s">
        <v>103</v>
      </c>
      <c r="F1095" s="180"/>
      <c r="G1095" s="180"/>
      <c r="H1095" s="190"/>
      <c r="I1095" s="182" t="s">
        <v>285</v>
      </c>
      <c r="J1095" s="170" t="s">
        <v>108</v>
      </c>
      <c r="K1095" s="200" t="s">
        <v>93</v>
      </c>
      <c r="L1095" s="182">
        <v>10</v>
      </c>
      <c r="M1095" s="180" t="s">
        <v>1030</v>
      </c>
      <c r="N1095" s="207" t="s">
        <v>99</v>
      </c>
      <c r="O1095" s="185" t="s">
        <v>14</v>
      </c>
      <c r="P1095" s="170" t="s">
        <v>963</v>
      </c>
      <c r="Q1095" s="170" t="s">
        <v>112</v>
      </c>
      <c r="R1095" s="170" t="s">
        <v>113</v>
      </c>
      <c r="S1095" s="170" t="s">
        <v>964</v>
      </c>
      <c r="T1095" s="170" t="s">
        <v>16</v>
      </c>
      <c r="U1095" s="170" t="s">
        <v>965</v>
      </c>
      <c r="V1095" s="170" t="s">
        <v>304</v>
      </c>
      <c r="W1095" s="170" t="s">
        <v>1286</v>
      </c>
    </row>
    <row r="1096" ht="15.75" customHeight="1" spans="1:23">
      <c r="A1096" s="185"/>
      <c r="B1096" s="185"/>
      <c r="C1096" s="185"/>
      <c r="D1096" s="186" t="s">
        <v>102</v>
      </c>
      <c r="E1096" s="186" t="s">
        <v>103</v>
      </c>
      <c r="F1096" s="180"/>
      <c r="G1096" s="180"/>
      <c r="H1096" s="190"/>
      <c r="I1096" s="182" t="s">
        <v>193</v>
      </c>
      <c r="J1096" s="170" t="s">
        <v>108</v>
      </c>
      <c r="K1096" s="200" t="s">
        <v>134</v>
      </c>
      <c r="L1096" s="182">
        <v>20</v>
      </c>
      <c r="M1096" s="180" t="s">
        <v>98</v>
      </c>
      <c r="N1096" s="207" t="s">
        <v>99</v>
      </c>
      <c r="O1096" s="185" t="s">
        <v>14</v>
      </c>
      <c r="P1096" s="170" t="s">
        <v>963</v>
      </c>
      <c r="Q1096" s="170" t="s">
        <v>112</v>
      </c>
      <c r="R1096" s="170" t="s">
        <v>113</v>
      </c>
      <c r="S1096" s="170" t="s">
        <v>964</v>
      </c>
      <c r="T1096" s="170" t="s">
        <v>16</v>
      </c>
      <c r="U1096" s="170" t="s">
        <v>965</v>
      </c>
      <c r="V1096" s="170" t="s">
        <v>304</v>
      </c>
      <c r="W1096" s="170" t="s">
        <v>1287</v>
      </c>
    </row>
    <row r="1097" ht="15.75" customHeight="1" spans="1:23">
      <c r="A1097" s="185"/>
      <c r="B1097" s="185"/>
      <c r="C1097" s="185"/>
      <c r="D1097" s="186" t="s">
        <v>102</v>
      </c>
      <c r="E1097" s="186" t="s">
        <v>103</v>
      </c>
      <c r="F1097" s="180"/>
      <c r="G1097" s="180"/>
      <c r="H1097" s="189"/>
      <c r="I1097" s="182" t="s">
        <v>136</v>
      </c>
      <c r="J1097" s="170" t="s">
        <v>108</v>
      </c>
      <c r="K1097" s="200" t="s">
        <v>134</v>
      </c>
      <c r="L1097" s="182">
        <v>10</v>
      </c>
      <c r="M1097" s="180" t="s">
        <v>98</v>
      </c>
      <c r="N1097" s="207" t="s">
        <v>110</v>
      </c>
      <c r="O1097" s="185" t="s">
        <v>14</v>
      </c>
      <c r="P1097" s="170" t="s">
        <v>963</v>
      </c>
      <c r="Q1097" s="170" t="s">
        <v>112</v>
      </c>
      <c r="R1097" s="170" t="s">
        <v>113</v>
      </c>
      <c r="S1097" s="170" t="s">
        <v>964</v>
      </c>
      <c r="T1097" s="170" t="s">
        <v>16</v>
      </c>
      <c r="U1097" s="170" t="s">
        <v>965</v>
      </c>
      <c r="V1097" s="170" t="s">
        <v>304</v>
      </c>
      <c r="W1097" s="170" t="s">
        <v>1288</v>
      </c>
    </row>
    <row r="1098" ht="28.5" customHeight="1" spans="1:23">
      <c r="A1098" s="185"/>
      <c r="B1098" s="185"/>
      <c r="C1098" s="185"/>
      <c r="D1098" s="186" t="s">
        <v>102</v>
      </c>
      <c r="E1098" s="186" t="s">
        <v>103</v>
      </c>
      <c r="F1098" s="180"/>
      <c r="G1098" s="180"/>
      <c r="H1098" s="175" t="s">
        <v>218</v>
      </c>
      <c r="I1098" s="175" t="s">
        <v>219</v>
      </c>
      <c r="J1098" s="170" t="s">
        <v>108</v>
      </c>
      <c r="K1098" s="200" t="s">
        <v>134</v>
      </c>
      <c r="L1098" s="182">
        <v>5</v>
      </c>
      <c r="M1098" s="180" t="s">
        <v>1030</v>
      </c>
      <c r="N1098" s="207" t="s">
        <v>99</v>
      </c>
      <c r="O1098" s="185" t="s">
        <v>14</v>
      </c>
      <c r="P1098" s="170" t="s">
        <v>963</v>
      </c>
      <c r="Q1098" s="170" t="s">
        <v>112</v>
      </c>
      <c r="R1098" s="170" t="s">
        <v>113</v>
      </c>
      <c r="S1098" s="170" t="s">
        <v>964</v>
      </c>
      <c r="T1098" s="170" t="s">
        <v>16</v>
      </c>
      <c r="U1098" s="170" t="s">
        <v>965</v>
      </c>
      <c r="V1098" s="170" t="s">
        <v>304</v>
      </c>
      <c r="W1098" s="170" t="s">
        <v>1289</v>
      </c>
    </row>
    <row r="1099" ht="15.75" customHeight="1" spans="1:23">
      <c r="A1099" s="185"/>
      <c r="B1099" s="185"/>
      <c r="C1099" s="185"/>
      <c r="D1099" s="186" t="s">
        <v>102</v>
      </c>
      <c r="E1099" s="186" t="s">
        <v>103</v>
      </c>
      <c r="F1099" s="180"/>
      <c r="G1099" s="180"/>
      <c r="H1099" s="200" t="s">
        <v>119</v>
      </c>
      <c r="I1099" s="209" t="s">
        <v>211</v>
      </c>
      <c r="J1099" s="170" t="s">
        <v>108</v>
      </c>
      <c r="K1099" s="182" t="s">
        <v>134</v>
      </c>
      <c r="L1099" s="176">
        <v>20</v>
      </c>
      <c r="M1099" s="194" t="s">
        <v>279</v>
      </c>
      <c r="N1099" s="207" t="s">
        <v>110</v>
      </c>
      <c r="O1099" s="185" t="s">
        <v>14</v>
      </c>
      <c r="P1099" s="170" t="s">
        <v>963</v>
      </c>
      <c r="Q1099" s="170" t="s">
        <v>112</v>
      </c>
      <c r="R1099" s="170" t="s">
        <v>113</v>
      </c>
      <c r="S1099" s="170" t="s">
        <v>964</v>
      </c>
      <c r="T1099" s="170" t="s">
        <v>16</v>
      </c>
      <c r="U1099" s="170" t="s">
        <v>965</v>
      </c>
      <c r="V1099" s="170" t="s">
        <v>304</v>
      </c>
      <c r="W1099" s="170" t="s">
        <v>1290</v>
      </c>
    </row>
    <row r="1100" ht="15.75" customHeight="1" spans="1:23">
      <c r="A1100" s="185"/>
      <c r="B1100" s="185"/>
      <c r="C1100" s="185"/>
      <c r="D1100" s="186" t="s">
        <v>102</v>
      </c>
      <c r="E1100" s="186" t="s">
        <v>103</v>
      </c>
      <c r="F1100" s="180"/>
      <c r="G1100" s="180"/>
      <c r="H1100" s="175" t="s">
        <v>141</v>
      </c>
      <c r="I1100" s="182" t="s">
        <v>479</v>
      </c>
      <c r="J1100" s="170" t="s">
        <v>97</v>
      </c>
      <c r="K1100" s="200" t="s">
        <v>134</v>
      </c>
      <c r="L1100" s="182">
        <v>25</v>
      </c>
      <c r="M1100" s="180" t="s">
        <v>98</v>
      </c>
      <c r="N1100" s="207" t="s">
        <v>110</v>
      </c>
      <c r="O1100" s="185" t="s">
        <v>14</v>
      </c>
      <c r="P1100" s="170" t="s">
        <v>963</v>
      </c>
      <c r="Q1100" s="170" t="s">
        <v>112</v>
      </c>
      <c r="R1100" s="170" t="s">
        <v>113</v>
      </c>
      <c r="S1100" s="170" t="s">
        <v>964</v>
      </c>
      <c r="T1100" s="170" t="s">
        <v>16</v>
      </c>
      <c r="U1100" s="170" t="s">
        <v>965</v>
      </c>
      <c r="V1100" s="170" t="s">
        <v>304</v>
      </c>
      <c r="W1100" s="170" t="s">
        <v>1291</v>
      </c>
    </row>
    <row r="1101" ht="15.75" customHeight="1" spans="1:23">
      <c r="A1101" s="185" t="s">
        <v>1292</v>
      </c>
      <c r="B1101" s="185" t="s">
        <v>1293</v>
      </c>
      <c r="C1101" s="185" t="s">
        <v>173</v>
      </c>
      <c r="D1101" s="186" t="s">
        <v>102</v>
      </c>
      <c r="E1101" s="186" t="s">
        <v>103</v>
      </c>
      <c r="F1101" s="180" t="s">
        <v>1294</v>
      </c>
      <c r="G1101" s="180" t="s">
        <v>1295</v>
      </c>
      <c r="H1101" s="200" t="s">
        <v>91</v>
      </c>
      <c r="I1101" s="191" t="s">
        <v>475</v>
      </c>
      <c r="J1101" s="170" t="s">
        <v>108</v>
      </c>
      <c r="K1101" s="200" t="s">
        <v>93</v>
      </c>
      <c r="L1101" s="180">
        <v>2</v>
      </c>
      <c r="M1101" s="180" t="s">
        <v>98</v>
      </c>
      <c r="N1101" s="200" t="s">
        <v>90</v>
      </c>
      <c r="O1101" s="185" t="s">
        <v>14</v>
      </c>
      <c r="P1101" s="170" t="s">
        <v>963</v>
      </c>
      <c r="Q1101" s="170" t="s">
        <v>112</v>
      </c>
      <c r="R1101" s="170" t="s">
        <v>113</v>
      </c>
      <c r="S1101" s="170" t="s">
        <v>964</v>
      </c>
      <c r="T1101" s="170" t="s">
        <v>16</v>
      </c>
      <c r="U1101" s="170" t="s">
        <v>965</v>
      </c>
      <c r="V1101" s="170" t="s">
        <v>304</v>
      </c>
      <c r="W1101" s="170" t="s">
        <v>1296</v>
      </c>
    </row>
    <row r="1102" customHeight="1" spans="1:23">
      <c r="A1102" s="185"/>
      <c r="B1102" s="185"/>
      <c r="C1102" s="185"/>
      <c r="D1102" s="186" t="s">
        <v>102</v>
      </c>
      <c r="E1102" s="186" t="s">
        <v>103</v>
      </c>
      <c r="F1102" s="180"/>
      <c r="G1102" s="180"/>
      <c r="H1102" s="200" t="s">
        <v>132</v>
      </c>
      <c r="I1102" s="180" t="s">
        <v>480</v>
      </c>
      <c r="J1102" s="170" t="s">
        <v>87</v>
      </c>
      <c r="K1102" s="200" t="s">
        <v>93</v>
      </c>
      <c r="L1102" s="180">
        <v>5</v>
      </c>
      <c r="M1102" s="180" t="s">
        <v>1098</v>
      </c>
      <c r="N1102" s="200" t="s">
        <v>90</v>
      </c>
      <c r="O1102" s="185" t="s">
        <v>14</v>
      </c>
      <c r="P1102" s="170" t="s">
        <v>963</v>
      </c>
      <c r="Q1102" s="170" t="s">
        <v>112</v>
      </c>
      <c r="R1102" s="170" t="s">
        <v>113</v>
      </c>
      <c r="S1102" s="170" t="s">
        <v>964</v>
      </c>
      <c r="T1102" s="170" t="s">
        <v>16</v>
      </c>
      <c r="U1102" s="170" t="s">
        <v>965</v>
      </c>
      <c r="V1102" s="170" t="s">
        <v>304</v>
      </c>
      <c r="W1102" s="170" t="s">
        <v>1297</v>
      </c>
    </row>
    <row r="1103" customHeight="1" spans="1:23">
      <c r="A1103" s="185"/>
      <c r="B1103" s="185"/>
      <c r="C1103" s="185"/>
      <c r="D1103" s="186" t="s">
        <v>102</v>
      </c>
      <c r="E1103" s="186" t="s">
        <v>103</v>
      </c>
      <c r="F1103" s="180"/>
      <c r="G1103" s="180"/>
      <c r="H1103" s="239" t="s">
        <v>106</v>
      </c>
      <c r="I1103" s="180" t="s">
        <v>281</v>
      </c>
      <c r="J1103" s="170" t="s">
        <v>87</v>
      </c>
      <c r="K1103" s="200" t="s">
        <v>93</v>
      </c>
      <c r="L1103" s="180">
        <v>35</v>
      </c>
      <c r="M1103" s="180" t="s">
        <v>98</v>
      </c>
      <c r="N1103" s="200" t="s">
        <v>90</v>
      </c>
      <c r="O1103" s="185" t="s">
        <v>14</v>
      </c>
      <c r="P1103" s="170" t="s">
        <v>963</v>
      </c>
      <c r="Q1103" s="170" t="s">
        <v>112</v>
      </c>
      <c r="R1103" s="170" t="s">
        <v>113</v>
      </c>
      <c r="S1103" s="170" t="s">
        <v>964</v>
      </c>
      <c r="T1103" s="170" t="s">
        <v>16</v>
      </c>
      <c r="U1103" s="170" t="s">
        <v>965</v>
      </c>
      <c r="V1103" s="170" t="s">
        <v>304</v>
      </c>
      <c r="W1103" s="170" t="s">
        <v>1298</v>
      </c>
    </row>
    <row r="1104" customHeight="1" spans="1:23">
      <c r="A1104" s="185"/>
      <c r="B1104" s="185"/>
      <c r="C1104" s="185"/>
      <c r="D1104" s="186" t="s">
        <v>102</v>
      </c>
      <c r="E1104" s="186" t="s">
        <v>103</v>
      </c>
      <c r="F1104" s="180"/>
      <c r="G1104" s="180"/>
      <c r="H1104" s="243"/>
      <c r="I1104" s="180" t="s">
        <v>196</v>
      </c>
      <c r="J1104" s="170" t="s">
        <v>87</v>
      </c>
      <c r="K1104" s="200" t="s">
        <v>93</v>
      </c>
      <c r="L1104" s="180">
        <v>2</v>
      </c>
      <c r="M1104" s="180" t="s">
        <v>98</v>
      </c>
      <c r="N1104" s="200" t="s">
        <v>90</v>
      </c>
      <c r="O1104" s="185" t="s">
        <v>14</v>
      </c>
      <c r="P1104" s="170" t="s">
        <v>963</v>
      </c>
      <c r="Q1104" s="170" t="s">
        <v>112</v>
      </c>
      <c r="R1104" s="170" t="s">
        <v>113</v>
      </c>
      <c r="S1104" s="170" t="s">
        <v>964</v>
      </c>
      <c r="T1104" s="170" t="s">
        <v>16</v>
      </c>
      <c r="U1104" s="170" t="s">
        <v>965</v>
      </c>
      <c r="V1104" s="170" t="s">
        <v>304</v>
      </c>
      <c r="W1104" s="170" t="s">
        <v>1299</v>
      </c>
    </row>
    <row r="1105" ht="15.75" customHeight="1" spans="1:23">
      <c r="A1105" s="185"/>
      <c r="B1105" s="185"/>
      <c r="C1105" s="185"/>
      <c r="D1105" s="186" t="s">
        <v>102</v>
      </c>
      <c r="E1105" s="186" t="s">
        <v>103</v>
      </c>
      <c r="F1105" s="180"/>
      <c r="G1105" s="180"/>
      <c r="H1105" s="239" t="s">
        <v>95</v>
      </c>
      <c r="I1105" s="180" t="s">
        <v>285</v>
      </c>
      <c r="J1105" s="170" t="s">
        <v>108</v>
      </c>
      <c r="K1105" s="200" t="s">
        <v>93</v>
      </c>
      <c r="L1105" s="180">
        <v>25</v>
      </c>
      <c r="M1105" s="180" t="s">
        <v>279</v>
      </c>
      <c r="N1105" s="200" t="s">
        <v>90</v>
      </c>
      <c r="O1105" s="185" t="s">
        <v>14</v>
      </c>
      <c r="P1105" s="170" t="s">
        <v>963</v>
      </c>
      <c r="Q1105" s="170" t="s">
        <v>112</v>
      </c>
      <c r="R1105" s="170" t="s">
        <v>113</v>
      </c>
      <c r="S1105" s="170" t="s">
        <v>964</v>
      </c>
      <c r="T1105" s="170" t="s">
        <v>16</v>
      </c>
      <c r="U1105" s="170" t="s">
        <v>965</v>
      </c>
      <c r="V1105" s="170" t="s">
        <v>304</v>
      </c>
      <c r="W1105" s="170" t="s">
        <v>1300</v>
      </c>
    </row>
    <row r="1106" ht="15.75" customHeight="1" spans="1:23">
      <c r="A1106" s="185"/>
      <c r="B1106" s="185"/>
      <c r="C1106" s="185"/>
      <c r="D1106" s="186" t="s">
        <v>102</v>
      </c>
      <c r="E1106" s="186" t="s">
        <v>103</v>
      </c>
      <c r="F1106" s="180"/>
      <c r="G1106" s="180"/>
      <c r="H1106" s="240"/>
      <c r="I1106" s="180" t="s">
        <v>176</v>
      </c>
      <c r="J1106" s="170" t="s">
        <v>97</v>
      </c>
      <c r="K1106" s="200" t="s">
        <v>93</v>
      </c>
      <c r="L1106" s="180">
        <v>30</v>
      </c>
      <c r="M1106" s="180" t="s">
        <v>98</v>
      </c>
      <c r="N1106" s="200" t="s">
        <v>110</v>
      </c>
      <c r="O1106" s="185" t="s">
        <v>14</v>
      </c>
      <c r="P1106" s="170" t="s">
        <v>963</v>
      </c>
      <c r="Q1106" s="170" t="s">
        <v>112</v>
      </c>
      <c r="R1106" s="170" t="s">
        <v>113</v>
      </c>
      <c r="S1106" s="170" t="s">
        <v>964</v>
      </c>
      <c r="T1106" s="170" t="s">
        <v>16</v>
      </c>
      <c r="U1106" s="170" t="s">
        <v>965</v>
      </c>
      <c r="V1106" s="170" t="s">
        <v>304</v>
      </c>
      <c r="W1106" s="170" t="s">
        <v>1301</v>
      </c>
    </row>
    <row r="1107" ht="15.75" customHeight="1" spans="1:23">
      <c r="A1107" s="185"/>
      <c r="B1107" s="185"/>
      <c r="C1107" s="185"/>
      <c r="D1107" s="186" t="s">
        <v>102</v>
      </c>
      <c r="E1107" s="186" t="s">
        <v>103</v>
      </c>
      <c r="F1107" s="180"/>
      <c r="G1107" s="180"/>
      <c r="H1107" s="240"/>
      <c r="I1107" s="180" t="s">
        <v>193</v>
      </c>
      <c r="J1107" s="170" t="s">
        <v>108</v>
      </c>
      <c r="K1107" s="200" t="s">
        <v>93</v>
      </c>
      <c r="L1107" s="180">
        <v>3</v>
      </c>
      <c r="M1107" s="180" t="s">
        <v>98</v>
      </c>
      <c r="N1107" s="200" t="s">
        <v>110</v>
      </c>
      <c r="O1107" s="185" t="s">
        <v>14</v>
      </c>
      <c r="P1107" s="170" t="s">
        <v>963</v>
      </c>
      <c r="Q1107" s="170" t="s">
        <v>112</v>
      </c>
      <c r="R1107" s="170" t="s">
        <v>113</v>
      </c>
      <c r="S1107" s="170" t="s">
        <v>964</v>
      </c>
      <c r="T1107" s="170" t="s">
        <v>16</v>
      </c>
      <c r="U1107" s="170" t="s">
        <v>965</v>
      </c>
      <c r="V1107" s="170" t="s">
        <v>304</v>
      </c>
      <c r="W1107" s="170" t="s">
        <v>1302</v>
      </c>
    </row>
    <row r="1108" ht="15.75" customHeight="1" spans="1:23">
      <c r="A1108" s="185"/>
      <c r="B1108" s="185"/>
      <c r="C1108" s="185"/>
      <c r="D1108" s="186" t="s">
        <v>102</v>
      </c>
      <c r="E1108" s="186" t="s">
        <v>103</v>
      </c>
      <c r="F1108" s="180"/>
      <c r="G1108" s="180"/>
      <c r="H1108" s="243"/>
      <c r="I1108" s="180" t="s">
        <v>136</v>
      </c>
      <c r="J1108" s="170" t="s">
        <v>108</v>
      </c>
      <c r="K1108" s="200" t="s">
        <v>93</v>
      </c>
      <c r="L1108" s="180">
        <v>70</v>
      </c>
      <c r="M1108" s="180" t="s">
        <v>279</v>
      </c>
      <c r="N1108" s="200" t="s">
        <v>110</v>
      </c>
      <c r="O1108" s="185" t="s">
        <v>14</v>
      </c>
      <c r="P1108" s="170" t="s">
        <v>963</v>
      </c>
      <c r="Q1108" s="170" t="s">
        <v>112</v>
      </c>
      <c r="R1108" s="170" t="s">
        <v>113</v>
      </c>
      <c r="S1108" s="170" t="s">
        <v>964</v>
      </c>
      <c r="T1108" s="170" t="s">
        <v>16</v>
      </c>
      <c r="U1108" s="170" t="s">
        <v>965</v>
      </c>
      <c r="V1108" s="170" t="s">
        <v>304</v>
      </c>
      <c r="W1108" s="170" t="s">
        <v>1303</v>
      </c>
    </row>
    <row r="1109" ht="30" customHeight="1" spans="1:23">
      <c r="A1109" s="185"/>
      <c r="B1109" s="185"/>
      <c r="C1109" s="185"/>
      <c r="D1109" s="186" t="s">
        <v>102</v>
      </c>
      <c r="E1109" s="186" t="s">
        <v>103</v>
      </c>
      <c r="F1109" s="180"/>
      <c r="G1109" s="180"/>
      <c r="H1109" s="200" t="s">
        <v>218</v>
      </c>
      <c r="I1109" s="180" t="s">
        <v>219</v>
      </c>
      <c r="J1109" s="17" t="s">
        <v>108</v>
      </c>
      <c r="K1109" s="200" t="s">
        <v>93</v>
      </c>
      <c r="L1109" s="180">
        <v>4</v>
      </c>
      <c r="M1109" s="180" t="s">
        <v>279</v>
      </c>
      <c r="N1109" s="200" t="s">
        <v>99</v>
      </c>
      <c r="O1109" s="185" t="s">
        <v>14</v>
      </c>
      <c r="P1109" s="170" t="s">
        <v>963</v>
      </c>
      <c r="Q1109" s="170" t="s">
        <v>112</v>
      </c>
      <c r="R1109" s="170" t="s">
        <v>113</v>
      </c>
      <c r="S1109" s="170" t="s">
        <v>964</v>
      </c>
      <c r="T1109" s="170" t="s">
        <v>16</v>
      </c>
      <c r="U1109" s="170" t="s">
        <v>965</v>
      </c>
      <c r="V1109" s="170" t="s">
        <v>304</v>
      </c>
      <c r="W1109" s="170" t="s">
        <v>1304</v>
      </c>
    </row>
    <row r="1110" ht="15.75" customHeight="1" spans="1:23">
      <c r="A1110" s="185" t="s">
        <v>1305</v>
      </c>
      <c r="B1110" s="185" t="s">
        <v>1306</v>
      </c>
      <c r="C1110" s="185" t="s">
        <v>173</v>
      </c>
      <c r="D1110" s="186" t="s">
        <v>102</v>
      </c>
      <c r="E1110" s="186" t="s">
        <v>103</v>
      </c>
      <c r="F1110" s="180" t="s">
        <v>1307</v>
      </c>
      <c r="G1110" s="180" t="s">
        <v>961</v>
      </c>
      <c r="H1110" s="200" t="s">
        <v>91</v>
      </c>
      <c r="I1110" s="180" t="s">
        <v>475</v>
      </c>
      <c r="J1110" s="17" t="s">
        <v>108</v>
      </c>
      <c r="K1110" s="175" t="s">
        <v>88</v>
      </c>
      <c r="L1110" s="180">
        <v>6</v>
      </c>
      <c r="M1110" s="180" t="s">
        <v>1030</v>
      </c>
      <c r="N1110" s="200" t="s">
        <v>99</v>
      </c>
      <c r="O1110" s="185" t="s">
        <v>14</v>
      </c>
      <c r="P1110" s="170" t="s">
        <v>963</v>
      </c>
      <c r="Q1110" s="170" t="s">
        <v>112</v>
      </c>
      <c r="R1110" s="170" t="s">
        <v>113</v>
      </c>
      <c r="S1110" s="170" t="s">
        <v>964</v>
      </c>
      <c r="T1110" s="170" t="s">
        <v>16</v>
      </c>
      <c r="U1110" s="170" t="s">
        <v>965</v>
      </c>
      <c r="V1110" s="170" t="s">
        <v>304</v>
      </c>
      <c r="W1110" s="170" t="s">
        <v>1308</v>
      </c>
    </row>
    <row r="1111" ht="15.75" customHeight="1" spans="1:23">
      <c r="A1111" s="185"/>
      <c r="B1111" s="185"/>
      <c r="C1111" s="185"/>
      <c r="D1111" s="186" t="s">
        <v>102</v>
      </c>
      <c r="E1111" s="186" t="s">
        <v>103</v>
      </c>
      <c r="F1111" s="180"/>
      <c r="G1111" s="180"/>
      <c r="H1111" s="239" t="s">
        <v>85</v>
      </c>
      <c r="I1111" s="188" t="s">
        <v>209</v>
      </c>
      <c r="J1111" s="17" t="s">
        <v>108</v>
      </c>
      <c r="K1111" s="175" t="s">
        <v>88</v>
      </c>
      <c r="L1111" s="180">
        <v>10</v>
      </c>
      <c r="M1111" s="180" t="s">
        <v>1030</v>
      </c>
      <c r="N1111" s="200" t="s">
        <v>110</v>
      </c>
      <c r="O1111" s="185" t="s">
        <v>14</v>
      </c>
      <c r="P1111" s="170" t="s">
        <v>963</v>
      </c>
      <c r="Q1111" s="170" t="s">
        <v>112</v>
      </c>
      <c r="R1111" s="170" t="s">
        <v>113</v>
      </c>
      <c r="S1111" s="170" t="s">
        <v>964</v>
      </c>
      <c r="T1111" s="170" t="s">
        <v>16</v>
      </c>
      <c r="U1111" s="170" t="s">
        <v>965</v>
      </c>
      <c r="V1111" s="170" t="s">
        <v>304</v>
      </c>
      <c r="W1111" s="170" t="s">
        <v>1309</v>
      </c>
    </row>
    <row r="1112" customHeight="1" spans="1:23">
      <c r="A1112" s="185"/>
      <c r="B1112" s="185"/>
      <c r="C1112" s="185"/>
      <c r="D1112" s="186" t="s">
        <v>102</v>
      </c>
      <c r="E1112" s="186" t="s">
        <v>103</v>
      </c>
      <c r="F1112" s="180"/>
      <c r="G1112" s="180"/>
      <c r="H1112" s="243"/>
      <c r="I1112" s="180" t="s">
        <v>267</v>
      </c>
      <c r="J1112" s="17" t="s">
        <v>87</v>
      </c>
      <c r="K1112" s="175" t="s">
        <v>88</v>
      </c>
      <c r="L1112" s="180">
        <v>3</v>
      </c>
      <c r="M1112" s="180" t="s">
        <v>1030</v>
      </c>
      <c r="N1112" s="200" t="s">
        <v>110</v>
      </c>
      <c r="O1112" s="185" t="s">
        <v>14</v>
      </c>
      <c r="P1112" s="170" t="s">
        <v>963</v>
      </c>
      <c r="Q1112" s="170" t="s">
        <v>112</v>
      </c>
      <c r="R1112" s="170" t="s">
        <v>113</v>
      </c>
      <c r="S1112" s="170" t="s">
        <v>964</v>
      </c>
      <c r="T1112" s="170" t="s">
        <v>16</v>
      </c>
      <c r="U1112" s="170" t="s">
        <v>965</v>
      </c>
      <c r="V1112" s="170" t="s">
        <v>304</v>
      </c>
      <c r="W1112" s="170" t="s">
        <v>1310</v>
      </c>
    </row>
    <row r="1113" customHeight="1" spans="1:23">
      <c r="A1113" s="185"/>
      <c r="B1113" s="185"/>
      <c r="C1113" s="185"/>
      <c r="D1113" s="186" t="s">
        <v>102</v>
      </c>
      <c r="E1113" s="186" t="s">
        <v>103</v>
      </c>
      <c r="F1113" s="180"/>
      <c r="G1113" s="180"/>
      <c r="H1113" s="205" t="s">
        <v>106</v>
      </c>
      <c r="I1113" s="188" t="s">
        <v>281</v>
      </c>
      <c r="J1113" s="17" t="s">
        <v>87</v>
      </c>
      <c r="K1113" s="200" t="s">
        <v>93</v>
      </c>
      <c r="L1113" s="180">
        <v>23</v>
      </c>
      <c r="M1113" s="180" t="s">
        <v>98</v>
      </c>
      <c r="N1113" s="200" t="s">
        <v>99</v>
      </c>
      <c r="O1113" s="185" t="s">
        <v>14</v>
      </c>
      <c r="P1113" s="170" t="s">
        <v>963</v>
      </c>
      <c r="Q1113" s="170" t="s">
        <v>112</v>
      </c>
      <c r="R1113" s="170" t="s">
        <v>113</v>
      </c>
      <c r="S1113" s="170" t="s">
        <v>964</v>
      </c>
      <c r="T1113" s="170" t="s">
        <v>16</v>
      </c>
      <c r="U1113" s="170" t="s">
        <v>965</v>
      </c>
      <c r="V1113" s="170" t="s">
        <v>304</v>
      </c>
      <c r="W1113" s="170" t="s">
        <v>1311</v>
      </c>
    </row>
    <row r="1114" customHeight="1" spans="1:23">
      <c r="A1114" s="185"/>
      <c r="B1114" s="185"/>
      <c r="C1114" s="185"/>
      <c r="D1114" s="186" t="s">
        <v>102</v>
      </c>
      <c r="E1114" s="186" t="s">
        <v>103</v>
      </c>
      <c r="F1114" s="180"/>
      <c r="G1114" s="180"/>
      <c r="H1114" s="210"/>
      <c r="I1114" s="188" t="s">
        <v>196</v>
      </c>
      <c r="J1114" s="17" t="s">
        <v>87</v>
      </c>
      <c r="K1114" s="175" t="s">
        <v>134</v>
      </c>
      <c r="L1114" s="180">
        <v>8</v>
      </c>
      <c r="M1114" s="180" t="s">
        <v>98</v>
      </c>
      <c r="N1114" s="200" t="s">
        <v>90</v>
      </c>
      <c r="O1114" s="185" t="s">
        <v>14</v>
      </c>
      <c r="P1114" s="170" t="s">
        <v>963</v>
      </c>
      <c r="Q1114" s="170" t="s">
        <v>112</v>
      </c>
      <c r="R1114" s="170" t="s">
        <v>113</v>
      </c>
      <c r="S1114" s="170" t="s">
        <v>964</v>
      </c>
      <c r="T1114" s="170" t="s">
        <v>16</v>
      </c>
      <c r="U1114" s="170" t="s">
        <v>965</v>
      </c>
      <c r="V1114" s="170" t="s">
        <v>304</v>
      </c>
      <c r="W1114" s="170" t="s">
        <v>1312</v>
      </c>
    </row>
    <row r="1115" ht="15.75" customHeight="1" spans="1:23">
      <c r="A1115" s="185"/>
      <c r="B1115" s="185"/>
      <c r="C1115" s="185"/>
      <c r="D1115" s="186" t="s">
        <v>102</v>
      </c>
      <c r="E1115" s="186" t="s">
        <v>103</v>
      </c>
      <c r="F1115" s="180"/>
      <c r="G1115" s="180"/>
      <c r="H1115" s="205" t="s">
        <v>95</v>
      </c>
      <c r="I1115" s="246" t="s">
        <v>285</v>
      </c>
      <c r="J1115" s="17" t="s">
        <v>108</v>
      </c>
      <c r="K1115" s="200" t="s">
        <v>93</v>
      </c>
      <c r="L1115" s="180">
        <v>16</v>
      </c>
      <c r="M1115" s="180" t="s">
        <v>98</v>
      </c>
      <c r="N1115" s="200" t="s">
        <v>99</v>
      </c>
      <c r="O1115" s="185" t="s">
        <v>14</v>
      </c>
      <c r="P1115" s="170" t="s">
        <v>963</v>
      </c>
      <c r="Q1115" s="170" t="s">
        <v>112</v>
      </c>
      <c r="R1115" s="170" t="s">
        <v>113</v>
      </c>
      <c r="S1115" s="170" t="s">
        <v>964</v>
      </c>
      <c r="T1115" s="170" t="s">
        <v>16</v>
      </c>
      <c r="U1115" s="170" t="s">
        <v>965</v>
      </c>
      <c r="V1115" s="170" t="s">
        <v>304</v>
      </c>
      <c r="W1115" s="170" t="s">
        <v>1313</v>
      </c>
    </row>
    <row r="1116" ht="15.75" customHeight="1" spans="1:23">
      <c r="A1116" s="185"/>
      <c r="B1116" s="185"/>
      <c r="C1116" s="185"/>
      <c r="D1116" s="186" t="s">
        <v>102</v>
      </c>
      <c r="E1116" s="186" t="s">
        <v>103</v>
      </c>
      <c r="F1116" s="180"/>
      <c r="G1116" s="180"/>
      <c r="H1116" s="208"/>
      <c r="I1116" s="246" t="s">
        <v>176</v>
      </c>
      <c r="J1116" s="17" t="s">
        <v>97</v>
      </c>
      <c r="K1116" s="200" t="s">
        <v>93</v>
      </c>
      <c r="L1116" s="180">
        <v>36</v>
      </c>
      <c r="M1116" s="180" t="s">
        <v>98</v>
      </c>
      <c r="N1116" s="200" t="s">
        <v>99</v>
      </c>
      <c r="O1116" s="185" t="s">
        <v>14</v>
      </c>
      <c r="P1116" s="170" t="s">
        <v>963</v>
      </c>
      <c r="Q1116" s="170" t="s">
        <v>112</v>
      </c>
      <c r="R1116" s="170" t="s">
        <v>113</v>
      </c>
      <c r="S1116" s="170" t="s">
        <v>964</v>
      </c>
      <c r="T1116" s="170" t="s">
        <v>16</v>
      </c>
      <c r="U1116" s="170" t="s">
        <v>965</v>
      </c>
      <c r="V1116" s="170" t="s">
        <v>304</v>
      </c>
      <c r="W1116" s="170" t="s">
        <v>1314</v>
      </c>
    </row>
    <row r="1117" ht="15.75" customHeight="1" spans="1:23">
      <c r="A1117" s="185"/>
      <c r="B1117" s="185"/>
      <c r="C1117" s="185"/>
      <c r="D1117" s="186" t="s">
        <v>102</v>
      </c>
      <c r="E1117" s="186" t="s">
        <v>103</v>
      </c>
      <c r="F1117" s="180"/>
      <c r="G1117" s="180"/>
      <c r="H1117" s="208"/>
      <c r="I1117" s="246" t="s">
        <v>193</v>
      </c>
      <c r="J1117" s="248" t="s">
        <v>108</v>
      </c>
      <c r="K1117" s="175" t="s">
        <v>88</v>
      </c>
      <c r="L1117" s="180">
        <v>2</v>
      </c>
      <c r="M1117" s="180" t="s">
        <v>98</v>
      </c>
      <c r="N1117" s="200" t="s">
        <v>99</v>
      </c>
      <c r="O1117" s="185" t="s">
        <v>14</v>
      </c>
      <c r="P1117" s="170" t="s">
        <v>963</v>
      </c>
      <c r="Q1117" s="170" t="s">
        <v>112</v>
      </c>
      <c r="R1117" s="170" t="s">
        <v>113</v>
      </c>
      <c r="S1117" s="170" t="s">
        <v>964</v>
      </c>
      <c r="T1117" s="170" t="s">
        <v>16</v>
      </c>
      <c r="U1117" s="170" t="s">
        <v>965</v>
      </c>
      <c r="V1117" s="170" t="s">
        <v>304</v>
      </c>
      <c r="W1117" s="170" t="s">
        <v>1315</v>
      </c>
    </row>
    <row r="1118" ht="15.75" customHeight="1" spans="1:23">
      <c r="A1118" s="185"/>
      <c r="B1118" s="185"/>
      <c r="C1118" s="185"/>
      <c r="D1118" s="186" t="s">
        <v>102</v>
      </c>
      <c r="E1118" s="186" t="s">
        <v>103</v>
      </c>
      <c r="F1118" s="180"/>
      <c r="G1118" s="180"/>
      <c r="H1118" s="210"/>
      <c r="I1118" s="246" t="s">
        <v>136</v>
      </c>
      <c r="J1118" s="17" t="s">
        <v>108</v>
      </c>
      <c r="K1118" s="200" t="s">
        <v>93</v>
      </c>
      <c r="L1118" s="180">
        <v>50</v>
      </c>
      <c r="M1118" s="180" t="s">
        <v>98</v>
      </c>
      <c r="N1118" s="200" t="s">
        <v>110</v>
      </c>
      <c r="O1118" s="185" t="s">
        <v>14</v>
      </c>
      <c r="P1118" s="170" t="s">
        <v>963</v>
      </c>
      <c r="Q1118" s="170" t="s">
        <v>112</v>
      </c>
      <c r="R1118" s="170" t="s">
        <v>113</v>
      </c>
      <c r="S1118" s="170" t="s">
        <v>964</v>
      </c>
      <c r="T1118" s="170" t="s">
        <v>16</v>
      </c>
      <c r="U1118" s="170" t="s">
        <v>965</v>
      </c>
      <c r="V1118" s="170" t="s">
        <v>304</v>
      </c>
      <c r="W1118" s="170" t="s">
        <v>1316</v>
      </c>
    </row>
    <row r="1119" ht="25.5" customHeight="1" spans="1:23">
      <c r="A1119" s="185"/>
      <c r="B1119" s="185"/>
      <c r="C1119" s="185"/>
      <c r="D1119" s="186" t="s">
        <v>102</v>
      </c>
      <c r="E1119" s="186" t="s">
        <v>103</v>
      </c>
      <c r="F1119" s="180"/>
      <c r="G1119" s="180"/>
      <c r="H1119" s="210" t="s">
        <v>218</v>
      </c>
      <c r="I1119" s="246" t="s">
        <v>219</v>
      </c>
      <c r="J1119" s="17" t="s">
        <v>108</v>
      </c>
      <c r="K1119" s="175" t="s">
        <v>88</v>
      </c>
      <c r="L1119" s="180">
        <v>8</v>
      </c>
      <c r="M1119" s="180" t="s">
        <v>98</v>
      </c>
      <c r="N1119" s="200" t="s">
        <v>110</v>
      </c>
      <c r="O1119" s="185" t="s">
        <v>14</v>
      </c>
      <c r="P1119" s="170" t="s">
        <v>963</v>
      </c>
      <c r="Q1119" s="170" t="s">
        <v>112</v>
      </c>
      <c r="R1119" s="170" t="s">
        <v>113</v>
      </c>
      <c r="S1119" s="170" t="s">
        <v>964</v>
      </c>
      <c r="T1119" s="170" t="s">
        <v>16</v>
      </c>
      <c r="U1119" s="170" t="s">
        <v>965</v>
      </c>
      <c r="V1119" s="170" t="s">
        <v>304</v>
      </c>
      <c r="W1119" s="170" t="s">
        <v>1317</v>
      </c>
    </row>
    <row r="1120" ht="15.75" customHeight="1" spans="1:23">
      <c r="A1120" s="185"/>
      <c r="B1120" s="185"/>
      <c r="C1120" s="185"/>
      <c r="D1120" s="186" t="s">
        <v>102</v>
      </c>
      <c r="E1120" s="186" t="s">
        <v>103</v>
      </c>
      <c r="F1120" s="180"/>
      <c r="G1120" s="180"/>
      <c r="H1120" s="210" t="s">
        <v>119</v>
      </c>
      <c r="I1120" s="246" t="s">
        <v>211</v>
      </c>
      <c r="J1120" s="17" t="s">
        <v>108</v>
      </c>
      <c r="K1120" s="175" t="s">
        <v>134</v>
      </c>
      <c r="L1120" s="180">
        <v>6</v>
      </c>
      <c r="M1120" s="180" t="s">
        <v>98</v>
      </c>
      <c r="N1120" s="200" t="s">
        <v>99</v>
      </c>
      <c r="O1120" s="185" t="s">
        <v>14</v>
      </c>
      <c r="P1120" s="170" t="s">
        <v>963</v>
      </c>
      <c r="Q1120" s="170" t="s">
        <v>112</v>
      </c>
      <c r="R1120" s="170" t="s">
        <v>113</v>
      </c>
      <c r="S1120" s="170" t="s">
        <v>964</v>
      </c>
      <c r="T1120" s="170" t="s">
        <v>16</v>
      </c>
      <c r="U1120" s="170" t="s">
        <v>965</v>
      </c>
      <c r="V1120" s="170" t="s">
        <v>304</v>
      </c>
      <c r="W1120" s="170" t="s">
        <v>1318</v>
      </c>
    </row>
    <row r="1121" ht="15.75" customHeight="1" spans="1:23">
      <c r="A1121" s="185"/>
      <c r="B1121" s="185"/>
      <c r="C1121" s="185"/>
      <c r="D1121" s="186" t="s">
        <v>102</v>
      </c>
      <c r="E1121" s="186" t="s">
        <v>103</v>
      </c>
      <c r="F1121" s="180"/>
      <c r="G1121" s="180"/>
      <c r="H1121" s="246" t="s">
        <v>141</v>
      </c>
      <c r="I1121" s="246" t="s">
        <v>479</v>
      </c>
      <c r="J1121" s="170" t="s">
        <v>97</v>
      </c>
      <c r="K1121" s="200" t="s">
        <v>93</v>
      </c>
      <c r="L1121" s="180">
        <v>8</v>
      </c>
      <c r="M1121" s="180" t="s">
        <v>279</v>
      </c>
      <c r="N1121" s="200" t="s">
        <v>99</v>
      </c>
      <c r="O1121" s="185" t="s">
        <v>14</v>
      </c>
      <c r="P1121" s="170" t="s">
        <v>963</v>
      </c>
      <c r="Q1121" s="170" t="s">
        <v>112</v>
      </c>
      <c r="R1121" s="170" t="s">
        <v>113</v>
      </c>
      <c r="S1121" s="170" t="s">
        <v>964</v>
      </c>
      <c r="T1121" s="170" t="s">
        <v>16</v>
      </c>
      <c r="U1121" s="170" t="s">
        <v>965</v>
      </c>
      <c r="V1121" s="170" t="s">
        <v>304</v>
      </c>
      <c r="W1121" s="170" t="s">
        <v>1319</v>
      </c>
    </row>
    <row r="1122" ht="15.75" customHeight="1" spans="1:23">
      <c r="A1122" s="185" t="s">
        <v>1320</v>
      </c>
      <c r="B1122" s="185" t="s">
        <v>1321</v>
      </c>
      <c r="C1122" s="185" t="s">
        <v>173</v>
      </c>
      <c r="D1122" s="186" t="s">
        <v>102</v>
      </c>
      <c r="E1122" s="186" t="s">
        <v>103</v>
      </c>
      <c r="F1122" s="180" t="s">
        <v>1322</v>
      </c>
      <c r="G1122" s="180" t="s">
        <v>961</v>
      </c>
      <c r="H1122" s="175" t="s">
        <v>85</v>
      </c>
      <c r="I1122" s="174" t="s">
        <v>209</v>
      </c>
      <c r="J1122" s="170" t="s">
        <v>108</v>
      </c>
      <c r="K1122" s="175" t="s">
        <v>88</v>
      </c>
      <c r="L1122" s="170">
        <v>8</v>
      </c>
      <c r="M1122" s="176" t="s">
        <v>962</v>
      </c>
      <c r="N1122" s="175" t="s">
        <v>90</v>
      </c>
      <c r="O1122" s="185" t="s">
        <v>14</v>
      </c>
      <c r="P1122" s="170" t="s">
        <v>963</v>
      </c>
      <c r="Q1122" s="170" t="s">
        <v>112</v>
      </c>
      <c r="R1122" s="170" t="s">
        <v>113</v>
      </c>
      <c r="S1122" s="170" t="s">
        <v>964</v>
      </c>
      <c r="T1122" s="170" t="s">
        <v>16</v>
      </c>
      <c r="U1122" s="170" t="s">
        <v>965</v>
      </c>
      <c r="V1122" s="170" t="s">
        <v>304</v>
      </c>
      <c r="W1122" s="170" t="s">
        <v>1323</v>
      </c>
    </row>
    <row r="1123" customHeight="1" spans="1:23">
      <c r="A1123" s="185"/>
      <c r="B1123" s="185"/>
      <c r="C1123" s="185"/>
      <c r="D1123" s="186" t="s">
        <v>102</v>
      </c>
      <c r="E1123" s="186" t="s">
        <v>103</v>
      </c>
      <c r="F1123" s="180"/>
      <c r="G1123" s="180"/>
      <c r="H1123" s="175"/>
      <c r="I1123" s="178" t="s">
        <v>267</v>
      </c>
      <c r="J1123" s="170" t="s">
        <v>87</v>
      </c>
      <c r="K1123" s="175" t="s">
        <v>93</v>
      </c>
      <c r="L1123" s="170">
        <v>2</v>
      </c>
      <c r="M1123" s="176" t="s">
        <v>89</v>
      </c>
      <c r="N1123" s="175" t="s">
        <v>90</v>
      </c>
      <c r="O1123" s="185" t="s">
        <v>14</v>
      </c>
      <c r="P1123" s="170" t="s">
        <v>963</v>
      </c>
      <c r="Q1123" s="170" t="s">
        <v>112</v>
      </c>
      <c r="R1123" s="170" t="s">
        <v>113</v>
      </c>
      <c r="S1123" s="170" t="s">
        <v>964</v>
      </c>
      <c r="T1123" s="170" t="s">
        <v>16</v>
      </c>
      <c r="U1123" s="170" t="s">
        <v>965</v>
      </c>
      <c r="V1123" s="170" t="s">
        <v>304</v>
      </c>
      <c r="W1123" s="170" t="s">
        <v>1324</v>
      </c>
    </row>
    <row r="1124" ht="15.75" customHeight="1" spans="1:23">
      <c r="A1124" s="185"/>
      <c r="B1124" s="185"/>
      <c r="C1124" s="185"/>
      <c r="D1124" s="186" t="s">
        <v>102</v>
      </c>
      <c r="E1124" s="186" t="s">
        <v>103</v>
      </c>
      <c r="F1124" s="180"/>
      <c r="G1124" s="180"/>
      <c r="H1124" s="172" t="s">
        <v>91</v>
      </c>
      <c r="I1124" s="178" t="s">
        <v>475</v>
      </c>
      <c r="J1124" s="170" t="s">
        <v>108</v>
      </c>
      <c r="K1124" s="175" t="s">
        <v>134</v>
      </c>
      <c r="L1124" s="170">
        <v>2</v>
      </c>
      <c r="M1124" s="176" t="s">
        <v>962</v>
      </c>
      <c r="N1124" s="175" t="s">
        <v>99</v>
      </c>
      <c r="O1124" s="185" t="s">
        <v>14</v>
      </c>
      <c r="P1124" s="170" t="s">
        <v>963</v>
      </c>
      <c r="Q1124" s="170" t="s">
        <v>112</v>
      </c>
      <c r="R1124" s="170" t="s">
        <v>113</v>
      </c>
      <c r="S1124" s="170" t="s">
        <v>964</v>
      </c>
      <c r="T1124" s="170" t="s">
        <v>16</v>
      </c>
      <c r="U1124" s="170" t="s">
        <v>965</v>
      </c>
      <c r="V1124" s="170" t="s">
        <v>304</v>
      </c>
      <c r="W1124" s="170" t="s">
        <v>1325</v>
      </c>
    </row>
    <row r="1125" customHeight="1" spans="1:23">
      <c r="A1125" s="185"/>
      <c r="B1125" s="185"/>
      <c r="C1125" s="185"/>
      <c r="D1125" s="186" t="s">
        <v>102</v>
      </c>
      <c r="E1125" s="186" t="s">
        <v>103</v>
      </c>
      <c r="F1125" s="180"/>
      <c r="G1125" s="180"/>
      <c r="H1125" s="181" t="s">
        <v>132</v>
      </c>
      <c r="I1125" s="182" t="s">
        <v>480</v>
      </c>
      <c r="J1125" s="170" t="s">
        <v>87</v>
      </c>
      <c r="K1125" s="175" t="s">
        <v>134</v>
      </c>
      <c r="L1125" s="170">
        <v>3</v>
      </c>
      <c r="M1125" s="176" t="s">
        <v>962</v>
      </c>
      <c r="N1125" s="175" t="s">
        <v>99</v>
      </c>
      <c r="O1125" s="185" t="s">
        <v>14</v>
      </c>
      <c r="P1125" s="170" t="s">
        <v>963</v>
      </c>
      <c r="Q1125" s="170" t="s">
        <v>112</v>
      </c>
      <c r="R1125" s="170" t="s">
        <v>113</v>
      </c>
      <c r="S1125" s="170" t="s">
        <v>964</v>
      </c>
      <c r="T1125" s="170" t="s">
        <v>16</v>
      </c>
      <c r="U1125" s="170" t="s">
        <v>965</v>
      </c>
      <c r="V1125" s="170" t="s">
        <v>304</v>
      </c>
      <c r="W1125" s="170" t="s">
        <v>1326</v>
      </c>
    </row>
    <row r="1126" customHeight="1" spans="1:23">
      <c r="A1126" s="185"/>
      <c r="B1126" s="185"/>
      <c r="C1126" s="185"/>
      <c r="D1126" s="186" t="s">
        <v>102</v>
      </c>
      <c r="E1126" s="186" t="s">
        <v>103</v>
      </c>
      <c r="F1126" s="180"/>
      <c r="G1126" s="180"/>
      <c r="H1126" s="172" t="s">
        <v>106</v>
      </c>
      <c r="I1126" s="182" t="s">
        <v>281</v>
      </c>
      <c r="J1126" s="170" t="s">
        <v>87</v>
      </c>
      <c r="K1126" s="175" t="s">
        <v>93</v>
      </c>
      <c r="L1126" s="170">
        <v>24</v>
      </c>
      <c r="M1126" s="176" t="s">
        <v>98</v>
      </c>
      <c r="N1126" s="175" t="s">
        <v>99</v>
      </c>
      <c r="O1126" s="185" t="s">
        <v>14</v>
      </c>
      <c r="P1126" s="170" t="s">
        <v>963</v>
      </c>
      <c r="Q1126" s="170" t="s">
        <v>112</v>
      </c>
      <c r="R1126" s="170" t="s">
        <v>113</v>
      </c>
      <c r="S1126" s="170" t="s">
        <v>964</v>
      </c>
      <c r="T1126" s="170" t="s">
        <v>16</v>
      </c>
      <c r="U1126" s="170" t="s">
        <v>965</v>
      </c>
      <c r="V1126" s="170" t="s">
        <v>304</v>
      </c>
      <c r="W1126" s="170" t="s">
        <v>1327</v>
      </c>
    </row>
    <row r="1127" customHeight="1" spans="1:23">
      <c r="A1127" s="185"/>
      <c r="B1127" s="185"/>
      <c r="C1127" s="185"/>
      <c r="D1127" s="186" t="s">
        <v>102</v>
      </c>
      <c r="E1127" s="186" t="s">
        <v>103</v>
      </c>
      <c r="F1127" s="180"/>
      <c r="G1127" s="180"/>
      <c r="H1127" s="172"/>
      <c r="I1127" s="182" t="s">
        <v>196</v>
      </c>
      <c r="J1127" s="170" t="s">
        <v>87</v>
      </c>
      <c r="K1127" s="175" t="s">
        <v>88</v>
      </c>
      <c r="L1127" s="170">
        <v>2</v>
      </c>
      <c r="M1127" s="176" t="s">
        <v>98</v>
      </c>
      <c r="N1127" s="175" t="s">
        <v>99</v>
      </c>
      <c r="O1127" s="185" t="s">
        <v>14</v>
      </c>
      <c r="P1127" s="170" t="s">
        <v>963</v>
      </c>
      <c r="Q1127" s="170" t="s">
        <v>112</v>
      </c>
      <c r="R1127" s="170" t="s">
        <v>113</v>
      </c>
      <c r="S1127" s="170" t="s">
        <v>964</v>
      </c>
      <c r="T1127" s="170" t="s">
        <v>16</v>
      </c>
      <c r="U1127" s="170" t="s">
        <v>965</v>
      </c>
      <c r="V1127" s="170" t="s">
        <v>304</v>
      </c>
      <c r="W1127" s="170" t="s">
        <v>1328</v>
      </c>
    </row>
    <row r="1128" ht="15.75" customHeight="1" spans="1:23">
      <c r="A1128" s="185"/>
      <c r="B1128" s="185"/>
      <c r="C1128" s="185"/>
      <c r="D1128" s="186" t="s">
        <v>102</v>
      </c>
      <c r="E1128" s="186" t="s">
        <v>103</v>
      </c>
      <c r="F1128" s="180"/>
      <c r="G1128" s="180"/>
      <c r="H1128" s="172" t="s">
        <v>95</v>
      </c>
      <c r="I1128" s="182" t="s">
        <v>285</v>
      </c>
      <c r="J1128" s="170" t="s">
        <v>108</v>
      </c>
      <c r="K1128" s="175" t="s">
        <v>134</v>
      </c>
      <c r="L1128" s="170">
        <v>4</v>
      </c>
      <c r="M1128" s="176" t="s">
        <v>279</v>
      </c>
      <c r="N1128" s="175" t="s">
        <v>99</v>
      </c>
      <c r="O1128" s="185" t="s">
        <v>14</v>
      </c>
      <c r="P1128" s="170" t="s">
        <v>963</v>
      </c>
      <c r="Q1128" s="170" t="s">
        <v>112</v>
      </c>
      <c r="R1128" s="170" t="s">
        <v>113</v>
      </c>
      <c r="S1128" s="170" t="s">
        <v>964</v>
      </c>
      <c r="T1128" s="170" t="s">
        <v>16</v>
      </c>
      <c r="U1128" s="170" t="s">
        <v>965</v>
      </c>
      <c r="V1128" s="170" t="s">
        <v>304</v>
      </c>
      <c r="W1128" s="170" t="s">
        <v>1329</v>
      </c>
    </row>
    <row r="1129" ht="15.75" customHeight="1" spans="1:23">
      <c r="A1129" s="185"/>
      <c r="B1129" s="185"/>
      <c r="C1129" s="185"/>
      <c r="D1129" s="186" t="s">
        <v>102</v>
      </c>
      <c r="E1129" s="186" t="s">
        <v>103</v>
      </c>
      <c r="F1129" s="180"/>
      <c r="G1129" s="180"/>
      <c r="H1129" s="172"/>
      <c r="I1129" s="182" t="s">
        <v>176</v>
      </c>
      <c r="J1129" s="170" t="s">
        <v>97</v>
      </c>
      <c r="K1129" s="175" t="s">
        <v>88</v>
      </c>
      <c r="L1129" s="170">
        <v>20</v>
      </c>
      <c r="M1129" s="176" t="s">
        <v>279</v>
      </c>
      <c r="N1129" s="175" t="s">
        <v>99</v>
      </c>
      <c r="O1129" s="185" t="s">
        <v>14</v>
      </c>
      <c r="P1129" s="170" t="s">
        <v>963</v>
      </c>
      <c r="Q1129" s="170" t="s">
        <v>112</v>
      </c>
      <c r="R1129" s="170" t="s">
        <v>113</v>
      </c>
      <c r="S1129" s="170" t="s">
        <v>964</v>
      </c>
      <c r="T1129" s="170" t="s">
        <v>16</v>
      </c>
      <c r="U1129" s="170" t="s">
        <v>965</v>
      </c>
      <c r="V1129" s="170" t="s">
        <v>304</v>
      </c>
      <c r="W1129" s="170" t="s">
        <v>1330</v>
      </c>
    </row>
    <row r="1130" ht="15.75" customHeight="1" spans="1:23">
      <c r="A1130" s="185"/>
      <c r="B1130" s="185"/>
      <c r="C1130" s="185"/>
      <c r="D1130" s="186" t="s">
        <v>102</v>
      </c>
      <c r="E1130" s="186" t="s">
        <v>103</v>
      </c>
      <c r="F1130" s="180"/>
      <c r="G1130" s="180"/>
      <c r="H1130" s="172"/>
      <c r="I1130" s="182" t="s">
        <v>193</v>
      </c>
      <c r="J1130" s="170" t="s">
        <v>108</v>
      </c>
      <c r="K1130" s="175" t="s">
        <v>88</v>
      </c>
      <c r="L1130" s="170">
        <v>1</v>
      </c>
      <c r="M1130" s="176" t="s">
        <v>279</v>
      </c>
      <c r="N1130" s="175" t="s">
        <v>99</v>
      </c>
      <c r="O1130" s="185" t="s">
        <v>14</v>
      </c>
      <c r="P1130" s="170" t="s">
        <v>963</v>
      </c>
      <c r="Q1130" s="170" t="s">
        <v>112</v>
      </c>
      <c r="R1130" s="170" t="s">
        <v>113</v>
      </c>
      <c r="S1130" s="170" t="s">
        <v>964</v>
      </c>
      <c r="T1130" s="170" t="s">
        <v>16</v>
      </c>
      <c r="U1130" s="170" t="s">
        <v>965</v>
      </c>
      <c r="V1130" s="170" t="s">
        <v>304</v>
      </c>
      <c r="W1130" s="170" t="s">
        <v>1331</v>
      </c>
    </row>
    <row r="1131" ht="15.75" customHeight="1" spans="1:23">
      <c r="A1131" s="185"/>
      <c r="B1131" s="185"/>
      <c r="C1131" s="185"/>
      <c r="D1131" s="186" t="s">
        <v>102</v>
      </c>
      <c r="E1131" s="186" t="s">
        <v>103</v>
      </c>
      <c r="F1131" s="180"/>
      <c r="G1131" s="180"/>
      <c r="H1131" s="172"/>
      <c r="I1131" s="182" t="s">
        <v>136</v>
      </c>
      <c r="J1131" s="170" t="s">
        <v>108</v>
      </c>
      <c r="K1131" s="175" t="s">
        <v>88</v>
      </c>
      <c r="L1131" s="170">
        <v>52</v>
      </c>
      <c r="M1131" s="176" t="s">
        <v>279</v>
      </c>
      <c r="N1131" s="175" t="s">
        <v>99</v>
      </c>
      <c r="O1131" s="185" t="s">
        <v>14</v>
      </c>
      <c r="P1131" s="170" t="s">
        <v>963</v>
      </c>
      <c r="Q1131" s="170" t="s">
        <v>112</v>
      </c>
      <c r="R1131" s="170" t="s">
        <v>113</v>
      </c>
      <c r="S1131" s="170" t="s">
        <v>964</v>
      </c>
      <c r="T1131" s="170" t="s">
        <v>16</v>
      </c>
      <c r="U1131" s="170" t="s">
        <v>965</v>
      </c>
      <c r="V1131" s="170" t="s">
        <v>304</v>
      </c>
      <c r="W1131" s="170" t="s">
        <v>1332</v>
      </c>
    </row>
    <row r="1132" ht="28.5" customHeight="1" spans="1:23">
      <c r="A1132" s="185"/>
      <c r="B1132" s="185"/>
      <c r="C1132" s="185"/>
      <c r="D1132" s="186" t="s">
        <v>102</v>
      </c>
      <c r="E1132" s="186" t="s">
        <v>103</v>
      </c>
      <c r="F1132" s="180"/>
      <c r="G1132" s="180"/>
      <c r="H1132" s="172" t="s">
        <v>218</v>
      </c>
      <c r="I1132" s="183" t="s">
        <v>219</v>
      </c>
      <c r="J1132" s="170" t="s">
        <v>108</v>
      </c>
      <c r="K1132" s="175" t="s">
        <v>134</v>
      </c>
      <c r="L1132" s="170">
        <v>2</v>
      </c>
      <c r="M1132" s="176" t="s">
        <v>279</v>
      </c>
      <c r="N1132" s="175" t="s">
        <v>99</v>
      </c>
      <c r="O1132" s="185" t="s">
        <v>14</v>
      </c>
      <c r="P1132" s="170" t="s">
        <v>963</v>
      </c>
      <c r="Q1132" s="170" t="s">
        <v>112</v>
      </c>
      <c r="R1132" s="170" t="s">
        <v>113</v>
      </c>
      <c r="S1132" s="170" t="s">
        <v>964</v>
      </c>
      <c r="T1132" s="170" t="s">
        <v>16</v>
      </c>
      <c r="U1132" s="170" t="s">
        <v>965</v>
      </c>
      <c r="V1132" s="170" t="s">
        <v>304</v>
      </c>
      <c r="W1132" s="170" t="s">
        <v>1333</v>
      </c>
    </row>
    <row r="1133" ht="15.75" customHeight="1" spans="1:23">
      <c r="A1133" s="185"/>
      <c r="B1133" s="185"/>
      <c r="C1133" s="185"/>
      <c r="D1133" s="186" t="s">
        <v>102</v>
      </c>
      <c r="E1133" s="186" t="s">
        <v>103</v>
      </c>
      <c r="F1133" s="180"/>
      <c r="G1133" s="180"/>
      <c r="H1133" s="172" t="s">
        <v>119</v>
      </c>
      <c r="I1133" s="175" t="s">
        <v>211</v>
      </c>
      <c r="J1133" s="170" t="s">
        <v>108</v>
      </c>
      <c r="K1133" s="175" t="s">
        <v>93</v>
      </c>
      <c r="L1133" s="170">
        <v>44</v>
      </c>
      <c r="M1133" s="176" t="s">
        <v>279</v>
      </c>
      <c r="N1133" s="175" t="s">
        <v>99</v>
      </c>
      <c r="O1133" s="185" t="s">
        <v>14</v>
      </c>
      <c r="P1133" s="170" t="s">
        <v>963</v>
      </c>
      <c r="Q1133" s="170" t="s">
        <v>112</v>
      </c>
      <c r="R1133" s="170" t="s">
        <v>113</v>
      </c>
      <c r="S1133" s="170" t="s">
        <v>964</v>
      </c>
      <c r="T1133" s="170" t="s">
        <v>16</v>
      </c>
      <c r="U1133" s="170" t="s">
        <v>965</v>
      </c>
      <c r="V1133" s="170" t="s">
        <v>304</v>
      </c>
      <c r="W1133" s="170" t="s">
        <v>1334</v>
      </c>
    </row>
    <row r="1134" ht="15.75" customHeight="1" spans="1:23">
      <c r="A1134" s="185"/>
      <c r="B1134" s="185"/>
      <c r="C1134" s="185"/>
      <c r="D1134" s="186" t="s">
        <v>102</v>
      </c>
      <c r="E1134" s="186" t="s">
        <v>103</v>
      </c>
      <c r="F1134" s="180"/>
      <c r="G1134" s="180"/>
      <c r="H1134" s="172" t="s">
        <v>141</v>
      </c>
      <c r="I1134" s="175" t="s">
        <v>479</v>
      </c>
      <c r="J1134" s="170" t="s">
        <v>97</v>
      </c>
      <c r="K1134" s="175" t="s">
        <v>88</v>
      </c>
      <c r="L1134" s="170">
        <v>12</v>
      </c>
      <c r="M1134" s="176" t="s">
        <v>279</v>
      </c>
      <c r="N1134" s="175" t="s">
        <v>99</v>
      </c>
      <c r="O1134" s="185" t="s">
        <v>14</v>
      </c>
      <c r="P1134" s="170" t="s">
        <v>963</v>
      </c>
      <c r="Q1134" s="170" t="s">
        <v>112</v>
      </c>
      <c r="R1134" s="170" t="s">
        <v>113</v>
      </c>
      <c r="S1134" s="170" t="s">
        <v>964</v>
      </c>
      <c r="T1134" s="170" t="s">
        <v>16</v>
      </c>
      <c r="U1134" s="170" t="s">
        <v>965</v>
      </c>
      <c r="V1134" s="170" t="s">
        <v>304</v>
      </c>
      <c r="W1134" s="170" t="s">
        <v>1335</v>
      </c>
    </row>
    <row r="1135" ht="15.75" customHeight="1" spans="1:23">
      <c r="A1135" s="185" t="s">
        <v>1336</v>
      </c>
      <c r="B1135" s="185" t="s">
        <v>1337</v>
      </c>
      <c r="C1135" s="185" t="s">
        <v>173</v>
      </c>
      <c r="D1135" s="186" t="s">
        <v>102</v>
      </c>
      <c r="E1135" s="186" t="s">
        <v>103</v>
      </c>
      <c r="F1135" s="180" t="s">
        <v>1338</v>
      </c>
      <c r="G1135" s="180" t="s">
        <v>1339</v>
      </c>
      <c r="H1135" s="200" t="s">
        <v>91</v>
      </c>
      <c r="I1135" s="191" t="s">
        <v>475</v>
      </c>
      <c r="J1135" s="170" t="s">
        <v>108</v>
      </c>
      <c r="K1135" s="200" t="s">
        <v>93</v>
      </c>
      <c r="L1135" s="180">
        <v>2</v>
      </c>
      <c r="M1135" s="180" t="s">
        <v>98</v>
      </c>
      <c r="N1135" s="200" t="s">
        <v>90</v>
      </c>
      <c r="O1135" s="185" t="s">
        <v>14</v>
      </c>
      <c r="P1135" s="170" t="s">
        <v>963</v>
      </c>
      <c r="Q1135" s="170" t="s">
        <v>112</v>
      </c>
      <c r="R1135" s="170" t="s">
        <v>113</v>
      </c>
      <c r="S1135" s="170" t="s">
        <v>964</v>
      </c>
      <c r="T1135" s="170" t="s">
        <v>16</v>
      </c>
      <c r="U1135" s="170" t="s">
        <v>965</v>
      </c>
      <c r="V1135" s="170" t="s">
        <v>304</v>
      </c>
      <c r="W1135" s="170" t="s">
        <v>1340</v>
      </c>
    </row>
    <row r="1136" customHeight="1" spans="1:23">
      <c r="A1136" s="185"/>
      <c r="B1136" s="185"/>
      <c r="C1136" s="185"/>
      <c r="D1136" s="186" t="s">
        <v>102</v>
      </c>
      <c r="E1136" s="186" t="s">
        <v>103</v>
      </c>
      <c r="F1136" s="180"/>
      <c r="G1136" s="180"/>
      <c r="H1136" s="200" t="s">
        <v>132</v>
      </c>
      <c r="I1136" s="180" t="s">
        <v>480</v>
      </c>
      <c r="J1136" s="170" t="s">
        <v>87</v>
      </c>
      <c r="K1136" s="200" t="s">
        <v>93</v>
      </c>
      <c r="L1136" s="180">
        <v>5</v>
      </c>
      <c r="M1136" s="180" t="s">
        <v>1098</v>
      </c>
      <c r="N1136" s="200" t="s">
        <v>90</v>
      </c>
      <c r="O1136" s="185" t="s">
        <v>14</v>
      </c>
      <c r="P1136" s="170" t="s">
        <v>963</v>
      </c>
      <c r="Q1136" s="170" t="s">
        <v>112</v>
      </c>
      <c r="R1136" s="170" t="s">
        <v>113</v>
      </c>
      <c r="S1136" s="170" t="s">
        <v>964</v>
      </c>
      <c r="T1136" s="170" t="s">
        <v>16</v>
      </c>
      <c r="U1136" s="170" t="s">
        <v>965</v>
      </c>
      <c r="V1136" s="170" t="s">
        <v>304</v>
      </c>
      <c r="W1136" s="170" t="s">
        <v>1341</v>
      </c>
    </row>
    <row r="1137" customHeight="1" spans="1:23">
      <c r="A1137" s="185"/>
      <c r="B1137" s="185"/>
      <c r="C1137" s="185"/>
      <c r="D1137" s="186" t="s">
        <v>102</v>
      </c>
      <c r="E1137" s="186" t="s">
        <v>103</v>
      </c>
      <c r="F1137" s="180"/>
      <c r="G1137" s="180"/>
      <c r="H1137" s="239" t="s">
        <v>106</v>
      </c>
      <c r="I1137" s="180" t="s">
        <v>281</v>
      </c>
      <c r="J1137" s="170" t="s">
        <v>87</v>
      </c>
      <c r="K1137" s="200" t="s">
        <v>93</v>
      </c>
      <c r="L1137" s="180">
        <v>35</v>
      </c>
      <c r="M1137" s="180" t="s">
        <v>98</v>
      </c>
      <c r="N1137" s="200" t="s">
        <v>90</v>
      </c>
      <c r="O1137" s="185" t="s">
        <v>14</v>
      </c>
      <c r="P1137" s="170" t="s">
        <v>963</v>
      </c>
      <c r="Q1137" s="170" t="s">
        <v>112</v>
      </c>
      <c r="R1137" s="170" t="s">
        <v>113</v>
      </c>
      <c r="S1137" s="170" t="s">
        <v>964</v>
      </c>
      <c r="T1137" s="170" t="s">
        <v>16</v>
      </c>
      <c r="U1137" s="170" t="s">
        <v>965</v>
      </c>
      <c r="V1137" s="170" t="s">
        <v>304</v>
      </c>
      <c r="W1137" s="170" t="s">
        <v>1342</v>
      </c>
    </row>
    <row r="1138" customHeight="1" spans="1:23">
      <c r="A1138" s="185"/>
      <c r="B1138" s="185"/>
      <c r="C1138" s="185"/>
      <c r="D1138" s="186" t="s">
        <v>102</v>
      </c>
      <c r="E1138" s="186" t="s">
        <v>103</v>
      </c>
      <c r="F1138" s="180"/>
      <c r="G1138" s="180"/>
      <c r="H1138" s="243"/>
      <c r="I1138" s="180" t="s">
        <v>196</v>
      </c>
      <c r="J1138" s="170" t="s">
        <v>87</v>
      </c>
      <c r="K1138" s="200" t="s">
        <v>93</v>
      </c>
      <c r="L1138" s="180">
        <v>2</v>
      </c>
      <c r="M1138" s="180" t="s">
        <v>98</v>
      </c>
      <c r="N1138" s="200" t="s">
        <v>90</v>
      </c>
      <c r="O1138" s="185" t="s">
        <v>14</v>
      </c>
      <c r="P1138" s="170" t="s">
        <v>963</v>
      </c>
      <c r="Q1138" s="170" t="s">
        <v>112</v>
      </c>
      <c r="R1138" s="170" t="s">
        <v>113</v>
      </c>
      <c r="S1138" s="170" t="s">
        <v>964</v>
      </c>
      <c r="T1138" s="170" t="s">
        <v>16</v>
      </c>
      <c r="U1138" s="170" t="s">
        <v>965</v>
      </c>
      <c r="V1138" s="170" t="s">
        <v>304</v>
      </c>
      <c r="W1138" s="170" t="s">
        <v>1343</v>
      </c>
    </row>
    <row r="1139" ht="15.75" customHeight="1" spans="1:23">
      <c r="A1139" s="185"/>
      <c r="B1139" s="185"/>
      <c r="C1139" s="185"/>
      <c r="D1139" s="186" t="s">
        <v>102</v>
      </c>
      <c r="E1139" s="186" t="s">
        <v>103</v>
      </c>
      <c r="F1139" s="180"/>
      <c r="G1139" s="180"/>
      <c r="H1139" s="239" t="s">
        <v>95</v>
      </c>
      <c r="I1139" s="180" t="s">
        <v>285</v>
      </c>
      <c r="J1139" s="170" t="s">
        <v>108</v>
      </c>
      <c r="K1139" s="200" t="s">
        <v>93</v>
      </c>
      <c r="L1139" s="180">
        <v>25</v>
      </c>
      <c r="M1139" s="180" t="s">
        <v>279</v>
      </c>
      <c r="N1139" s="200" t="s">
        <v>90</v>
      </c>
      <c r="O1139" s="185" t="s">
        <v>14</v>
      </c>
      <c r="P1139" s="170" t="s">
        <v>963</v>
      </c>
      <c r="Q1139" s="170" t="s">
        <v>112</v>
      </c>
      <c r="R1139" s="170" t="s">
        <v>113</v>
      </c>
      <c r="S1139" s="170" t="s">
        <v>964</v>
      </c>
      <c r="T1139" s="170" t="s">
        <v>16</v>
      </c>
      <c r="U1139" s="170" t="s">
        <v>965</v>
      </c>
      <c r="V1139" s="170" t="s">
        <v>304</v>
      </c>
      <c r="W1139" s="170" t="s">
        <v>1344</v>
      </c>
    </row>
    <row r="1140" ht="15.75" customHeight="1" spans="1:23">
      <c r="A1140" s="185"/>
      <c r="B1140" s="185"/>
      <c r="C1140" s="185"/>
      <c r="D1140" s="186" t="s">
        <v>102</v>
      </c>
      <c r="E1140" s="186" t="s">
        <v>103</v>
      </c>
      <c r="F1140" s="180"/>
      <c r="G1140" s="180"/>
      <c r="H1140" s="240"/>
      <c r="I1140" s="180" t="s">
        <v>176</v>
      </c>
      <c r="J1140" s="170" t="s">
        <v>97</v>
      </c>
      <c r="K1140" s="200" t="s">
        <v>93</v>
      </c>
      <c r="L1140" s="180">
        <v>30</v>
      </c>
      <c r="M1140" s="180" t="s">
        <v>98</v>
      </c>
      <c r="N1140" s="200" t="s">
        <v>110</v>
      </c>
      <c r="O1140" s="185" t="s">
        <v>14</v>
      </c>
      <c r="P1140" s="170" t="s">
        <v>963</v>
      </c>
      <c r="Q1140" s="170" t="s">
        <v>112</v>
      </c>
      <c r="R1140" s="170" t="s">
        <v>113</v>
      </c>
      <c r="S1140" s="170" t="s">
        <v>964</v>
      </c>
      <c r="T1140" s="170" t="s">
        <v>16</v>
      </c>
      <c r="U1140" s="170" t="s">
        <v>965</v>
      </c>
      <c r="V1140" s="170" t="s">
        <v>304</v>
      </c>
      <c r="W1140" s="170" t="s">
        <v>1345</v>
      </c>
    </row>
    <row r="1141" ht="15.75" customHeight="1" spans="1:23">
      <c r="A1141" s="185"/>
      <c r="B1141" s="185"/>
      <c r="C1141" s="185"/>
      <c r="D1141" s="186" t="s">
        <v>102</v>
      </c>
      <c r="E1141" s="186" t="s">
        <v>103</v>
      </c>
      <c r="F1141" s="180"/>
      <c r="G1141" s="180"/>
      <c r="H1141" s="240"/>
      <c r="I1141" s="180" t="s">
        <v>193</v>
      </c>
      <c r="J1141" s="170" t="s">
        <v>108</v>
      </c>
      <c r="K1141" s="200" t="s">
        <v>93</v>
      </c>
      <c r="L1141" s="180">
        <v>3</v>
      </c>
      <c r="M1141" s="180" t="s">
        <v>98</v>
      </c>
      <c r="N1141" s="200" t="s">
        <v>110</v>
      </c>
      <c r="O1141" s="185" t="s">
        <v>14</v>
      </c>
      <c r="P1141" s="170" t="s">
        <v>963</v>
      </c>
      <c r="Q1141" s="170" t="s">
        <v>112</v>
      </c>
      <c r="R1141" s="170" t="s">
        <v>113</v>
      </c>
      <c r="S1141" s="170" t="s">
        <v>964</v>
      </c>
      <c r="T1141" s="170" t="s">
        <v>16</v>
      </c>
      <c r="U1141" s="170" t="s">
        <v>965</v>
      </c>
      <c r="V1141" s="170" t="s">
        <v>304</v>
      </c>
      <c r="W1141" s="170" t="s">
        <v>1346</v>
      </c>
    </row>
    <row r="1142" ht="15.75" customHeight="1" spans="1:23">
      <c r="A1142" s="185"/>
      <c r="B1142" s="185"/>
      <c r="C1142" s="185"/>
      <c r="D1142" s="186" t="s">
        <v>102</v>
      </c>
      <c r="E1142" s="186" t="s">
        <v>103</v>
      </c>
      <c r="F1142" s="180"/>
      <c r="G1142" s="180"/>
      <c r="H1142" s="243"/>
      <c r="I1142" s="180" t="s">
        <v>136</v>
      </c>
      <c r="J1142" s="170" t="s">
        <v>108</v>
      </c>
      <c r="K1142" s="200" t="s">
        <v>93</v>
      </c>
      <c r="L1142" s="180">
        <v>70</v>
      </c>
      <c r="M1142" s="180" t="s">
        <v>279</v>
      </c>
      <c r="N1142" s="200" t="s">
        <v>110</v>
      </c>
      <c r="O1142" s="185" t="s">
        <v>14</v>
      </c>
      <c r="P1142" s="170" t="s">
        <v>963</v>
      </c>
      <c r="Q1142" s="170" t="s">
        <v>112</v>
      </c>
      <c r="R1142" s="170" t="s">
        <v>113</v>
      </c>
      <c r="S1142" s="170" t="s">
        <v>964</v>
      </c>
      <c r="T1142" s="170" t="s">
        <v>16</v>
      </c>
      <c r="U1142" s="170" t="s">
        <v>965</v>
      </c>
      <c r="V1142" s="170" t="s">
        <v>304</v>
      </c>
      <c r="W1142" s="170" t="s">
        <v>1347</v>
      </c>
    </row>
    <row r="1143" ht="30" customHeight="1" spans="1:23">
      <c r="A1143" s="185"/>
      <c r="B1143" s="185"/>
      <c r="C1143" s="185"/>
      <c r="D1143" s="186" t="s">
        <v>102</v>
      </c>
      <c r="E1143" s="186" t="s">
        <v>103</v>
      </c>
      <c r="F1143" s="180"/>
      <c r="G1143" s="180"/>
      <c r="H1143" s="200" t="s">
        <v>218</v>
      </c>
      <c r="I1143" s="180" t="s">
        <v>219</v>
      </c>
      <c r="J1143" s="170" t="s">
        <v>108</v>
      </c>
      <c r="K1143" s="200" t="s">
        <v>93</v>
      </c>
      <c r="L1143" s="180">
        <v>4</v>
      </c>
      <c r="M1143" s="180" t="s">
        <v>279</v>
      </c>
      <c r="N1143" s="200" t="s">
        <v>99</v>
      </c>
      <c r="O1143" s="185" t="s">
        <v>14</v>
      </c>
      <c r="P1143" s="170" t="s">
        <v>963</v>
      </c>
      <c r="Q1143" s="170" t="s">
        <v>112</v>
      </c>
      <c r="R1143" s="170" t="s">
        <v>113</v>
      </c>
      <c r="S1143" s="170" t="s">
        <v>964</v>
      </c>
      <c r="T1143" s="170" t="s">
        <v>16</v>
      </c>
      <c r="U1143" s="170" t="s">
        <v>965</v>
      </c>
      <c r="V1143" s="170" t="s">
        <v>304</v>
      </c>
      <c r="W1143" s="170" t="s">
        <v>1348</v>
      </c>
    </row>
    <row r="1144" ht="15.75" customHeight="1" spans="1:23">
      <c r="A1144" s="169" t="s">
        <v>1349</v>
      </c>
      <c r="B1144" s="169" t="s">
        <v>1350</v>
      </c>
      <c r="C1144" s="169" t="s">
        <v>173</v>
      </c>
      <c r="D1144" s="198" t="s">
        <v>102</v>
      </c>
      <c r="E1144" s="198" t="s">
        <v>103</v>
      </c>
      <c r="F1144" s="199" t="s">
        <v>1351</v>
      </c>
      <c r="G1144" s="199" t="s">
        <v>1029</v>
      </c>
      <c r="H1144" s="200" t="s">
        <v>132</v>
      </c>
      <c r="I1144" s="180" t="s">
        <v>133</v>
      </c>
      <c r="J1144" s="170" t="s">
        <v>108</v>
      </c>
      <c r="K1144" s="200" t="s">
        <v>88</v>
      </c>
      <c r="L1144" s="180">
        <v>1</v>
      </c>
      <c r="M1144" s="180" t="s">
        <v>279</v>
      </c>
      <c r="N1144" s="200" t="s">
        <v>90</v>
      </c>
      <c r="O1144" s="169" t="s">
        <v>14</v>
      </c>
      <c r="P1144" s="170" t="s">
        <v>963</v>
      </c>
      <c r="Q1144" s="170" t="s">
        <v>112</v>
      </c>
      <c r="R1144" s="170" t="s">
        <v>113</v>
      </c>
      <c r="S1144" s="170" t="s">
        <v>964</v>
      </c>
      <c r="T1144" s="170" t="s">
        <v>16</v>
      </c>
      <c r="U1144" s="170" t="s">
        <v>965</v>
      </c>
      <c r="V1144" s="170" t="s">
        <v>304</v>
      </c>
      <c r="W1144" s="170" t="s">
        <v>1352</v>
      </c>
    </row>
    <row r="1145" customHeight="1" spans="1:23">
      <c r="A1145" s="177"/>
      <c r="B1145" s="177"/>
      <c r="C1145" s="177"/>
      <c r="D1145" s="201" t="s">
        <v>102</v>
      </c>
      <c r="E1145" s="201" t="s">
        <v>103</v>
      </c>
      <c r="F1145" s="202"/>
      <c r="G1145" s="202"/>
      <c r="H1145" s="200"/>
      <c r="I1145" s="180" t="s">
        <v>480</v>
      </c>
      <c r="J1145" s="170" t="s">
        <v>87</v>
      </c>
      <c r="K1145" s="200" t="s">
        <v>88</v>
      </c>
      <c r="L1145" s="180">
        <v>1</v>
      </c>
      <c r="M1145" s="180" t="s">
        <v>279</v>
      </c>
      <c r="N1145" s="200" t="s">
        <v>90</v>
      </c>
      <c r="O1145" s="177" t="s">
        <v>14</v>
      </c>
      <c r="P1145" s="170" t="s">
        <v>963</v>
      </c>
      <c r="Q1145" s="170" t="s">
        <v>112</v>
      </c>
      <c r="R1145" s="170" t="s">
        <v>113</v>
      </c>
      <c r="S1145" s="170" t="s">
        <v>964</v>
      </c>
      <c r="T1145" s="170" t="s">
        <v>16</v>
      </c>
      <c r="U1145" s="170" t="s">
        <v>965</v>
      </c>
      <c r="V1145" s="170" t="s">
        <v>304</v>
      </c>
      <c r="W1145" s="170" t="s">
        <v>1353</v>
      </c>
    </row>
    <row r="1146" ht="15.75" customHeight="1" spans="1:23">
      <c r="A1146" s="177"/>
      <c r="B1146" s="177"/>
      <c r="C1146" s="177"/>
      <c r="D1146" s="201" t="s">
        <v>102</v>
      </c>
      <c r="E1146" s="201" t="s">
        <v>103</v>
      </c>
      <c r="F1146" s="202"/>
      <c r="G1146" s="202"/>
      <c r="H1146" s="200" t="s">
        <v>91</v>
      </c>
      <c r="I1146" s="178" t="s">
        <v>475</v>
      </c>
      <c r="J1146" s="170" t="s">
        <v>108</v>
      </c>
      <c r="K1146" s="200" t="s">
        <v>88</v>
      </c>
      <c r="L1146" s="180">
        <v>2</v>
      </c>
      <c r="M1146" s="180" t="s">
        <v>279</v>
      </c>
      <c r="N1146" s="200" t="s">
        <v>99</v>
      </c>
      <c r="O1146" s="177" t="s">
        <v>14</v>
      </c>
      <c r="P1146" s="170" t="s">
        <v>963</v>
      </c>
      <c r="Q1146" s="170" t="s">
        <v>112</v>
      </c>
      <c r="R1146" s="170" t="s">
        <v>113</v>
      </c>
      <c r="S1146" s="170" t="s">
        <v>964</v>
      </c>
      <c r="T1146" s="170" t="s">
        <v>16</v>
      </c>
      <c r="U1146" s="170" t="s">
        <v>965</v>
      </c>
      <c r="V1146" s="170" t="s">
        <v>304</v>
      </c>
      <c r="W1146" s="170" t="s">
        <v>1354</v>
      </c>
    </row>
    <row r="1147" customHeight="1" spans="1:23">
      <c r="A1147" s="177"/>
      <c r="B1147" s="249"/>
      <c r="C1147" s="177"/>
      <c r="D1147" s="201" t="s">
        <v>102</v>
      </c>
      <c r="E1147" s="201" t="s">
        <v>103</v>
      </c>
      <c r="F1147" s="202"/>
      <c r="G1147" s="202"/>
      <c r="H1147" s="200" t="s">
        <v>85</v>
      </c>
      <c r="I1147" s="180" t="s">
        <v>86</v>
      </c>
      <c r="J1147" s="170" t="s">
        <v>87</v>
      </c>
      <c r="K1147" s="200" t="s">
        <v>88</v>
      </c>
      <c r="L1147" s="180">
        <v>2</v>
      </c>
      <c r="M1147" s="180" t="s">
        <v>89</v>
      </c>
      <c r="N1147" s="200" t="s">
        <v>90</v>
      </c>
      <c r="O1147" s="177" t="s">
        <v>14</v>
      </c>
      <c r="P1147" s="170" t="s">
        <v>963</v>
      </c>
      <c r="Q1147" s="170" t="s">
        <v>112</v>
      </c>
      <c r="R1147" s="170" t="s">
        <v>113</v>
      </c>
      <c r="S1147" s="170" t="s">
        <v>964</v>
      </c>
      <c r="T1147" s="170" t="s">
        <v>16</v>
      </c>
      <c r="U1147" s="170" t="s">
        <v>965</v>
      </c>
      <c r="V1147" s="170" t="s">
        <v>304</v>
      </c>
      <c r="W1147" s="170" t="s">
        <v>1355</v>
      </c>
    </row>
    <row r="1148" customHeight="1" spans="1:23">
      <c r="A1148" s="177"/>
      <c r="B1148" s="177"/>
      <c r="C1148" s="177"/>
      <c r="D1148" s="201" t="s">
        <v>102</v>
      </c>
      <c r="E1148" s="201" t="s">
        <v>103</v>
      </c>
      <c r="F1148" s="202"/>
      <c r="G1148" s="202"/>
      <c r="H1148" s="200"/>
      <c r="I1148" s="185" t="s">
        <v>267</v>
      </c>
      <c r="J1148" s="170" t="s">
        <v>87</v>
      </c>
      <c r="K1148" s="200" t="s">
        <v>88</v>
      </c>
      <c r="L1148" s="180">
        <v>2</v>
      </c>
      <c r="M1148" s="180" t="s">
        <v>89</v>
      </c>
      <c r="N1148" s="200" t="s">
        <v>90</v>
      </c>
      <c r="O1148" s="177" t="s">
        <v>14</v>
      </c>
      <c r="P1148" s="170" t="s">
        <v>963</v>
      </c>
      <c r="Q1148" s="170" t="s">
        <v>112</v>
      </c>
      <c r="R1148" s="170" t="s">
        <v>113</v>
      </c>
      <c r="S1148" s="170" t="s">
        <v>964</v>
      </c>
      <c r="T1148" s="170" t="s">
        <v>16</v>
      </c>
      <c r="U1148" s="170" t="s">
        <v>965</v>
      </c>
      <c r="V1148" s="170" t="s">
        <v>304</v>
      </c>
      <c r="W1148" s="170" t="s">
        <v>1356</v>
      </c>
    </row>
    <row r="1149" customHeight="1" spans="1:23">
      <c r="A1149" s="177"/>
      <c r="B1149" s="177"/>
      <c r="C1149" s="177"/>
      <c r="D1149" s="201" t="s">
        <v>102</v>
      </c>
      <c r="E1149" s="201" t="s">
        <v>103</v>
      </c>
      <c r="F1149" s="202"/>
      <c r="G1149" s="202"/>
      <c r="H1149" s="205" t="s">
        <v>106</v>
      </c>
      <c r="I1149" s="188" t="s">
        <v>281</v>
      </c>
      <c r="J1149" s="170" t="s">
        <v>87</v>
      </c>
      <c r="K1149" s="180" t="s">
        <v>93</v>
      </c>
      <c r="L1149" s="180">
        <v>36</v>
      </c>
      <c r="M1149" s="180" t="s">
        <v>98</v>
      </c>
      <c r="N1149" s="200" t="s">
        <v>110</v>
      </c>
      <c r="O1149" s="177" t="s">
        <v>14</v>
      </c>
      <c r="P1149" s="170" t="s">
        <v>963</v>
      </c>
      <c r="Q1149" s="170" t="s">
        <v>112</v>
      </c>
      <c r="R1149" s="170" t="s">
        <v>113</v>
      </c>
      <c r="S1149" s="170" t="s">
        <v>964</v>
      </c>
      <c r="T1149" s="170" t="s">
        <v>16</v>
      </c>
      <c r="U1149" s="170" t="s">
        <v>965</v>
      </c>
      <c r="V1149" s="170" t="s">
        <v>304</v>
      </c>
      <c r="W1149" s="170" t="s">
        <v>1357</v>
      </c>
    </row>
    <row r="1150" ht="15.75" customHeight="1" spans="1:23">
      <c r="A1150" s="177"/>
      <c r="B1150" s="177"/>
      <c r="C1150" s="177"/>
      <c r="D1150" s="201" t="s">
        <v>102</v>
      </c>
      <c r="E1150" s="201" t="s">
        <v>103</v>
      </c>
      <c r="F1150" s="202"/>
      <c r="G1150" s="250"/>
      <c r="H1150" s="180" t="s">
        <v>95</v>
      </c>
      <c r="I1150" s="251" t="s">
        <v>285</v>
      </c>
      <c r="J1150" s="170" t="s">
        <v>108</v>
      </c>
      <c r="K1150" s="180" t="s">
        <v>134</v>
      </c>
      <c r="L1150" s="180">
        <v>12</v>
      </c>
      <c r="M1150" s="180" t="s">
        <v>98</v>
      </c>
      <c r="N1150" s="180" t="s">
        <v>110</v>
      </c>
      <c r="O1150" s="177" t="s">
        <v>14</v>
      </c>
      <c r="P1150" s="170" t="s">
        <v>963</v>
      </c>
      <c r="Q1150" s="170" t="s">
        <v>112</v>
      </c>
      <c r="R1150" s="170" t="s">
        <v>113</v>
      </c>
      <c r="S1150" s="170" t="s">
        <v>964</v>
      </c>
      <c r="T1150" s="170" t="s">
        <v>16</v>
      </c>
      <c r="U1150" s="170" t="s">
        <v>965</v>
      </c>
      <c r="V1150" s="170" t="s">
        <v>304</v>
      </c>
      <c r="W1150" s="170" t="s">
        <v>1358</v>
      </c>
    </row>
    <row r="1151" ht="15.75" customHeight="1" spans="1:23">
      <c r="A1151" s="177"/>
      <c r="B1151" s="177"/>
      <c r="C1151" s="177"/>
      <c r="D1151" s="201" t="s">
        <v>102</v>
      </c>
      <c r="E1151" s="201" t="s">
        <v>103</v>
      </c>
      <c r="F1151" s="202"/>
      <c r="G1151" s="250"/>
      <c r="H1151" s="180"/>
      <c r="I1151" s="252" t="s">
        <v>176</v>
      </c>
      <c r="J1151" s="170" t="s">
        <v>97</v>
      </c>
      <c r="K1151" s="180" t="s">
        <v>93</v>
      </c>
      <c r="L1151" s="180">
        <v>24</v>
      </c>
      <c r="M1151" s="180" t="s">
        <v>98</v>
      </c>
      <c r="N1151" s="200" t="s">
        <v>99</v>
      </c>
      <c r="O1151" s="177" t="s">
        <v>14</v>
      </c>
      <c r="P1151" s="170" t="s">
        <v>963</v>
      </c>
      <c r="Q1151" s="170" t="s">
        <v>112</v>
      </c>
      <c r="R1151" s="170" t="s">
        <v>113</v>
      </c>
      <c r="S1151" s="170" t="s">
        <v>964</v>
      </c>
      <c r="T1151" s="170" t="s">
        <v>16</v>
      </c>
      <c r="U1151" s="170" t="s">
        <v>965</v>
      </c>
      <c r="V1151" s="170" t="s">
        <v>304</v>
      </c>
      <c r="W1151" s="170" t="s">
        <v>1359</v>
      </c>
    </row>
    <row r="1152" ht="15.75" customHeight="1" spans="1:23">
      <c r="A1152" s="177"/>
      <c r="B1152" s="177"/>
      <c r="C1152" s="177"/>
      <c r="D1152" s="201" t="s">
        <v>102</v>
      </c>
      <c r="E1152" s="201" t="s">
        <v>103</v>
      </c>
      <c r="F1152" s="202"/>
      <c r="G1152" s="250"/>
      <c r="H1152" s="180"/>
      <c r="I1152" s="252" t="s">
        <v>193</v>
      </c>
      <c r="J1152" s="170" t="s">
        <v>108</v>
      </c>
      <c r="K1152" s="180" t="s">
        <v>88</v>
      </c>
      <c r="L1152" s="180">
        <v>8</v>
      </c>
      <c r="M1152" s="180" t="s">
        <v>98</v>
      </c>
      <c r="N1152" s="200" t="s">
        <v>99</v>
      </c>
      <c r="O1152" s="177" t="s">
        <v>14</v>
      </c>
      <c r="P1152" s="170" t="s">
        <v>963</v>
      </c>
      <c r="Q1152" s="170" t="s">
        <v>112</v>
      </c>
      <c r="R1152" s="170" t="s">
        <v>113</v>
      </c>
      <c r="S1152" s="170" t="s">
        <v>964</v>
      </c>
      <c r="T1152" s="170" t="s">
        <v>16</v>
      </c>
      <c r="U1152" s="170" t="s">
        <v>965</v>
      </c>
      <c r="V1152" s="170" t="s">
        <v>304</v>
      </c>
      <c r="W1152" s="170" t="s">
        <v>1360</v>
      </c>
    </row>
    <row r="1153" ht="15.75" customHeight="1" spans="1:23">
      <c r="A1153" s="177"/>
      <c r="B1153" s="177"/>
      <c r="C1153" s="177"/>
      <c r="D1153" s="201" t="s">
        <v>102</v>
      </c>
      <c r="E1153" s="201" t="s">
        <v>103</v>
      </c>
      <c r="F1153" s="202"/>
      <c r="G1153" s="250"/>
      <c r="H1153" s="180"/>
      <c r="I1153" s="252" t="s">
        <v>136</v>
      </c>
      <c r="J1153" s="170" t="s">
        <v>108</v>
      </c>
      <c r="K1153" s="180" t="s">
        <v>93</v>
      </c>
      <c r="L1153" s="180">
        <v>72</v>
      </c>
      <c r="M1153" s="180" t="s">
        <v>98</v>
      </c>
      <c r="N1153" s="180" t="s">
        <v>110</v>
      </c>
      <c r="O1153" s="177" t="s">
        <v>14</v>
      </c>
      <c r="P1153" s="170" t="s">
        <v>963</v>
      </c>
      <c r="Q1153" s="170" t="s">
        <v>112</v>
      </c>
      <c r="R1153" s="170" t="s">
        <v>113</v>
      </c>
      <c r="S1153" s="170" t="s">
        <v>964</v>
      </c>
      <c r="T1153" s="170" t="s">
        <v>16</v>
      </c>
      <c r="U1153" s="170" t="s">
        <v>965</v>
      </c>
      <c r="V1153" s="170" t="s">
        <v>304</v>
      </c>
      <c r="W1153" s="170" t="s">
        <v>1361</v>
      </c>
    </row>
    <row r="1154" ht="25.5" customHeight="1" spans="1:23">
      <c r="A1154" s="177"/>
      <c r="B1154" s="177"/>
      <c r="C1154" s="177"/>
      <c r="D1154" s="201" t="s">
        <v>102</v>
      </c>
      <c r="E1154" s="201" t="s">
        <v>103</v>
      </c>
      <c r="F1154" s="202"/>
      <c r="G1154" s="250"/>
      <c r="H1154" s="180"/>
      <c r="I1154" s="251" t="s">
        <v>219</v>
      </c>
      <c r="J1154" s="170" t="s">
        <v>108</v>
      </c>
      <c r="K1154" s="180" t="s">
        <v>88</v>
      </c>
      <c r="L1154" s="180">
        <v>8</v>
      </c>
      <c r="M1154" s="180" t="s">
        <v>98</v>
      </c>
      <c r="N1154" s="180" t="s">
        <v>110</v>
      </c>
      <c r="O1154" s="177" t="s">
        <v>14</v>
      </c>
      <c r="P1154" s="170" t="s">
        <v>963</v>
      </c>
      <c r="Q1154" s="170" t="s">
        <v>112</v>
      </c>
      <c r="R1154" s="170" t="s">
        <v>113</v>
      </c>
      <c r="S1154" s="170" t="s">
        <v>964</v>
      </c>
      <c r="T1154" s="170" t="s">
        <v>16</v>
      </c>
      <c r="U1154" s="170" t="s">
        <v>965</v>
      </c>
      <c r="V1154" s="170" t="s">
        <v>304</v>
      </c>
      <c r="W1154" s="170" t="s">
        <v>1362</v>
      </c>
    </row>
    <row r="1155" ht="15.75" customHeight="1" spans="1:23">
      <c r="A1155" s="177"/>
      <c r="B1155" s="177"/>
      <c r="C1155" s="177"/>
      <c r="D1155" s="201" t="s">
        <v>102</v>
      </c>
      <c r="E1155" s="201" t="s">
        <v>103</v>
      </c>
      <c r="F1155" s="202"/>
      <c r="G1155" s="202"/>
      <c r="H1155" s="246" t="s">
        <v>119</v>
      </c>
      <c r="I1155" s="182" t="s">
        <v>211</v>
      </c>
      <c r="J1155" s="170" t="s">
        <v>108</v>
      </c>
      <c r="K1155" s="180" t="s">
        <v>88</v>
      </c>
      <c r="L1155" s="180">
        <v>4</v>
      </c>
      <c r="M1155" s="180" t="s">
        <v>98</v>
      </c>
      <c r="N1155" s="200" t="s">
        <v>99</v>
      </c>
      <c r="O1155" s="177" t="s">
        <v>14</v>
      </c>
      <c r="P1155" s="170" t="s">
        <v>963</v>
      </c>
      <c r="Q1155" s="170" t="s">
        <v>112</v>
      </c>
      <c r="R1155" s="170" t="s">
        <v>113</v>
      </c>
      <c r="S1155" s="170" t="s">
        <v>964</v>
      </c>
      <c r="T1155" s="170" t="s">
        <v>16</v>
      </c>
      <c r="U1155" s="170" t="s">
        <v>965</v>
      </c>
      <c r="V1155" s="170" t="s">
        <v>304</v>
      </c>
      <c r="W1155" s="170" t="s">
        <v>1363</v>
      </c>
    </row>
    <row r="1156" ht="15.75" customHeight="1" spans="1:23">
      <c r="A1156" s="177"/>
      <c r="B1156" s="177"/>
      <c r="C1156" s="177"/>
      <c r="D1156" s="201" t="s">
        <v>102</v>
      </c>
      <c r="E1156" s="201" t="s">
        <v>103</v>
      </c>
      <c r="F1156" s="202"/>
      <c r="G1156" s="202"/>
      <c r="H1156" s="246" t="s">
        <v>141</v>
      </c>
      <c r="I1156" s="253" t="s">
        <v>479</v>
      </c>
      <c r="J1156" s="180" t="s">
        <v>97</v>
      </c>
      <c r="K1156" s="180" t="s">
        <v>88</v>
      </c>
      <c r="L1156" s="180">
        <v>4</v>
      </c>
      <c r="M1156" s="180" t="s">
        <v>98</v>
      </c>
      <c r="N1156" s="200" t="s">
        <v>99</v>
      </c>
      <c r="O1156" s="177" t="s">
        <v>14</v>
      </c>
      <c r="P1156" s="170" t="s">
        <v>963</v>
      </c>
      <c r="Q1156" s="170" t="s">
        <v>112</v>
      </c>
      <c r="R1156" s="170" t="s">
        <v>113</v>
      </c>
      <c r="S1156" s="170" t="s">
        <v>964</v>
      </c>
      <c r="T1156" s="170" t="s">
        <v>16</v>
      </c>
      <c r="U1156" s="170" t="s">
        <v>965</v>
      </c>
      <c r="V1156" s="170" t="s">
        <v>304</v>
      </c>
      <c r="W1156" s="170" t="s">
        <v>1364</v>
      </c>
    </row>
    <row r="1157" ht="15.75" customHeight="1" spans="1:23">
      <c r="A1157" s="185" t="s">
        <v>1365</v>
      </c>
      <c r="B1157" s="185" t="s">
        <v>1366</v>
      </c>
      <c r="C1157" s="185" t="s">
        <v>173</v>
      </c>
      <c r="D1157" s="254" t="s">
        <v>102</v>
      </c>
      <c r="E1157" s="254" t="s">
        <v>103</v>
      </c>
      <c r="F1157" s="180" t="s">
        <v>1367</v>
      </c>
      <c r="G1157" s="180" t="s">
        <v>1367</v>
      </c>
      <c r="H1157" s="180" t="s">
        <v>1367</v>
      </c>
      <c r="I1157" s="180" t="s">
        <v>1367</v>
      </c>
      <c r="J1157" s="170" t="s">
        <v>1367</v>
      </c>
      <c r="K1157" s="180" t="s">
        <v>1367</v>
      </c>
      <c r="L1157" s="180" t="s">
        <v>1367</v>
      </c>
      <c r="M1157" s="180" t="s">
        <v>1367</v>
      </c>
      <c r="N1157" s="180" t="s">
        <v>1367</v>
      </c>
      <c r="O1157" s="185" t="s">
        <v>14</v>
      </c>
      <c r="P1157" s="170" t="s">
        <v>963</v>
      </c>
      <c r="Q1157" s="170" t="s">
        <v>112</v>
      </c>
      <c r="R1157" s="170" t="s">
        <v>113</v>
      </c>
      <c r="S1157" s="170" t="s">
        <v>964</v>
      </c>
      <c r="T1157" s="170" t="s">
        <v>16</v>
      </c>
      <c r="U1157" s="170" t="s">
        <v>965</v>
      </c>
      <c r="V1157" s="170" t="s">
        <v>304</v>
      </c>
      <c r="W1157" s="170" t="s">
        <v>1368</v>
      </c>
    </row>
    <row r="1158" ht="15.75" customHeight="1" spans="1:23">
      <c r="A1158" s="185" t="s">
        <v>1369</v>
      </c>
      <c r="B1158" s="185" t="s">
        <v>1370</v>
      </c>
      <c r="C1158" s="185" t="s">
        <v>173</v>
      </c>
      <c r="D1158" s="186" t="s">
        <v>102</v>
      </c>
      <c r="E1158" s="186" t="s">
        <v>103</v>
      </c>
      <c r="F1158" s="180" t="s">
        <v>1371</v>
      </c>
      <c r="G1158" s="180" t="s">
        <v>1372</v>
      </c>
      <c r="H1158" s="200" t="s">
        <v>91</v>
      </c>
      <c r="I1158" s="180" t="s">
        <v>475</v>
      </c>
      <c r="J1158" s="170" t="s">
        <v>108</v>
      </c>
      <c r="K1158" s="200" t="s">
        <v>93</v>
      </c>
      <c r="L1158" s="180">
        <v>2</v>
      </c>
      <c r="M1158" s="180" t="s">
        <v>98</v>
      </c>
      <c r="N1158" s="200" t="s">
        <v>90</v>
      </c>
      <c r="O1158" s="185" t="s">
        <v>14</v>
      </c>
      <c r="P1158" s="170" t="s">
        <v>963</v>
      </c>
      <c r="Q1158" s="170" t="s">
        <v>112</v>
      </c>
      <c r="R1158" s="170" t="s">
        <v>113</v>
      </c>
      <c r="S1158" s="170" t="s">
        <v>964</v>
      </c>
      <c r="T1158" s="170" t="s">
        <v>16</v>
      </c>
      <c r="U1158" s="170" t="s">
        <v>965</v>
      </c>
      <c r="V1158" s="170" t="s">
        <v>304</v>
      </c>
      <c r="W1158" s="170" t="s">
        <v>1373</v>
      </c>
    </row>
    <row r="1159" customHeight="1" spans="1:23">
      <c r="A1159" s="185"/>
      <c r="B1159" s="185"/>
      <c r="C1159" s="185"/>
      <c r="D1159" s="186" t="s">
        <v>102</v>
      </c>
      <c r="E1159" s="186" t="s">
        <v>103</v>
      </c>
      <c r="F1159" s="180"/>
      <c r="G1159" s="180"/>
      <c r="H1159" s="200" t="s">
        <v>132</v>
      </c>
      <c r="I1159" s="180" t="s">
        <v>480</v>
      </c>
      <c r="J1159" s="170" t="s">
        <v>87</v>
      </c>
      <c r="K1159" s="200" t="s">
        <v>93</v>
      </c>
      <c r="L1159" s="180">
        <v>5</v>
      </c>
      <c r="M1159" s="180" t="s">
        <v>1098</v>
      </c>
      <c r="N1159" s="200" t="s">
        <v>90</v>
      </c>
      <c r="O1159" s="185" t="s">
        <v>14</v>
      </c>
      <c r="P1159" s="170" t="s">
        <v>963</v>
      </c>
      <c r="Q1159" s="170" t="s">
        <v>112</v>
      </c>
      <c r="R1159" s="170" t="s">
        <v>113</v>
      </c>
      <c r="S1159" s="170" t="s">
        <v>964</v>
      </c>
      <c r="T1159" s="170" t="s">
        <v>16</v>
      </c>
      <c r="U1159" s="170" t="s">
        <v>965</v>
      </c>
      <c r="V1159" s="170" t="s">
        <v>304</v>
      </c>
      <c r="W1159" s="170" t="s">
        <v>1374</v>
      </c>
    </row>
    <row r="1160" customHeight="1" spans="1:23">
      <c r="A1160" s="185"/>
      <c r="B1160" s="185"/>
      <c r="C1160" s="185"/>
      <c r="D1160" s="186" t="s">
        <v>102</v>
      </c>
      <c r="E1160" s="186" t="s">
        <v>103</v>
      </c>
      <c r="F1160" s="180"/>
      <c r="G1160" s="180"/>
      <c r="H1160" s="239" t="s">
        <v>106</v>
      </c>
      <c r="I1160" s="180" t="s">
        <v>281</v>
      </c>
      <c r="J1160" s="170" t="s">
        <v>87</v>
      </c>
      <c r="K1160" s="200" t="s">
        <v>93</v>
      </c>
      <c r="L1160" s="180">
        <v>35</v>
      </c>
      <c r="M1160" s="180" t="s">
        <v>98</v>
      </c>
      <c r="N1160" s="200" t="s">
        <v>90</v>
      </c>
      <c r="O1160" s="185" t="s">
        <v>14</v>
      </c>
      <c r="P1160" s="170" t="s">
        <v>963</v>
      </c>
      <c r="Q1160" s="170" t="s">
        <v>112</v>
      </c>
      <c r="R1160" s="170" t="s">
        <v>113</v>
      </c>
      <c r="S1160" s="170" t="s">
        <v>964</v>
      </c>
      <c r="T1160" s="170" t="s">
        <v>16</v>
      </c>
      <c r="U1160" s="170" t="s">
        <v>965</v>
      </c>
      <c r="V1160" s="170" t="s">
        <v>304</v>
      </c>
      <c r="W1160" s="170" t="s">
        <v>1375</v>
      </c>
    </row>
    <row r="1161" customHeight="1" spans="1:23">
      <c r="A1161" s="185"/>
      <c r="B1161" s="185"/>
      <c r="C1161" s="185"/>
      <c r="D1161" s="186" t="s">
        <v>102</v>
      </c>
      <c r="E1161" s="186" t="s">
        <v>103</v>
      </c>
      <c r="F1161" s="180"/>
      <c r="G1161" s="180"/>
      <c r="H1161" s="243"/>
      <c r="I1161" s="180" t="s">
        <v>196</v>
      </c>
      <c r="J1161" s="170" t="s">
        <v>87</v>
      </c>
      <c r="K1161" s="200" t="s">
        <v>93</v>
      </c>
      <c r="L1161" s="180">
        <v>2</v>
      </c>
      <c r="M1161" s="180" t="s">
        <v>98</v>
      </c>
      <c r="N1161" s="200" t="s">
        <v>90</v>
      </c>
      <c r="O1161" s="185" t="s">
        <v>14</v>
      </c>
      <c r="P1161" s="170" t="s">
        <v>963</v>
      </c>
      <c r="Q1161" s="170" t="s">
        <v>112</v>
      </c>
      <c r="R1161" s="170" t="s">
        <v>113</v>
      </c>
      <c r="S1161" s="170" t="s">
        <v>964</v>
      </c>
      <c r="T1161" s="170" t="s">
        <v>16</v>
      </c>
      <c r="U1161" s="170" t="s">
        <v>965</v>
      </c>
      <c r="V1161" s="170" t="s">
        <v>304</v>
      </c>
      <c r="W1161" s="170" t="s">
        <v>1376</v>
      </c>
    </row>
    <row r="1162" ht="15.75" customHeight="1" spans="1:23">
      <c r="A1162" s="185"/>
      <c r="B1162" s="185"/>
      <c r="C1162" s="185"/>
      <c r="D1162" s="186" t="s">
        <v>102</v>
      </c>
      <c r="E1162" s="186" t="s">
        <v>103</v>
      </c>
      <c r="F1162" s="180"/>
      <c r="G1162" s="180"/>
      <c r="H1162" s="239" t="s">
        <v>95</v>
      </c>
      <c r="I1162" s="180" t="s">
        <v>285</v>
      </c>
      <c r="J1162" s="170" t="s">
        <v>108</v>
      </c>
      <c r="K1162" s="200" t="s">
        <v>93</v>
      </c>
      <c r="L1162" s="180">
        <v>25</v>
      </c>
      <c r="M1162" s="180" t="s">
        <v>279</v>
      </c>
      <c r="N1162" s="200" t="s">
        <v>90</v>
      </c>
      <c r="O1162" s="185" t="s">
        <v>14</v>
      </c>
      <c r="P1162" s="170" t="s">
        <v>963</v>
      </c>
      <c r="Q1162" s="170" t="s">
        <v>112</v>
      </c>
      <c r="R1162" s="170" t="s">
        <v>113</v>
      </c>
      <c r="S1162" s="170" t="s">
        <v>964</v>
      </c>
      <c r="T1162" s="170" t="s">
        <v>16</v>
      </c>
      <c r="U1162" s="170" t="s">
        <v>965</v>
      </c>
      <c r="V1162" s="170" t="s">
        <v>304</v>
      </c>
      <c r="W1162" s="170" t="s">
        <v>1377</v>
      </c>
    </row>
    <row r="1163" ht="15.75" customHeight="1" spans="1:23">
      <c r="A1163" s="185"/>
      <c r="B1163" s="185"/>
      <c r="C1163" s="185"/>
      <c r="D1163" s="186" t="s">
        <v>102</v>
      </c>
      <c r="E1163" s="186" t="s">
        <v>103</v>
      </c>
      <c r="F1163" s="180"/>
      <c r="G1163" s="180"/>
      <c r="H1163" s="240"/>
      <c r="I1163" s="180" t="s">
        <v>176</v>
      </c>
      <c r="J1163" s="170" t="s">
        <v>97</v>
      </c>
      <c r="K1163" s="200" t="s">
        <v>93</v>
      </c>
      <c r="L1163" s="180">
        <v>30</v>
      </c>
      <c r="M1163" s="180" t="s">
        <v>98</v>
      </c>
      <c r="N1163" s="200" t="s">
        <v>110</v>
      </c>
      <c r="O1163" s="185" t="s">
        <v>14</v>
      </c>
      <c r="P1163" s="170" t="s">
        <v>963</v>
      </c>
      <c r="Q1163" s="170" t="s">
        <v>112</v>
      </c>
      <c r="R1163" s="170" t="s">
        <v>113</v>
      </c>
      <c r="S1163" s="170" t="s">
        <v>964</v>
      </c>
      <c r="T1163" s="170" t="s">
        <v>16</v>
      </c>
      <c r="U1163" s="170" t="s">
        <v>965</v>
      </c>
      <c r="V1163" s="170" t="s">
        <v>304</v>
      </c>
      <c r="W1163" s="170" t="s">
        <v>1378</v>
      </c>
    </row>
    <row r="1164" ht="15.75" customHeight="1" spans="1:23">
      <c r="A1164" s="185"/>
      <c r="B1164" s="185"/>
      <c r="C1164" s="185"/>
      <c r="D1164" s="186" t="s">
        <v>102</v>
      </c>
      <c r="E1164" s="186" t="s">
        <v>103</v>
      </c>
      <c r="F1164" s="180"/>
      <c r="G1164" s="180"/>
      <c r="H1164" s="240"/>
      <c r="I1164" s="180" t="s">
        <v>193</v>
      </c>
      <c r="J1164" s="170" t="s">
        <v>108</v>
      </c>
      <c r="K1164" s="200" t="s">
        <v>93</v>
      </c>
      <c r="L1164" s="180">
        <v>3</v>
      </c>
      <c r="M1164" s="180" t="s">
        <v>98</v>
      </c>
      <c r="N1164" s="200" t="s">
        <v>110</v>
      </c>
      <c r="O1164" s="185" t="s">
        <v>14</v>
      </c>
      <c r="P1164" s="170" t="s">
        <v>963</v>
      </c>
      <c r="Q1164" s="170" t="s">
        <v>112</v>
      </c>
      <c r="R1164" s="170" t="s">
        <v>113</v>
      </c>
      <c r="S1164" s="170" t="s">
        <v>964</v>
      </c>
      <c r="T1164" s="170" t="s">
        <v>16</v>
      </c>
      <c r="U1164" s="170" t="s">
        <v>965</v>
      </c>
      <c r="V1164" s="170" t="s">
        <v>304</v>
      </c>
      <c r="W1164" s="170" t="s">
        <v>1379</v>
      </c>
    </row>
    <row r="1165" ht="15.75" customHeight="1" spans="1:23">
      <c r="A1165" s="185"/>
      <c r="B1165" s="185"/>
      <c r="C1165" s="185"/>
      <c r="D1165" s="186" t="s">
        <v>102</v>
      </c>
      <c r="E1165" s="186" t="s">
        <v>103</v>
      </c>
      <c r="F1165" s="180"/>
      <c r="G1165" s="180"/>
      <c r="H1165" s="243"/>
      <c r="I1165" s="180" t="s">
        <v>136</v>
      </c>
      <c r="J1165" s="170" t="s">
        <v>108</v>
      </c>
      <c r="K1165" s="200" t="s">
        <v>93</v>
      </c>
      <c r="L1165" s="180">
        <v>70</v>
      </c>
      <c r="M1165" s="180" t="s">
        <v>279</v>
      </c>
      <c r="N1165" s="200" t="s">
        <v>110</v>
      </c>
      <c r="O1165" s="185" t="s">
        <v>14</v>
      </c>
      <c r="P1165" s="170" t="s">
        <v>963</v>
      </c>
      <c r="Q1165" s="170" t="s">
        <v>112</v>
      </c>
      <c r="R1165" s="170" t="s">
        <v>113</v>
      </c>
      <c r="S1165" s="170" t="s">
        <v>964</v>
      </c>
      <c r="T1165" s="170" t="s">
        <v>16</v>
      </c>
      <c r="U1165" s="170" t="s">
        <v>965</v>
      </c>
      <c r="V1165" s="170" t="s">
        <v>304</v>
      </c>
      <c r="W1165" s="170" t="s">
        <v>1380</v>
      </c>
    </row>
    <row r="1166" ht="30" customHeight="1" spans="1:23">
      <c r="A1166" s="185"/>
      <c r="B1166" s="185"/>
      <c r="C1166" s="185"/>
      <c r="D1166" s="186" t="s">
        <v>102</v>
      </c>
      <c r="E1166" s="186" t="s">
        <v>103</v>
      </c>
      <c r="F1166" s="180"/>
      <c r="G1166" s="180"/>
      <c r="H1166" s="200" t="s">
        <v>218</v>
      </c>
      <c r="I1166" s="180" t="s">
        <v>219</v>
      </c>
      <c r="J1166" s="170" t="s">
        <v>108</v>
      </c>
      <c r="K1166" s="200" t="s">
        <v>93</v>
      </c>
      <c r="L1166" s="180">
        <v>4</v>
      </c>
      <c r="M1166" s="180" t="s">
        <v>279</v>
      </c>
      <c r="N1166" s="200" t="s">
        <v>99</v>
      </c>
      <c r="O1166" s="185" t="s">
        <v>14</v>
      </c>
      <c r="P1166" s="170" t="s">
        <v>963</v>
      </c>
      <c r="Q1166" s="170" t="s">
        <v>112</v>
      </c>
      <c r="R1166" s="170" t="s">
        <v>113</v>
      </c>
      <c r="S1166" s="170" t="s">
        <v>964</v>
      </c>
      <c r="T1166" s="170" t="s">
        <v>16</v>
      </c>
      <c r="U1166" s="170" t="s">
        <v>965</v>
      </c>
      <c r="V1166" s="170" t="s">
        <v>304</v>
      </c>
      <c r="W1166" s="170" t="s">
        <v>1381</v>
      </c>
    </row>
    <row r="1167" customHeight="1" spans="1:23">
      <c r="A1167" s="212" t="s">
        <v>15</v>
      </c>
      <c r="B1167" s="255" t="s">
        <v>14</v>
      </c>
      <c r="C1167" s="212" t="s">
        <v>173</v>
      </c>
      <c r="D1167" s="213" t="s">
        <v>102</v>
      </c>
      <c r="E1167" s="213" t="s">
        <v>154</v>
      </c>
      <c r="F1167" s="194" t="s">
        <v>1382</v>
      </c>
      <c r="G1167" s="194" t="s">
        <v>1383</v>
      </c>
      <c r="H1167" s="188" t="s">
        <v>85</v>
      </c>
      <c r="I1167" s="188" t="s">
        <v>86</v>
      </c>
      <c r="J1167" s="170" t="s">
        <v>87</v>
      </c>
      <c r="K1167" s="237" t="s">
        <v>93</v>
      </c>
      <c r="L1167" s="188">
        <v>4</v>
      </c>
      <c r="M1167" s="188" t="s">
        <v>274</v>
      </c>
      <c r="N1167" s="237" t="s">
        <v>90</v>
      </c>
      <c r="O1167" s="212" t="s">
        <v>14</v>
      </c>
      <c r="P1167" s="170" t="s">
        <v>963</v>
      </c>
      <c r="Q1167" s="170" t="s">
        <v>112</v>
      </c>
      <c r="R1167" s="170" t="s">
        <v>113</v>
      </c>
      <c r="S1167" s="170" t="s">
        <v>964</v>
      </c>
      <c r="T1167" s="170" t="s">
        <v>16</v>
      </c>
      <c r="U1167" s="170" t="s">
        <v>965</v>
      </c>
      <c r="V1167" s="170" t="s">
        <v>304</v>
      </c>
      <c r="W1167" s="170" t="s">
        <v>1384</v>
      </c>
    </row>
    <row r="1168" ht="15.75" customHeight="1" spans="1:23">
      <c r="A1168" s="212"/>
      <c r="B1168" s="212"/>
      <c r="C1168" s="212"/>
      <c r="D1168" s="213" t="s">
        <v>102</v>
      </c>
      <c r="E1168" s="213" t="s">
        <v>103</v>
      </c>
      <c r="F1168" s="194"/>
      <c r="G1168" s="194"/>
      <c r="H1168" s="188"/>
      <c r="I1168" s="188" t="s">
        <v>209</v>
      </c>
      <c r="J1168" s="170" t="s">
        <v>108</v>
      </c>
      <c r="K1168" s="237" t="s">
        <v>93</v>
      </c>
      <c r="L1168" s="188">
        <v>18</v>
      </c>
      <c r="M1168" s="188" t="s">
        <v>1142</v>
      </c>
      <c r="N1168" s="237" t="s">
        <v>90</v>
      </c>
      <c r="O1168" s="212" t="s">
        <v>14</v>
      </c>
      <c r="P1168" s="170" t="s">
        <v>963</v>
      </c>
      <c r="Q1168" s="170" t="s">
        <v>112</v>
      </c>
      <c r="R1168" s="170" t="s">
        <v>113</v>
      </c>
      <c r="S1168" s="170" t="s">
        <v>964</v>
      </c>
      <c r="T1168" s="170" t="s">
        <v>16</v>
      </c>
      <c r="U1168" s="170" t="s">
        <v>965</v>
      </c>
      <c r="V1168" s="170" t="s">
        <v>304</v>
      </c>
      <c r="W1168" s="170" t="s">
        <v>1385</v>
      </c>
    </row>
    <row r="1169" customHeight="1" spans="1:23">
      <c r="A1169" s="212"/>
      <c r="B1169" s="212"/>
      <c r="C1169" s="212"/>
      <c r="D1169" s="213" t="s">
        <v>102</v>
      </c>
      <c r="E1169" s="213" t="s">
        <v>103</v>
      </c>
      <c r="F1169" s="194"/>
      <c r="G1169" s="194"/>
      <c r="H1169" s="188"/>
      <c r="I1169" s="178" t="s">
        <v>267</v>
      </c>
      <c r="J1169" s="170" t="s">
        <v>87</v>
      </c>
      <c r="K1169" s="237" t="s">
        <v>134</v>
      </c>
      <c r="L1169" s="188">
        <v>4</v>
      </c>
      <c r="M1169" s="178" t="s">
        <v>279</v>
      </c>
      <c r="N1169" s="237" t="s">
        <v>90</v>
      </c>
      <c r="O1169" s="212" t="s">
        <v>14</v>
      </c>
      <c r="P1169" s="170" t="s">
        <v>963</v>
      </c>
      <c r="Q1169" s="170" t="s">
        <v>112</v>
      </c>
      <c r="R1169" s="170" t="s">
        <v>113</v>
      </c>
      <c r="S1169" s="170" t="s">
        <v>964</v>
      </c>
      <c r="T1169" s="170" t="s">
        <v>16</v>
      </c>
      <c r="U1169" s="170" t="s">
        <v>965</v>
      </c>
      <c r="V1169" s="170" t="s">
        <v>304</v>
      </c>
      <c r="W1169" s="170" t="s">
        <v>1386</v>
      </c>
    </row>
    <row r="1170" ht="15.75" customHeight="1" spans="1:23">
      <c r="A1170" s="212"/>
      <c r="B1170" s="212"/>
      <c r="C1170" s="212"/>
      <c r="D1170" s="213" t="s">
        <v>102</v>
      </c>
      <c r="E1170" s="213" t="s">
        <v>103</v>
      </c>
      <c r="F1170" s="194"/>
      <c r="G1170" s="194"/>
      <c r="H1170" s="188"/>
      <c r="I1170" s="178" t="s">
        <v>183</v>
      </c>
      <c r="J1170" s="170" t="s">
        <v>108</v>
      </c>
      <c r="K1170" s="237" t="s">
        <v>93</v>
      </c>
      <c r="L1170" s="188">
        <v>16</v>
      </c>
      <c r="M1170" s="178" t="s">
        <v>279</v>
      </c>
      <c r="N1170" s="237" t="s">
        <v>99</v>
      </c>
      <c r="O1170" s="212" t="s">
        <v>14</v>
      </c>
      <c r="P1170" s="170" t="s">
        <v>963</v>
      </c>
      <c r="Q1170" s="170" t="s">
        <v>112</v>
      </c>
      <c r="R1170" s="170" t="s">
        <v>113</v>
      </c>
      <c r="S1170" s="170" t="s">
        <v>964</v>
      </c>
      <c r="T1170" s="170" t="s">
        <v>16</v>
      </c>
      <c r="U1170" s="170" t="s">
        <v>965</v>
      </c>
      <c r="V1170" s="170" t="s">
        <v>304</v>
      </c>
      <c r="W1170" s="170" t="s">
        <v>1387</v>
      </c>
    </row>
    <row r="1171" ht="15.75" customHeight="1" spans="1:23">
      <c r="A1171" s="212"/>
      <c r="B1171" s="212"/>
      <c r="C1171" s="212"/>
      <c r="D1171" s="213" t="s">
        <v>102</v>
      </c>
      <c r="E1171" s="213" t="s">
        <v>103</v>
      </c>
      <c r="F1171" s="194"/>
      <c r="G1171" s="194"/>
      <c r="H1171" s="188"/>
      <c r="I1171" s="178" t="s">
        <v>192</v>
      </c>
      <c r="J1171" s="170" t="s">
        <v>108</v>
      </c>
      <c r="K1171" s="237" t="s">
        <v>93</v>
      </c>
      <c r="L1171" s="188">
        <v>6</v>
      </c>
      <c r="M1171" s="178" t="s">
        <v>279</v>
      </c>
      <c r="N1171" s="237" t="s">
        <v>110</v>
      </c>
      <c r="O1171" s="212" t="s">
        <v>14</v>
      </c>
      <c r="P1171" s="170" t="s">
        <v>963</v>
      </c>
      <c r="Q1171" s="170" t="s">
        <v>112</v>
      </c>
      <c r="R1171" s="170" t="s">
        <v>113</v>
      </c>
      <c r="S1171" s="170" t="s">
        <v>964</v>
      </c>
      <c r="T1171" s="170" t="s">
        <v>16</v>
      </c>
      <c r="U1171" s="170" t="s">
        <v>965</v>
      </c>
      <c r="V1171" s="170" t="s">
        <v>304</v>
      </c>
      <c r="W1171" s="170" t="s">
        <v>1388</v>
      </c>
    </row>
    <row r="1172" customHeight="1" spans="1:23">
      <c r="A1172" s="212"/>
      <c r="B1172" s="212"/>
      <c r="C1172" s="212"/>
      <c r="D1172" s="213" t="s">
        <v>102</v>
      </c>
      <c r="E1172" s="213" t="s">
        <v>103</v>
      </c>
      <c r="F1172" s="194"/>
      <c r="G1172" s="194"/>
      <c r="H1172" s="188" t="s">
        <v>91</v>
      </c>
      <c r="I1172" s="188" t="s">
        <v>92</v>
      </c>
      <c r="J1172" s="170" t="s">
        <v>87</v>
      </c>
      <c r="K1172" s="237" t="s">
        <v>134</v>
      </c>
      <c r="L1172" s="188">
        <v>8</v>
      </c>
      <c r="M1172" s="188" t="s">
        <v>1389</v>
      </c>
      <c r="N1172" s="237" t="s">
        <v>90</v>
      </c>
      <c r="O1172" s="212" t="s">
        <v>14</v>
      </c>
      <c r="P1172" s="170" t="s">
        <v>963</v>
      </c>
      <c r="Q1172" s="170" t="s">
        <v>112</v>
      </c>
      <c r="R1172" s="170" t="s">
        <v>113</v>
      </c>
      <c r="S1172" s="170" t="s">
        <v>964</v>
      </c>
      <c r="T1172" s="170" t="s">
        <v>16</v>
      </c>
      <c r="U1172" s="170" t="s">
        <v>965</v>
      </c>
      <c r="V1172" s="170" t="s">
        <v>304</v>
      </c>
      <c r="W1172" s="170" t="s">
        <v>1390</v>
      </c>
    </row>
    <row r="1173" customHeight="1" spans="1:23">
      <c r="A1173" s="212"/>
      <c r="B1173" s="212"/>
      <c r="C1173" s="212"/>
      <c r="D1173" s="213" t="s">
        <v>102</v>
      </c>
      <c r="E1173" s="213" t="s">
        <v>103</v>
      </c>
      <c r="F1173" s="194"/>
      <c r="G1173" s="194"/>
      <c r="H1173" s="188"/>
      <c r="I1173" s="178" t="s">
        <v>328</v>
      </c>
      <c r="J1173" s="170" t="s">
        <v>87</v>
      </c>
      <c r="K1173" s="200" t="s">
        <v>88</v>
      </c>
      <c r="L1173" s="188">
        <v>4</v>
      </c>
      <c r="M1173" s="178" t="s">
        <v>98</v>
      </c>
      <c r="N1173" s="237" t="s">
        <v>99</v>
      </c>
      <c r="O1173" s="212" t="s">
        <v>14</v>
      </c>
      <c r="P1173" s="170" t="s">
        <v>963</v>
      </c>
      <c r="Q1173" s="170" t="s">
        <v>112</v>
      </c>
      <c r="R1173" s="170" t="s">
        <v>113</v>
      </c>
      <c r="S1173" s="170" t="s">
        <v>964</v>
      </c>
      <c r="T1173" s="170" t="s">
        <v>16</v>
      </c>
      <c r="U1173" s="170" t="s">
        <v>965</v>
      </c>
      <c r="V1173" s="170" t="s">
        <v>304</v>
      </c>
      <c r="W1173" s="170" t="s">
        <v>1391</v>
      </c>
    </row>
    <row r="1174" ht="15.75" customHeight="1" spans="1:23">
      <c r="A1174" s="212"/>
      <c r="B1174" s="212"/>
      <c r="C1174" s="212"/>
      <c r="D1174" s="213" t="s">
        <v>102</v>
      </c>
      <c r="E1174" s="213" t="s">
        <v>103</v>
      </c>
      <c r="F1174" s="194"/>
      <c r="G1174" s="194"/>
      <c r="H1174" s="188" t="s">
        <v>132</v>
      </c>
      <c r="I1174" s="188" t="s">
        <v>133</v>
      </c>
      <c r="J1174" s="170" t="s">
        <v>108</v>
      </c>
      <c r="K1174" s="237" t="s">
        <v>134</v>
      </c>
      <c r="L1174" s="188">
        <v>12</v>
      </c>
      <c r="M1174" s="178" t="s">
        <v>279</v>
      </c>
      <c r="N1174" s="237" t="s">
        <v>90</v>
      </c>
      <c r="O1174" s="212" t="s">
        <v>14</v>
      </c>
      <c r="P1174" s="170" t="s">
        <v>963</v>
      </c>
      <c r="Q1174" s="170" t="s">
        <v>112</v>
      </c>
      <c r="R1174" s="170" t="s">
        <v>113</v>
      </c>
      <c r="S1174" s="170" t="s">
        <v>964</v>
      </c>
      <c r="T1174" s="170" t="s">
        <v>16</v>
      </c>
      <c r="U1174" s="170" t="s">
        <v>965</v>
      </c>
      <c r="V1174" s="170" t="s">
        <v>304</v>
      </c>
      <c r="W1174" s="170" t="s">
        <v>1392</v>
      </c>
    </row>
    <row r="1175" customHeight="1" spans="1:23">
      <c r="A1175" s="212"/>
      <c r="B1175" s="212"/>
      <c r="C1175" s="212"/>
      <c r="D1175" s="213" t="s">
        <v>102</v>
      </c>
      <c r="E1175" s="213" t="s">
        <v>103</v>
      </c>
      <c r="F1175" s="194"/>
      <c r="G1175" s="194"/>
      <c r="H1175" s="188"/>
      <c r="I1175" s="178" t="s">
        <v>480</v>
      </c>
      <c r="J1175" s="170" t="s">
        <v>87</v>
      </c>
      <c r="K1175" s="237" t="s">
        <v>93</v>
      </c>
      <c r="L1175" s="188">
        <v>4</v>
      </c>
      <c r="M1175" s="178" t="s">
        <v>279</v>
      </c>
      <c r="N1175" s="237" t="s">
        <v>90</v>
      </c>
      <c r="O1175" s="212" t="s">
        <v>14</v>
      </c>
      <c r="P1175" s="170" t="s">
        <v>963</v>
      </c>
      <c r="Q1175" s="170" t="s">
        <v>112</v>
      </c>
      <c r="R1175" s="170" t="s">
        <v>113</v>
      </c>
      <c r="S1175" s="170" t="s">
        <v>964</v>
      </c>
      <c r="T1175" s="170" t="s">
        <v>16</v>
      </c>
      <c r="U1175" s="170" t="s">
        <v>965</v>
      </c>
      <c r="V1175" s="170" t="s">
        <v>304</v>
      </c>
      <c r="W1175" s="170" t="s">
        <v>1393</v>
      </c>
    </row>
    <row r="1176" customHeight="1" spans="1:23">
      <c r="A1176" s="212"/>
      <c r="B1176" s="212"/>
      <c r="C1176" s="212"/>
      <c r="D1176" s="213" t="s">
        <v>102</v>
      </c>
      <c r="E1176" s="213" t="s">
        <v>103</v>
      </c>
      <c r="F1176" s="194"/>
      <c r="G1176" s="194"/>
      <c r="H1176" s="188"/>
      <c r="I1176" s="178" t="s">
        <v>755</v>
      </c>
      <c r="J1176" s="170" t="s">
        <v>87</v>
      </c>
      <c r="K1176" s="237" t="s">
        <v>93</v>
      </c>
      <c r="L1176" s="188">
        <v>3</v>
      </c>
      <c r="M1176" s="178" t="s">
        <v>279</v>
      </c>
      <c r="N1176" s="237" t="s">
        <v>110</v>
      </c>
      <c r="O1176" s="212" t="s">
        <v>14</v>
      </c>
      <c r="P1176" s="170" t="s">
        <v>963</v>
      </c>
      <c r="Q1176" s="170" t="s">
        <v>112</v>
      </c>
      <c r="R1176" s="170" t="s">
        <v>113</v>
      </c>
      <c r="S1176" s="170" t="s">
        <v>964</v>
      </c>
      <c r="T1176" s="170" t="s">
        <v>16</v>
      </c>
      <c r="U1176" s="170" t="s">
        <v>965</v>
      </c>
      <c r="V1176" s="170" t="s">
        <v>304</v>
      </c>
      <c r="W1176" s="170" t="s">
        <v>1394</v>
      </c>
    </row>
    <row r="1177" ht="15.75" customHeight="1" spans="1:23">
      <c r="A1177" s="212"/>
      <c r="B1177" s="212"/>
      <c r="C1177" s="212"/>
      <c r="D1177" s="213" t="s">
        <v>102</v>
      </c>
      <c r="E1177" s="213" t="s">
        <v>103</v>
      </c>
      <c r="F1177" s="194"/>
      <c r="G1177" s="194"/>
      <c r="H1177" s="188" t="s">
        <v>106</v>
      </c>
      <c r="I1177" s="178" t="s">
        <v>170</v>
      </c>
      <c r="J1177" s="170" t="s">
        <v>108</v>
      </c>
      <c r="K1177" s="237" t="s">
        <v>93</v>
      </c>
      <c r="L1177" s="188">
        <v>6</v>
      </c>
      <c r="M1177" s="178" t="s">
        <v>247</v>
      </c>
      <c r="N1177" s="237" t="s">
        <v>110</v>
      </c>
      <c r="O1177" s="212" t="s">
        <v>14</v>
      </c>
      <c r="P1177" s="170" t="s">
        <v>963</v>
      </c>
      <c r="Q1177" s="170" t="s">
        <v>112</v>
      </c>
      <c r="R1177" s="170" t="s">
        <v>113</v>
      </c>
      <c r="S1177" s="170" t="s">
        <v>964</v>
      </c>
      <c r="T1177" s="170" t="s">
        <v>16</v>
      </c>
      <c r="U1177" s="170" t="s">
        <v>965</v>
      </c>
      <c r="V1177" s="170" t="s">
        <v>304</v>
      </c>
      <c r="W1177" s="170" t="s">
        <v>1395</v>
      </c>
    </row>
    <row r="1178" ht="15.75" customHeight="1" spans="1:23">
      <c r="A1178" s="212"/>
      <c r="B1178" s="212"/>
      <c r="C1178" s="212"/>
      <c r="D1178" s="213" t="s">
        <v>102</v>
      </c>
      <c r="E1178" s="213" t="s">
        <v>103</v>
      </c>
      <c r="F1178" s="194"/>
      <c r="G1178" s="194"/>
      <c r="H1178" s="188"/>
      <c r="I1178" s="178" t="s">
        <v>283</v>
      </c>
      <c r="J1178" s="170" t="s">
        <v>108</v>
      </c>
      <c r="K1178" s="237" t="s">
        <v>134</v>
      </c>
      <c r="L1178" s="188">
        <v>6</v>
      </c>
      <c r="M1178" s="178" t="s">
        <v>247</v>
      </c>
      <c r="N1178" s="237" t="s">
        <v>110</v>
      </c>
      <c r="O1178" s="212" t="s">
        <v>14</v>
      </c>
      <c r="P1178" s="170" t="s">
        <v>963</v>
      </c>
      <c r="Q1178" s="170" t="s">
        <v>112</v>
      </c>
      <c r="R1178" s="170" t="s">
        <v>113</v>
      </c>
      <c r="S1178" s="170" t="s">
        <v>964</v>
      </c>
      <c r="T1178" s="170" t="s">
        <v>16</v>
      </c>
      <c r="U1178" s="170" t="s">
        <v>965</v>
      </c>
      <c r="V1178" s="170" t="s">
        <v>304</v>
      </c>
      <c r="W1178" s="170" t="s">
        <v>1396</v>
      </c>
    </row>
    <row r="1179" customHeight="1" spans="1:23">
      <c r="A1179" s="212"/>
      <c r="B1179" s="212"/>
      <c r="C1179" s="212"/>
      <c r="D1179" s="213" t="s">
        <v>102</v>
      </c>
      <c r="E1179" s="213" t="s">
        <v>103</v>
      </c>
      <c r="F1179" s="194"/>
      <c r="G1179" s="194"/>
      <c r="H1179" s="188"/>
      <c r="I1179" s="178" t="s">
        <v>249</v>
      </c>
      <c r="J1179" s="170" t="s">
        <v>87</v>
      </c>
      <c r="K1179" s="200" t="s">
        <v>88</v>
      </c>
      <c r="L1179" s="188">
        <v>5</v>
      </c>
      <c r="M1179" s="178" t="s">
        <v>98</v>
      </c>
      <c r="N1179" s="237" t="s">
        <v>110</v>
      </c>
      <c r="O1179" s="212" t="s">
        <v>14</v>
      </c>
      <c r="P1179" s="170" t="s">
        <v>963</v>
      </c>
      <c r="Q1179" s="170" t="s">
        <v>112</v>
      </c>
      <c r="R1179" s="170" t="s">
        <v>113</v>
      </c>
      <c r="S1179" s="170" t="s">
        <v>964</v>
      </c>
      <c r="T1179" s="170" t="s">
        <v>16</v>
      </c>
      <c r="U1179" s="170" t="s">
        <v>965</v>
      </c>
      <c r="V1179" s="170" t="s">
        <v>304</v>
      </c>
      <c r="W1179" s="170" t="s">
        <v>1397</v>
      </c>
    </row>
    <row r="1180" customHeight="1" spans="1:23">
      <c r="A1180" s="212"/>
      <c r="B1180" s="212"/>
      <c r="C1180" s="212"/>
      <c r="D1180" s="213" t="s">
        <v>102</v>
      </c>
      <c r="E1180" s="213" t="s">
        <v>103</v>
      </c>
      <c r="F1180" s="194"/>
      <c r="G1180" s="194"/>
      <c r="H1180" s="188"/>
      <c r="I1180" s="188" t="s">
        <v>196</v>
      </c>
      <c r="J1180" s="170" t="s">
        <v>87</v>
      </c>
      <c r="K1180" s="237" t="s">
        <v>93</v>
      </c>
      <c r="L1180" s="188">
        <v>4</v>
      </c>
      <c r="M1180" s="178" t="s">
        <v>279</v>
      </c>
      <c r="N1180" s="237" t="s">
        <v>99</v>
      </c>
      <c r="O1180" s="212" t="s">
        <v>14</v>
      </c>
      <c r="P1180" s="170" t="s">
        <v>963</v>
      </c>
      <c r="Q1180" s="170" t="s">
        <v>112</v>
      </c>
      <c r="R1180" s="170" t="s">
        <v>113</v>
      </c>
      <c r="S1180" s="170" t="s">
        <v>964</v>
      </c>
      <c r="T1180" s="170" t="s">
        <v>16</v>
      </c>
      <c r="U1180" s="170" t="s">
        <v>965</v>
      </c>
      <c r="V1180" s="170" t="s">
        <v>304</v>
      </c>
      <c r="W1180" s="170" t="s">
        <v>1398</v>
      </c>
    </row>
    <row r="1181" ht="15.75" customHeight="1" spans="1:23">
      <c r="A1181" s="212"/>
      <c r="B1181" s="212"/>
      <c r="C1181" s="212"/>
      <c r="D1181" s="213" t="s">
        <v>102</v>
      </c>
      <c r="E1181" s="213" t="s">
        <v>103</v>
      </c>
      <c r="F1181" s="194"/>
      <c r="G1181" s="194"/>
      <c r="H1181" s="188" t="s">
        <v>254</v>
      </c>
      <c r="I1181" s="188" t="s">
        <v>255</v>
      </c>
      <c r="J1181" s="170" t="s">
        <v>108</v>
      </c>
      <c r="K1181" s="237" t="s">
        <v>93</v>
      </c>
      <c r="L1181" s="188">
        <v>5</v>
      </c>
      <c r="M1181" s="178" t="s">
        <v>279</v>
      </c>
      <c r="N1181" s="237" t="s">
        <v>110</v>
      </c>
      <c r="O1181" s="212" t="s">
        <v>14</v>
      </c>
      <c r="P1181" s="170" t="s">
        <v>963</v>
      </c>
      <c r="Q1181" s="170" t="s">
        <v>112</v>
      </c>
      <c r="R1181" s="170" t="s">
        <v>113</v>
      </c>
      <c r="S1181" s="170" t="s">
        <v>964</v>
      </c>
      <c r="T1181" s="170" t="s">
        <v>16</v>
      </c>
      <c r="U1181" s="170" t="s">
        <v>965</v>
      </c>
      <c r="V1181" s="170" t="s">
        <v>304</v>
      </c>
      <c r="W1181" s="170" t="s">
        <v>1399</v>
      </c>
    </row>
    <row r="1182" customHeight="1" spans="1:23">
      <c r="A1182" s="212"/>
      <c r="B1182" s="212"/>
      <c r="C1182" s="212"/>
      <c r="D1182" s="213" t="s">
        <v>102</v>
      </c>
      <c r="E1182" s="213" t="s">
        <v>103</v>
      </c>
      <c r="F1182" s="194"/>
      <c r="G1182" s="194"/>
      <c r="H1182" s="188"/>
      <c r="I1182" s="178" t="s">
        <v>286</v>
      </c>
      <c r="J1182" s="170" t="s">
        <v>87</v>
      </c>
      <c r="K1182" s="237" t="s">
        <v>93</v>
      </c>
      <c r="L1182" s="188">
        <v>6</v>
      </c>
      <c r="M1182" s="178" t="s">
        <v>247</v>
      </c>
      <c r="N1182" s="237" t="s">
        <v>110</v>
      </c>
      <c r="O1182" s="212" t="s">
        <v>14</v>
      </c>
      <c r="P1182" s="170" t="s">
        <v>963</v>
      </c>
      <c r="Q1182" s="170" t="s">
        <v>112</v>
      </c>
      <c r="R1182" s="170" t="s">
        <v>113</v>
      </c>
      <c r="S1182" s="170" t="s">
        <v>964</v>
      </c>
      <c r="T1182" s="170" t="s">
        <v>16</v>
      </c>
      <c r="U1182" s="170" t="s">
        <v>965</v>
      </c>
      <c r="V1182" s="170" t="s">
        <v>304</v>
      </c>
      <c r="W1182" s="170" t="s">
        <v>1400</v>
      </c>
    </row>
    <row r="1183" ht="15.75" customHeight="1" spans="1:23">
      <c r="A1183" s="212"/>
      <c r="B1183" s="212"/>
      <c r="C1183" s="212"/>
      <c r="D1183" s="213" t="s">
        <v>102</v>
      </c>
      <c r="E1183" s="213" t="s">
        <v>103</v>
      </c>
      <c r="F1183" s="194"/>
      <c r="G1183" s="194"/>
      <c r="H1183" s="188" t="s">
        <v>157</v>
      </c>
      <c r="I1183" s="188" t="s">
        <v>158</v>
      </c>
      <c r="J1183" s="170" t="s">
        <v>108</v>
      </c>
      <c r="K1183" s="237" t="s">
        <v>93</v>
      </c>
      <c r="L1183" s="188">
        <v>10</v>
      </c>
      <c r="M1183" s="178" t="s">
        <v>247</v>
      </c>
      <c r="N1183" s="237" t="s">
        <v>90</v>
      </c>
      <c r="O1183" s="212" t="s">
        <v>14</v>
      </c>
      <c r="P1183" s="170" t="s">
        <v>963</v>
      </c>
      <c r="Q1183" s="170" t="s">
        <v>112</v>
      </c>
      <c r="R1183" s="170" t="s">
        <v>113</v>
      </c>
      <c r="S1183" s="170" t="s">
        <v>964</v>
      </c>
      <c r="T1183" s="170" t="s">
        <v>16</v>
      </c>
      <c r="U1183" s="170" t="s">
        <v>965</v>
      </c>
      <c r="V1183" s="170" t="s">
        <v>304</v>
      </c>
      <c r="W1183" s="170" t="s">
        <v>1401</v>
      </c>
    </row>
    <row r="1184" ht="15.75" customHeight="1" spans="1:23">
      <c r="A1184" s="212"/>
      <c r="B1184" s="212"/>
      <c r="C1184" s="212"/>
      <c r="D1184" s="213" t="s">
        <v>102</v>
      </c>
      <c r="E1184" s="213" t="s">
        <v>103</v>
      </c>
      <c r="F1184" s="194"/>
      <c r="G1184" s="194"/>
      <c r="H1184" s="188"/>
      <c r="I1184" s="178" t="s">
        <v>222</v>
      </c>
      <c r="J1184" s="170" t="s">
        <v>108</v>
      </c>
      <c r="K1184" s="237" t="s">
        <v>93</v>
      </c>
      <c r="L1184" s="188">
        <v>5</v>
      </c>
      <c r="M1184" s="178" t="s">
        <v>247</v>
      </c>
      <c r="N1184" s="237" t="s">
        <v>110</v>
      </c>
      <c r="O1184" s="212" t="s">
        <v>14</v>
      </c>
      <c r="P1184" s="170" t="s">
        <v>963</v>
      </c>
      <c r="Q1184" s="170" t="s">
        <v>112</v>
      </c>
      <c r="R1184" s="170" t="s">
        <v>113</v>
      </c>
      <c r="S1184" s="170" t="s">
        <v>964</v>
      </c>
      <c r="T1184" s="170" t="s">
        <v>16</v>
      </c>
      <c r="U1184" s="170" t="s">
        <v>965</v>
      </c>
      <c r="V1184" s="170" t="s">
        <v>304</v>
      </c>
      <c r="W1184" s="170" t="s">
        <v>1402</v>
      </c>
    </row>
    <row r="1185" ht="15.75" customHeight="1" spans="1:23">
      <c r="A1185" s="212"/>
      <c r="B1185" s="212"/>
      <c r="C1185" s="212"/>
      <c r="D1185" s="213" t="s">
        <v>102</v>
      </c>
      <c r="E1185" s="213" t="s">
        <v>103</v>
      </c>
      <c r="F1185" s="194"/>
      <c r="G1185" s="194"/>
      <c r="H1185" s="188"/>
      <c r="I1185" s="178" t="s">
        <v>284</v>
      </c>
      <c r="J1185" s="170" t="s">
        <v>108</v>
      </c>
      <c r="K1185" s="237" t="s">
        <v>93</v>
      </c>
      <c r="L1185" s="188">
        <v>5</v>
      </c>
      <c r="M1185" s="178" t="s">
        <v>247</v>
      </c>
      <c r="N1185" s="237" t="s">
        <v>90</v>
      </c>
      <c r="O1185" s="212" t="s">
        <v>14</v>
      </c>
      <c r="P1185" s="170" t="s">
        <v>963</v>
      </c>
      <c r="Q1185" s="170" t="s">
        <v>112</v>
      </c>
      <c r="R1185" s="170" t="s">
        <v>113</v>
      </c>
      <c r="S1185" s="170" t="s">
        <v>964</v>
      </c>
      <c r="T1185" s="170" t="s">
        <v>16</v>
      </c>
      <c r="U1185" s="170" t="s">
        <v>965</v>
      </c>
      <c r="V1185" s="170" t="s">
        <v>304</v>
      </c>
      <c r="W1185" s="170" t="s">
        <v>1403</v>
      </c>
    </row>
    <row r="1186" ht="15.75" customHeight="1" spans="1:23">
      <c r="A1186" s="212"/>
      <c r="B1186" s="212"/>
      <c r="C1186" s="212"/>
      <c r="D1186" s="213" t="s">
        <v>102</v>
      </c>
      <c r="E1186" s="213" t="s">
        <v>103</v>
      </c>
      <c r="F1186" s="194"/>
      <c r="G1186" s="194"/>
      <c r="H1186" s="188"/>
      <c r="I1186" s="178" t="s">
        <v>166</v>
      </c>
      <c r="J1186" s="170" t="s">
        <v>108</v>
      </c>
      <c r="K1186" s="200" t="s">
        <v>134</v>
      </c>
      <c r="L1186" s="188">
        <v>5</v>
      </c>
      <c r="M1186" s="178" t="s">
        <v>247</v>
      </c>
      <c r="N1186" s="237" t="s">
        <v>110</v>
      </c>
      <c r="O1186" s="212" t="s">
        <v>14</v>
      </c>
      <c r="P1186" s="170" t="s">
        <v>963</v>
      </c>
      <c r="Q1186" s="170" t="s">
        <v>112</v>
      </c>
      <c r="R1186" s="170" t="s">
        <v>113</v>
      </c>
      <c r="S1186" s="170" t="s">
        <v>964</v>
      </c>
      <c r="T1186" s="170" t="s">
        <v>16</v>
      </c>
      <c r="U1186" s="170" t="s">
        <v>965</v>
      </c>
      <c r="V1186" s="170" t="s">
        <v>304</v>
      </c>
      <c r="W1186" s="170" t="s">
        <v>1404</v>
      </c>
    </row>
    <row r="1187" ht="15.75" customHeight="1" spans="1:23">
      <c r="A1187" s="212"/>
      <c r="B1187" s="212"/>
      <c r="C1187" s="212"/>
      <c r="D1187" s="213" t="s">
        <v>102</v>
      </c>
      <c r="E1187" s="213" t="s">
        <v>103</v>
      </c>
      <c r="F1187" s="194"/>
      <c r="G1187" s="194"/>
      <c r="H1187" s="188" t="s">
        <v>167</v>
      </c>
      <c r="I1187" s="178" t="s">
        <v>168</v>
      </c>
      <c r="J1187" s="170" t="s">
        <v>108</v>
      </c>
      <c r="K1187" s="200" t="s">
        <v>88</v>
      </c>
      <c r="L1187" s="188">
        <v>4</v>
      </c>
      <c r="M1187" s="178" t="s">
        <v>247</v>
      </c>
      <c r="N1187" s="237" t="s">
        <v>90</v>
      </c>
      <c r="O1187" s="212" t="s">
        <v>14</v>
      </c>
      <c r="P1187" s="170" t="s">
        <v>963</v>
      </c>
      <c r="Q1187" s="170" t="s">
        <v>112</v>
      </c>
      <c r="R1187" s="170" t="s">
        <v>113</v>
      </c>
      <c r="S1187" s="170" t="s">
        <v>964</v>
      </c>
      <c r="T1187" s="170" t="s">
        <v>16</v>
      </c>
      <c r="U1187" s="170" t="s">
        <v>965</v>
      </c>
      <c r="V1187" s="170" t="s">
        <v>304</v>
      </c>
      <c r="W1187" s="170" t="s">
        <v>1405</v>
      </c>
    </row>
    <row r="1188" ht="15.75" customHeight="1" spans="1:23">
      <c r="A1188" s="212"/>
      <c r="B1188" s="212"/>
      <c r="C1188" s="212"/>
      <c r="D1188" s="213" t="s">
        <v>102</v>
      </c>
      <c r="E1188" s="213" t="s">
        <v>103</v>
      </c>
      <c r="F1188" s="194"/>
      <c r="G1188" s="194"/>
      <c r="H1188" s="188" t="s">
        <v>218</v>
      </c>
      <c r="I1188" s="188" t="s">
        <v>316</v>
      </c>
      <c r="J1188" s="170" t="s">
        <v>108</v>
      </c>
      <c r="K1188" s="200" t="s">
        <v>88</v>
      </c>
      <c r="L1188" s="188">
        <v>4</v>
      </c>
      <c r="M1188" s="188" t="s">
        <v>1406</v>
      </c>
      <c r="N1188" s="237" t="s">
        <v>90</v>
      </c>
      <c r="O1188" s="212" t="s">
        <v>14</v>
      </c>
      <c r="P1188" s="170" t="s">
        <v>963</v>
      </c>
      <c r="Q1188" s="170" t="s">
        <v>112</v>
      </c>
      <c r="R1188" s="170" t="s">
        <v>113</v>
      </c>
      <c r="S1188" s="170" t="s">
        <v>964</v>
      </c>
      <c r="T1188" s="170" t="s">
        <v>16</v>
      </c>
      <c r="U1188" s="170" t="s">
        <v>965</v>
      </c>
      <c r="V1188" s="170" t="s">
        <v>304</v>
      </c>
      <c r="W1188" s="170" t="s">
        <v>1407</v>
      </c>
    </row>
    <row r="1189" ht="25.5" customHeight="1" spans="1:23">
      <c r="A1189" s="212"/>
      <c r="B1189" s="212"/>
      <c r="C1189" s="212"/>
      <c r="D1189" s="213" t="s">
        <v>102</v>
      </c>
      <c r="E1189" s="213" t="s">
        <v>103</v>
      </c>
      <c r="F1189" s="194"/>
      <c r="G1189" s="194"/>
      <c r="H1189" s="188"/>
      <c r="I1189" s="188" t="s">
        <v>219</v>
      </c>
      <c r="J1189" s="170" t="s">
        <v>108</v>
      </c>
      <c r="K1189" s="237" t="s">
        <v>93</v>
      </c>
      <c r="L1189" s="188">
        <v>8</v>
      </c>
      <c r="M1189" s="178" t="s">
        <v>1389</v>
      </c>
      <c r="N1189" s="237" t="s">
        <v>90</v>
      </c>
      <c r="O1189" s="212" t="s">
        <v>14</v>
      </c>
      <c r="P1189" s="170" t="s">
        <v>963</v>
      </c>
      <c r="Q1189" s="170" t="s">
        <v>112</v>
      </c>
      <c r="R1189" s="170" t="s">
        <v>113</v>
      </c>
      <c r="S1189" s="170" t="s">
        <v>964</v>
      </c>
      <c r="T1189" s="170" t="s">
        <v>16</v>
      </c>
      <c r="U1189" s="170" t="s">
        <v>965</v>
      </c>
      <c r="V1189" s="170" t="s">
        <v>304</v>
      </c>
      <c r="W1189" s="170" t="s">
        <v>1408</v>
      </c>
    </row>
    <row r="1190" ht="15.75" customHeight="1" spans="1:23">
      <c r="A1190" s="212"/>
      <c r="B1190" s="212"/>
      <c r="C1190" s="212"/>
      <c r="D1190" s="213" t="s">
        <v>102</v>
      </c>
      <c r="E1190" s="213" t="s">
        <v>103</v>
      </c>
      <c r="F1190" s="194"/>
      <c r="G1190" s="194"/>
      <c r="H1190" s="188"/>
      <c r="I1190" s="178" t="s">
        <v>294</v>
      </c>
      <c r="J1190" s="170" t="s">
        <v>108</v>
      </c>
      <c r="K1190" s="237" t="s">
        <v>134</v>
      </c>
      <c r="L1190" s="188">
        <v>6</v>
      </c>
      <c r="M1190" s="178" t="s">
        <v>135</v>
      </c>
      <c r="N1190" s="237" t="s">
        <v>90</v>
      </c>
      <c r="O1190" s="212" t="s">
        <v>14</v>
      </c>
      <c r="P1190" s="170" t="s">
        <v>963</v>
      </c>
      <c r="Q1190" s="170" t="s">
        <v>112</v>
      </c>
      <c r="R1190" s="170" t="s">
        <v>113</v>
      </c>
      <c r="S1190" s="170" t="s">
        <v>964</v>
      </c>
      <c r="T1190" s="170" t="s">
        <v>16</v>
      </c>
      <c r="U1190" s="170" t="s">
        <v>965</v>
      </c>
      <c r="V1190" s="170" t="s">
        <v>304</v>
      </c>
      <c r="W1190" s="170" t="s">
        <v>1409</v>
      </c>
    </row>
    <row r="1191" ht="15.75" customHeight="1" spans="1:23">
      <c r="A1191" s="212"/>
      <c r="B1191" s="212"/>
      <c r="C1191" s="212"/>
      <c r="D1191" s="213" t="s">
        <v>102</v>
      </c>
      <c r="E1191" s="213" t="s">
        <v>103</v>
      </c>
      <c r="F1191" s="194"/>
      <c r="G1191" s="194"/>
      <c r="H1191" s="188" t="s">
        <v>119</v>
      </c>
      <c r="I1191" s="188" t="s">
        <v>120</v>
      </c>
      <c r="J1191" s="170" t="s">
        <v>108</v>
      </c>
      <c r="K1191" s="237" t="s">
        <v>93</v>
      </c>
      <c r="L1191" s="188">
        <v>5</v>
      </c>
      <c r="M1191" s="188" t="s">
        <v>98</v>
      </c>
      <c r="N1191" s="237" t="s">
        <v>99</v>
      </c>
      <c r="O1191" s="212" t="s">
        <v>14</v>
      </c>
      <c r="P1191" s="170" t="s">
        <v>963</v>
      </c>
      <c r="Q1191" s="170" t="s">
        <v>112</v>
      </c>
      <c r="R1191" s="170" t="s">
        <v>113</v>
      </c>
      <c r="S1191" s="170" t="s">
        <v>964</v>
      </c>
      <c r="T1191" s="170" t="s">
        <v>16</v>
      </c>
      <c r="U1191" s="170" t="s">
        <v>965</v>
      </c>
      <c r="V1191" s="170" t="s">
        <v>304</v>
      </c>
      <c r="W1191" s="170" t="s">
        <v>1410</v>
      </c>
    </row>
    <row r="1192" ht="15.75" customHeight="1" spans="1:23">
      <c r="A1192" s="212"/>
      <c r="B1192" s="212"/>
      <c r="C1192" s="212"/>
      <c r="D1192" s="213" t="s">
        <v>102</v>
      </c>
      <c r="E1192" s="213" t="s">
        <v>103</v>
      </c>
      <c r="F1192" s="194"/>
      <c r="G1192" s="194"/>
      <c r="H1192" s="188"/>
      <c r="I1192" s="178" t="s">
        <v>211</v>
      </c>
      <c r="J1192" s="170" t="s">
        <v>108</v>
      </c>
      <c r="K1192" s="200" t="s">
        <v>93</v>
      </c>
      <c r="L1192" s="188">
        <v>5</v>
      </c>
      <c r="M1192" s="188" t="s">
        <v>98</v>
      </c>
      <c r="N1192" s="237" t="s">
        <v>99</v>
      </c>
      <c r="O1192" s="212" t="s">
        <v>14</v>
      </c>
      <c r="P1192" s="170" t="s">
        <v>963</v>
      </c>
      <c r="Q1192" s="170" t="s">
        <v>112</v>
      </c>
      <c r="R1192" s="170" t="s">
        <v>113</v>
      </c>
      <c r="S1192" s="170" t="s">
        <v>964</v>
      </c>
      <c r="T1192" s="170" t="s">
        <v>16</v>
      </c>
      <c r="U1192" s="170" t="s">
        <v>965</v>
      </c>
      <c r="V1192" s="170" t="s">
        <v>304</v>
      </c>
      <c r="W1192" s="170" t="s">
        <v>1411</v>
      </c>
    </row>
    <row r="1193" ht="15.75" customHeight="1" spans="1:23">
      <c r="A1193" s="212"/>
      <c r="B1193" s="212"/>
      <c r="C1193" s="212"/>
      <c r="D1193" s="213" t="s">
        <v>102</v>
      </c>
      <c r="E1193" s="213" t="s">
        <v>103</v>
      </c>
      <c r="F1193" s="194"/>
      <c r="G1193" s="194"/>
      <c r="H1193" s="188"/>
      <c r="I1193" s="178" t="s">
        <v>212</v>
      </c>
      <c r="J1193" s="170" t="s">
        <v>108</v>
      </c>
      <c r="K1193" s="237" t="s">
        <v>93</v>
      </c>
      <c r="L1193" s="188">
        <v>4</v>
      </c>
      <c r="M1193" s="188" t="s">
        <v>98</v>
      </c>
      <c r="N1193" s="237" t="s">
        <v>99</v>
      </c>
      <c r="O1193" s="212" t="s">
        <v>14</v>
      </c>
      <c r="P1193" s="170" t="s">
        <v>963</v>
      </c>
      <c r="Q1193" s="170" t="s">
        <v>112</v>
      </c>
      <c r="R1193" s="170" t="s">
        <v>113</v>
      </c>
      <c r="S1193" s="170" t="s">
        <v>964</v>
      </c>
      <c r="T1193" s="170" t="s">
        <v>16</v>
      </c>
      <c r="U1193" s="170" t="s">
        <v>965</v>
      </c>
      <c r="V1193" s="170" t="s">
        <v>304</v>
      </c>
      <c r="W1193" s="170" t="s">
        <v>1412</v>
      </c>
    </row>
    <row r="1194" ht="15.75" customHeight="1" spans="1:23">
      <c r="A1194" s="211"/>
      <c r="B1194" s="211"/>
      <c r="C1194" s="211"/>
      <c r="D1194" s="256" t="s">
        <v>102</v>
      </c>
      <c r="E1194" s="256" t="s">
        <v>103</v>
      </c>
      <c r="F1194" s="257"/>
      <c r="G1194" s="257"/>
      <c r="H1194" s="258"/>
      <c r="I1194" s="259" t="s">
        <v>296</v>
      </c>
      <c r="J1194" s="170" t="s">
        <v>108</v>
      </c>
      <c r="K1194" s="260" t="s">
        <v>93</v>
      </c>
      <c r="L1194" s="258">
        <v>4</v>
      </c>
      <c r="M1194" s="258" t="s">
        <v>98</v>
      </c>
      <c r="N1194" s="260" t="s">
        <v>99</v>
      </c>
      <c r="O1194" s="211" t="s">
        <v>14</v>
      </c>
      <c r="P1194" s="170" t="s">
        <v>963</v>
      </c>
      <c r="Q1194" s="170" t="s">
        <v>112</v>
      </c>
      <c r="R1194" s="170" t="s">
        <v>113</v>
      </c>
      <c r="S1194" s="170" t="s">
        <v>964</v>
      </c>
      <c r="T1194" s="170" t="s">
        <v>16</v>
      </c>
      <c r="U1194" s="170" t="s">
        <v>965</v>
      </c>
      <c r="V1194" s="170" t="s">
        <v>304</v>
      </c>
      <c r="W1194" s="170" t="s">
        <v>1413</v>
      </c>
    </row>
    <row r="1195" customHeight="1" spans="1:23">
      <c r="A1195" s="212" t="s">
        <v>1414</v>
      </c>
      <c r="B1195" s="212" t="s">
        <v>1415</v>
      </c>
      <c r="C1195" s="212" t="s">
        <v>173</v>
      </c>
      <c r="D1195" s="213" t="s">
        <v>102</v>
      </c>
      <c r="E1195" s="213" t="s">
        <v>154</v>
      </c>
      <c r="F1195" s="172" t="s">
        <v>1416</v>
      </c>
      <c r="G1195" s="172" t="s">
        <v>1417</v>
      </c>
      <c r="H1195" s="11" t="s">
        <v>85</v>
      </c>
      <c r="I1195" s="221" t="s">
        <v>86</v>
      </c>
      <c r="J1195" s="170" t="s">
        <v>87</v>
      </c>
      <c r="K1195" s="132" t="s">
        <v>134</v>
      </c>
      <c r="L1195" s="17">
        <v>10</v>
      </c>
      <c r="M1195" s="17" t="s">
        <v>89</v>
      </c>
      <c r="N1195" s="261" t="s">
        <v>110</v>
      </c>
      <c r="O1195" s="212" t="s">
        <v>14</v>
      </c>
      <c r="P1195" s="170" t="s">
        <v>963</v>
      </c>
      <c r="Q1195" s="170" t="s">
        <v>112</v>
      </c>
      <c r="R1195" s="170" t="s">
        <v>113</v>
      </c>
      <c r="S1195" s="170" t="s">
        <v>964</v>
      </c>
      <c r="T1195" s="170" t="s">
        <v>16</v>
      </c>
      <c r="U1195" s="170" t="s">
        <v>965</v>
      </c>
      <c r="V1195" s="170" t="s">
        <v>304</v>
      </c>
      <c r="W1195" s="170" t="s">
        <v>1418</v>
      </c>
    </row>
    <row r="1196" ht="15.75" customHeight="1" spans="1:23">
      <c r="A1196" s="212"/>
      <c r="B1196" s="212"/>
      <c r="C1196" s="212"/>
      <c r="D1196" s="213" t="s">
        <v>102</v>
      </c>
      <c r="E1196" s="213" t="s">
        <v>103</v>
      </c>
      <c r="F1196" s="172"/>
      <c r="G1196" s="170"/>
      <c r="H1196" s="11"/>
      <c r="I1196" s="242" t="s">
        <v>209</v>
      </c>
      <c r="J1196" s="170" t="s">
        <v>108</v>
      </c>
      <c r="K1196" s="17" t="s">
        <v>93</v>
      </c>
      <c r="L1196" s="17">
        <v>20</v>
      </c>
      <c r="M1196" s="17" t="s">
        <v>279</v>
      </c>
      <c r="N1196" s="17" t="s">
        <v>110</v>
      </c>
      <c r="O1196" s="212" t="s">
        <v>14</v>
      </c>
      <c r="P1196" s="170" t="s">
        <v>963</v>
      </c>
      <c r="Q1196" s="170" t="s">
        <v>112</v>
      </c>
      <c r="R1196" s="170" t="s">
        <v>113</v>
      </c>
      <c r="S1196" s="170" t="s">
        <v>964</v>
      </c>
      <c r="T1196" s="170" t="s">
        <v>16</v>
      </c>
      <c r="U1196" s="170" t="s">
        <v>965</v>
      </c>
      <c r="V1196" s="170" t="s">
        <v>304</v>
      </c>
      <c r="W1196" s="170" t="s">
        <v>1419</v>
      </c>
    </row>
    <row r="1197" customHeight="1" spans="1:23">
      <c r="A1197" s="212"/>
      <c r="B1197" s="212"/>
      <c r="C1197" s="212"/>
      <c r="D1197" s="213" t="s">
        <v>102</v>
      </c>
      <c r="E1197" s="213" t="s">
        <v>103</v>
      </c>
      <c r="F1197" s="172"/>
      <c r="G1197" s="172"/>
      <c r="H1197" s="11"/>
      <c r="I1197" s="242" t="s">
        <v>267</v>
      </c>
      <c r="J1197" s="170" t="s">
        <v>87</v>
      </c>
      <c r="K1197" s="132" t="s">
        <v>134</v>
      </c>
      <c r="L1197" s="17">
        <v>5</v>
      </c>
      <c r="M1197" s="17" t="s">
        <v>89</v>
      </c>
      <c r="N1197" s="261" t="s">
        <v>110</v>
      </c>
      <c r="O1197" s="212" t="s">
        <v>14</v>
      </c>
      <c r="P1197" s="170" t="s">
        <v>963</v>
      </c>
      <c r="Q1197" s="170" t="s">
        <v>112</v>
      </c>
      <c r="R1197" s="170" t="s">
        <v>113</v>
      </c>
      <c r="S1197" s="170" t="s">
        <v>964</v>
      </c>
      <c r="T1197" s="170" t="s">
        <v>16</v>
      </c>
      <c r="U1197" s="170" t="s">
        <v>965</v>
      </c>
      <c r="V1197" s="170" t="s">
        <v>304</v>
      </c>
      <c r="W1197" s="170" t="s">
        <v>1420</v>
      </c>
    </row>
    <row r="1198" ht="15.75" customHeight="1" spans="1:23">
      <c r="A1198" s="212"/>
      <c r="B1198" s="212"/>
      <c r="C1198" s="212"/>
      <c r="D1198" s="213" t="s">
        <v>102</v>
      </c>
      <c r="E1198" s="213" t="s">
        <v>103</v>
      </c>
      <c r="F1198" s="172"/>
      <c r="G1198" s="170"/>
      <c r="H1198" s="11"/>
      <c r="I1198" s="242" t="s">
        <v>183</v>
      </c>
      <c r="J1198" s="170" t="s">
        <v>108</v>
      </c>
      <c r="K1198" s="17" t="s">
        <v>93</v>
      </c>
      <c r="L1198" s="17">
        <v>25</v>
      </c>
      <c r="M1198" s="17" t="s">
        <v>98</v>
      </c>
      <c r="N1198" s="17" t="s">
        <v>99</v>
      </c>
      <c r="O1198" s="212" t="s">
        <v>14</v>
      </c>
      <c r="P1198" s="170" t="s">
        <v>963</v>
      </c>
      <c r="Q1198" s="170" t="s">
        <v>112</v>
      </c>
      <c r="R1198" s="170" t="s">
        <v>113</v>
      </c>
      <c r="S1198" s="170" t="s">
        <v>964</v>
      </c>
      <c r="T1198" s="170" t="s">
        <v>16</v>
      </c>
      <c r="U1198" s="170" t="s">
        <v>965</v>
      </c>
      <c r="V1198" s="170" t="s">
        <v>304</v>
      </c>
      <c r="W1198" s="170" t="s">
        <v>1421</v>
      </c>
    </row>
    <row r="1199" ht="15.75" customHeight="1" spans="1:23">
      <c r="A1199" s="212"/>
      <c r="B1199" s="212"/>
      <c r="C1199" s="212"/>
      <c r="D1199" s="213" t="s">
        <v>102</v>
      </c>
      <c r="E1199" s="213" t="s">
        <v>103</v>
      </c>
      <c r="F1199" s="172"/>
      <c r="G1199" s="170"/>
      <c r="H1199" s="11"/>
      <c r="I1199" s="242" t="s">
        <v>192</v>
      </c>
      <c r="J1199" s="170" t="s">
        <v>108</v>
      </c>
      <c r="K1199" s="17" t="s">
        <v>93</v>
      </c>
      <c r="L1199" s="17">
        <v>3</v>
      </c>
      <c r="M1199" s="17" t="s">
        <v>98</v>
      </c>
      <c r="N1199" s="17" t="s">
        <v>99</v>
      </c>
      <c r="O1199" s="212" t="s">
        <v>14</v>
      </c>
      <c r="P1199" s="170" t="s">
        <v>963</v>
      </c>
      <c r="Q1199" s="170" t="s">
        <v>112</v>
      </c>
      <c r="R1199" s="170" t="s">
        <v>113</v>
      </c>
      <c r="S1199" s="170" t="s">
        <v>964</v>
      </c>
      <c r="T1199" s="170" t="s">
        <v>16</v>
      </c>
      <c r="U1199" s="170" t="s">
        <v>965</v>
      </c>
      <c r="V1199" s="170" t="s">
        <v>304</v>
      </c>
      <c r="W1199" s="170" t="s">
        <v>1422</v>
      </c>
    </row>
    <row r="1200" customHeight="1" spans="1:23">
      <c r="A1200" s="212"/>
      <c r="B1200" s="212"/>
      <c r="C1200" s="212"/>
      <c r="D1200" s="213" t="s">
        <v>102</v>
      </c>
      <c r="E1200" s="213" t="s">
        <v>103</v>
      </c>
      <c r="F1200" s="172"/>
      <c r="G1200" s="172"/>
      <c r="H1200" s="11" t="s">
        <v>91</v>
      </c>
      <c r="I1200" s="221" t="s">
        <v>92</v>
      </c>
      <c r="J1200" s="170" t="s">
        <v>87</v>
      </c>
      <c r="K1200" s="132" t="s">
        <v>134</v>
      </c>
      <c r="L1200" s="17">
        <v>10</v>
      </c>
      <c r="M1200" s="17" t="s">
        <v>1423</v>
      </c>
      <c r="N1200" s="261" t="s">
        <v>110</v>
      </c>
      <c r="O1200" s="212" t="s">
        <v>14</v>
      </c>
      <c r="P1200" s="170" t="s">
        <v>963</v>
      </c>
      <c r="Q1200" s="170" t="s">
        <v>112</v>
      </c>
      <c r="R1200" s="170" t="s">
        <v>113</v>
      </c>
      <c r="S1200" s="170" t="s">
        <v>964</v>
      </c>
      <c r="T1200" s="170" t="s">
        <v>16</v>
      </c>
      <c r="U1200" s="170" t="s">
        <v>965</v>
      </c>
      <c r="V1200" s="170" t="s">
        <v>304</v>
      </c>
      <c r="W1200" s="170" t="s">
        <v>1424</v>
      </c>
    </row>
    <row r="1201" customHeight="1" spans="1:23">
      <c r="A1201" s="212"/>
      <c r="B1201" s="212"/>
      <c r="C1201" s="212"/>
      <c r="D1201" s="213" t="s">
        <v>102</v>
      </c>
      <c r="E1201" s="213" t="s">
        <v>103</v>
      </c>
      <c r="F1201" s="172"/>
      <c r="G1201" s="172"/>
      <c r="H1201" s="11"/>
      <c r="I1201" s="242" t="s">
        <v>328</v>
      </c>
      <c r="J1201" s="170" t="s">
        <v>87</v>
      </c>
      <c r="K1201" s="17" t="s">
        <v>88</v>
      </c>
      <c r="L1201" s="17">
        <v>5</v>
      </c>
      <c r="M1201" s="17" t="s">
        <v>98</v>
      </c>
      <c r="N1201" s="17" t="s">
        <v>99</v>
      </c>
      <c r="O1201" s="212" t="s">
        <v>14</v>
      </c>
      <c r="P1201" s="170" t="s">
        <v>963</v>
      </c>
      <c r="Q1201" s="170" t="s">
        <v>112</v>
      </c>
      <c r="R1201" s="170" t="s">
        <v>113</v>
      </c>
      <c r="S1201" s="170" t="s">
        <v>964</v>
      </c>
      <c r="T1201" s="170" t="s">
        <v>16</v>
      </c>
      <c r="U1201" s="170" t="s">
        <v>965</v>
      </c>
      <c r="V1201" s="170" t="s">
        <v>304</v>
      </c>
      <c r="W1201" s="170" t="s">
        <v>1425</v>
      </c>
    </row>
    <row r="1202" ht="15.75" customHeight="1" spans="1:23">
      <c r="A1202" s="212"/>
      <c r="B1202" s="212"/>
      <c r="C1202" s="212"/>
      <c r="D1202" s="213" t="s">
        <v>102</v>
      </c>
      <c r="E1202" s="213" t="s">
        <v>103</v>
      </c>
      <c r="F1202" s="172"/>
      <c r="G1202" s="170"/>
      <c r="H1202" s="11"/>
      <c r="I1202" s="242" t="s">
        <v>475</v>
      </c>
      <c r="J1202" s="170" t="s">
        <v>108</v>
      </c>
      <c r="K1202" s="17" t="s">
        <v>88</v>
      </c>
      <c r="L1202" s="17">
        <v>2</v>
      </c>
      <c r="M1202" s="17" t="s">
        <v>279</v>
      </c>
      <c r="N1202" s="261" t="s">
        <v>110</v>
      </c>
      <c r="O1202" s="212" t="s">
        <v>14</v>
      </c>
      <c r="P1202" s="170" t="s">
        <v>963</v>
      </c>
      <c r="Q1202" s="170" t="s">
        <v>112</v>
      </c>
      <c r="R1202" s="170" t="s">
        <v>113</v>
      </c>
      <c r="S1202" s="170" t="s">
        <v>964</v>
      </c>
      <c r="T1202" s="170" t="s">
        <v>16</v>
      </c>
      <c r="U1202" s="170" t="s">
        <v>965</v>
      </c>
      <c r="V1202" s="170" t="s">
        <v>304</v>
      </c>
      <c r="W1202" s="170" t="s">
        <v>1426</v>
      </c>
    </row>
    <row r="1203" ht="15.75" customHeight="1" spans="1:23">
      <c r="A1203" s="212"/>
      <c r="B1203" s="212"/>
      <c r="C1203" s="212"/>
      <c r="D1203" s="213" t="s">
        <v>102</v>
      </c>
      <c r="E1203" s="213" t="s">
        <v>103</v>
      </c>
      <c r="F1203" s="172"/>
      <c r="G1203" s="170"/>
      <c r="H1203" s="11" t="s">
        <v>132</v>
      </c>
      <c r="I1203" s="221" t="s">
        <v>133</v>
      </c>
      <c r="J1203" s="170" t="s">
        <v>108</v>
      </c>
      <c r="K1203" s="132" t="s">
        <v>134</v>
      </c>
      <c r="L1203" s="17">
        <v>10</v>
      </c>
      <c r="M1203" s="17" t="s">
        <v>1142</v>
      </c>
      <c r="N1203" s="261" t="s">
        <v>110</v>
      </c>
      <c r="O1203" s="212" t="s">
        <v>14</v>
      </c>
      <c r="P1203" s="170" t="s">
        <v>963</v>
      </c>
      <c r="Q1203" s="170" t="s">
        <v>112</v>
      </c>
      <c r="R1203" s="170" t="s">
        <v>113</v>
      </c>
      <c r="S1203" s="170" t="s">
        <v>964</v>
      </c>
      <c r="T1203" s="170" t="s">
        <v>16</v>
      </c>
      <c r="U1203" s="170" t="s">
        <v>965</v>
      </c>
      <c r="V1203" s="170" t="s">
        <v>304</v>
      </c>
      <c r="W1203" s="170" t="s">
        <v>1427</v>
      </c>
    </row>
    <row r="1204" customHeight="1" spans="1:23">
      <c r="A1204" s="212"/>
      <c r="B1204" s="212"/>
      <c r="C1204" s="212"/>
      <c r="D1204" s="213" t="s">
        <v>102</v>
      </c>
      <c r="E1204" s="213" t="s">
        <v>103</v>
      </c>
      <c r="F1204" s="172"/>
      <c r="G1204" s="172"/>
      <c r="H1204" s="11" t="s">
        <v>132</v>
      </c>
      <c r="I1204" s="242" t="s">
        <v>480</v>
      </c>
      <c r="J1204" s="170" t="s">
        <v>87</v>
      </c>
      <c r="K1204" s="132" t="s">
        <v>134</v>
      </c>
      <c r="L1204" s="17">
        <v>10</v>
      </c>
      <c r="M1204" s="17" t="s">
        <v>1142</v>
      </c>
      <c r="N1204" s="261" t="s">
        <v>110</v>
      </c>
      <c r="O1204" s="212" t="s">
        <v>14</v>
      </c>
      <c r="P1204" s="170" t="s">
        <v>963</v>
      </c>
      <c r="Q1204" s="170" t="s">
        <v>112</v>
      </c>
      <c r="R1204" s="170" t="s">
        <v>113</v>
      </c>
      <c r="S1204" s="170" t="s">
        <v>964</v>
      </c>
      <c r="T1204" s="170" t="s">
        <v>16</v>
      </c>
      <c r="U1204" s="170" t="s">
        <v>965</v>
      </c>
      <c r="V1204" s="170" t="s">
        <v>304</v>
      </c>
      <c r="W1204" s="170" t="s">
        <v>1428</v>
      </c>
    </row>
    <row r="1205" ht="15.75" customHeight="1" spans="1:23">
      <c r="A1205" s="212"/>
      <c r="B1205" s="212"/>
      <c r="C1205" s="212"/>
      <c r="D1205" s="213" t="s">
        <v>102</v>
      </c>
      <c r="E1205" s="213" t="s">
        <v>103</v>
      </c>
      <c r="F1205" s="172"/>
      <c r="G1205" s="170"/>
      <c r="H1205" s="11" t="s">
        <v>254</v>
      </c>
      <c r="I1205" s="221" t="s">
        <v>255</v>
      </c>
      <c r="J1205" s="170" t="s">
        <v>108</v>
      </c>
      <c r="K1205" s="132" t="s">
        <v>134</v>
      </c>
      <c r="L1205" s="17">
        <v>20</v>
      </c>
      <c r="M1205" s="17" t="s">
        <v>98</v>
      </c>
      <c r="N1205" s="17" t="s">
        <v>99</v>
      </c>
      <c r="O1205" s="212" t="s">
        <v>14</v>
      </c>
      <c r="P1205" s="170" t="s">
        <v>963</v>
      </c>
      <c r="Q1205" s="170" t="s">
        <v>112</v>
      </c>
      <c r="R1205" s="170" t="s">
        <v>113</v>
      </c>
      <c r="S1205" s="170" t="s">
        <v>964</v>
      </c>
      <c r="T1205" s="170" t="s">
        <v>16</v>
      </c>
      <c r="U1205" s="170" t="s">
        <v>965</v>
      </c>
      <c r="V1205" s="170" t="s">
        <v>304</v>
      </c>
      <c r="W1205" s="170" t="s">
        <v>1429</v>
      </c>
    </row>
    <row r="1206" customHeight="1" spans="1:23">
      <c r="A1206" s="212"/>
      <c r="B1206" s="212"/>
      <c r="C1206" s="212"/>
      <c r="D1206" s="213" t="s">
        <v>102</v>
      </c>
      <c r="E1206" s="213" t="s">
        <v>103</v>
      </c>
      <c r="F1206" s="172"/>
      <c r="G1206" s="172"/>
      <c r="H1206" s="11" t="s">
        <v>254</v>
      </c>
      <c r="I1206" s="242" t="s">
        <v>286</v>
      </c>
      <c r="J1206" s="170" t="s">
        <v>87</v>
      </c>
      <c r="K1206" s="132" t="s">
        <v>134</v>
      </c>
      <c r="L1206" s="17">
        <v>20</v>
      </c>
      <c r="M1206" s="17" t="s">
        <v>98</v>
      </c>
      <c r="N1206" s="17" t="s">
        <v>99</v>
      </c>
      <c r="O1206" s="212" t="s">
        <v>14</v>
      </c>
      <c r="P1206" s="170" t="s">
        <v>963</v>
      </c>
      <c r="Q1206" s="170" t="s">
        <v>112</v>
      </c>
      <c r="R1206" s="170" t="s">
        <v>113</v>
      </c>
      <c r="S1206" s="170" t="s">
        <v>964</v>
      </c>
      <c r="T1206" s="170" t="s">
        <v>16</v>
      </c>
      <c r="U1206" s="170" t="s">
        <v>965</v>
      </c>
      <c r="V1206" s="170" t="s">
        <v>304</v>
      </c>
      <c r="W1206" s="170" t="s">
        <v>1430</v>
      </c>
    </row>
    <row r="1207" ht="15.75" customHeight="1" spans="1:23">
      <c r="A1207" s="212"/>
      <c r="B1207" s="212"/>
      <c r="C1207" s="212"/>
      <c r="D1207" s="213" t="s">
        <v>102</v>
      </c>
      <c r="E1207" s="213" t="s">
        <v>103</v>
      </c>
      <c r="F1207" s="172"/>
      <c r="G1207" s="170"/>
      <c r="H1207" s="11" t="s">
        <v>157</v>
      </c>
      <c r="I1207" s="242" t="s">
        <v>284</v>
      </c>
      <c r="J1207" s="170" t="s">
        <v>108</v>
      </c>
      <c r="K1207" s="17" t="s">
        <v>88</v>
      </c>
      <c r="L1207" s="17">
        <v>10</v>
      </c>
      <c r="M1207" s="17" t="s">
        <v>279</v>
      </c>
      <c r="N1207" s="17" t="s">
        <v>110</v>
      </c>
      <c r="O1207" s="212" t="s">
        <v>14</v>
      </c>
      <c r="P1207" s="170" t="s">
        <v>963</v>
      </c>
      <c r="Q1207" s="170" t="s">
        <v>112</v>
      </c>
      <c r="R1207" s="170" t="s">
        <v>113</v>
      </c>
      <c r="S1207" s="170" t="s">
        <v>964</v>
      </c>
      <c r="T1207" s="170" t="s">
        <v>16</v>
      </c>
      <c r="U1207" s="170" t="s">
        <v>965</v>
      </c>
      <c r="V1207" s="170" t="s">
        <v>304</v>
      </c>
      <c r="W1207" s="170" t="s">
        <v>1431</v>
      </c>
    </row>
    <row r="1208" ht="15.75" customHeight="1" spans="1:23">
      <c r="A1208" s="212"/>
      <c r="B1208" s="212"/>
      <c r="C1208" s="212"/>
      <c r="D1208" s="213" t="s">
        <v>102</v>
      </c>
      <c r="E1208" s="213" t="s">
        <v>103</v>
      </c>
      <c r="F1208" s="172"/>
      <c r="G1208" s="170"/>
      <c r="H1208" s="11" t="s">
        <v>95</v>
      </c>
      <c r="I1208" s="221" t="s">
        <v>285</v>
      </c>
      <c r="J1208" s="170" t="s">
        <v>108</v>
      </c>
      <c r="K1208" s="17" t="s">
        <v>88</v>
      </c>
      <c r="L1208" s="17">
        <v>5</v>
      </c>
      <c r="M1208" s="17" t="s">
        <v>1432</v>
      </c>
      <c r="N1208" s="17" t="s">
        <v>110</v>
      </c>
      <c r="O1208" s="212" t="s">
        <v>14</v>
      </c>
      <c r="P1208" s="170" t="s">
        <v>963</v>
      </c>
      <c r="Q1208" s="170" t="s">
        <v>112</v>
      </c>
      <c r="R1208" s="170" t="s">
        <v>113</v>
      </c>
      <c r="S1208" s="170" t="s">
        <v>964</v>
      </c>
      <c r="T1208" s="170" t="s">
        <v>16</v>
      </c>
      <c r="U1208" s="170" t="s">
        <v>965</v>
      </c>
      <c r="V1208" s="170" t="s">
        <v>304</v>
      </c>
      <c r="W1208" s="170" t="s">
        <v>1433</v>
      </c>
    </row>
    <row r="1209" ht="15.75" customHeight="1" spans="1:23">
      <c r="A1209" s="212"/>
      <c r="B1209" s="212"/>
      <c r="C1209" s="212"/>
      <c r="D1209" s="213" t="s">
        <v>102</v>
      </c>
      <c r="E1209" s="213" t="s">
        <v>103</v>
      </c>
      <c r="F1209" s="172"/>
      <c r="G1209" s="170"/>
      <c r="H1209" s="11" t="s">
        <v>218</v>
      </c>
      <c r="I1209" s="242" t="s">
        <v>219</v>
      </c>
      <c r="J1209" s="170" t="s">
        <v>108</v>
      </c>
      <c r="K1209" s="17" t="s">
        <v>134</v>
      </c>
      <c r="L1209" s="17">
        <v>10</v>
      </c>
      <c r="M1209" s="17" t="s">
        <v>1142</v>
      </c>
      <c r="N1209" s="17" t="s">
        <v>110</v>
      </c>
      <c r="O1209" s="212" t="s">
        <v>14</v>
      </c>
      <c r="P1209" s="170" t="s">
        <v>963</v>
      </c>
      <c r="Q1209" s="170" t="s">
        <v>112</v>
      </c>
      <c r="R1209" s="170" t="s">
        <v>113</v>
      </c>
      <c r="S1209" s="170" t="s">
        <v>964</v>
      </c>
      <c r="T1209" s="170" t="s">
        <v>16</v>
      </c>
      <c r="U1209" s="170" t="s">
        <v>965</v>
      </c>
      <c r="V1209" s="170" t="s">
        <v>304</v>
      </c>
      <c r="W1209" s="170" t="s">
        <v>1434</v>
      </c>
    </row>
    <row r="1210" ht="15.75" customHeight="1" spans="1:23">
      <c r="A1210" s="212"/>
      <c r="B1210" s="212"/>
      <c r="C1210" s="212"/>
      <c r="D1210" s="213" t="s">
        <v>102</v>
      </c>
      <c r="E1210" s="213" t="s">
        <v>103</v>
      </c>
      <c r="F1210" s="172"/>
      <c r="G1210" s="170"/>
      <c r="H1210" s="11" t="s">
        <v>119</v>
      </c>
      <c r="I1210" s="221" t="s">
        <v>120</v>
      </c>
      <c r="J1210" s="170" t="s">
        <v>108</v>
      </c>
      <c r="K1210" s="17" t="s">
        <v>93</v>
      </c>
      <c r="L1210" s="17">
        <v>5</v>
      </c>
      <c r="M1210" s="17" t="s">
        <v>98</v>
      </c>
      <c r="N1210" s="17" t="s">
        <v>99</v>
      </c>
      <c r="O1210" s="212" t="s">
        <v>14</v>
      </c>
      <c r="P1210" s="170" t="s">
        <v>963</v>
      </c>
      <c r="Q1210" s="170" t="s">
        <v>112</v>
      </c>
      <c r="R1210" s="170" t="s">
        <v>113</v>
      </c>
      <c r="S1210" s="170" t="s">
        <v>964</v>
      </c>
      <c r="T1210" s="170" t="s">
        <v>16</v>
      </c>
      <c r="U1210" s="170" t="s">
        <v>965</v>
      </c>
      <c r="V1210" s="170" t="s">
        <v>304</v>
      </c>
      <c r="W1210" s="170" t="s">
        <v>1435</v>
      </c>
    </row>
    <row r="1211" ht="15.75" customHeight="1" spans="1:23">
      <c r="A1211" s="212"/>
      <c r="B1211" s="212"/>
      <c r="C1211" s="212"/>
      <c r="D1211" s="213" t="s">
        <v>102</v>
      </c>
      <c r="E1211" s="213" t="s">
        <v>103</v>
      </c>
      <c r="F1211" s="172"/>
      <c r="G1211" s="170"/>
      <c r="H1211" s="11" t="s">
        <v>141</v>
      </c>
      <c r="I1211" s="242" t="s">
        <v>763</v>
      </c>
      <c r="J1211" s="170" t="s">
        <v>108</v>
      </c>
      <c r="K1211" s="17" t="s">
        <v>134</v>
      </c>
      <c r="L1211" s="17">
        <v>10</v>
      </c>
      <c r="M1211" s="17" t="s">
        <v>1142</v>
      </c>
      <c r="N1211" s="17" t="s">
        <v>110</v>
      </c>
      <c r="O1211" s="212" t="s">
        <v>14</v>
      </c>
      <c r="P1211" s="170" t="s">
        <v>963</v>
      </c>
      <c r="Q1211" s="170" t="s">
        <v>112</v>
      </c>
      <c r="R1211" s="170" t="s">
        <v>113</v>
      </c>
      <c r="S1211" s="170" t="s">
        <v>964</v>
      </c>
      <c r="T1211" s="170" t="s">
        <v>16</v>
      </c>
      <c r="U1211" s="170" t="s">
        <v>965</v>
      </c>
      <c r="V1211" s="170" t="s">
        <v>304</v>
      </c>
      <c r="W1211" s="170" t="s">
        <v>1436</v>
      </c>
    </row>
    <row r="1212" customHeight="1" spans="1:23">
      <c r="A1212" s="170" t="s">
        <v>1437</v>
      </c>
      <c r="B1212" s="262" t="s">
        <v>1438</v>
      </c>
      <c r="C1212" s="170" t="s">
        <v>83</v>
      </c>
      <c r="D1212" s="171" t="s">
        <v>102</v>
      </c>
      <c r="E1212" s="171" t="s">
        <v>103</v>
      </c>
      <c r="F1212" s="172" t="s">
        <v>1439</v>
      </c>
      <c r="G1212" s="172" t="s">
        <v>1440</v>
      </c>
      <c r="H1212" s="178" t="s">
        <v>85</v>
      </c>
      <c r="I1212" s="170" t="s">
        <v>86</v>
      </c>
      <c r="J1212" s="170" t="s">
        <v>87</v>
      </c>
      <c r="K1212" s="178" t="s">
        <v>134</v>
      </c>
      <c r="L1212" s="170">
        <v>2</v>
      </c>
      <c r="M1212" s="170" t="s">
        <v>89</v>
      </c>
      <c r="N1212" s="178" t="s">
        <v>90</v>
      </c>
      <c r="O1212" s="170" t="s">
        <v>14</v>
      </c>
      <c r="P1212" s="170" t="s">
        <v>963</v>
      </c>
      <c r="Q1212" s="170" t="s">
        <v>112</v>
      </c>
      <c r="R1212" s="170" t="s">
        <v>113</v>
      </c>
      <c r="S1212" s="170" t="s">
        <v>964</v>
      </c>
      <c r="T1212" s="170" t="s">
        <v>16</v>
      </c>
      <c r="U1212" s="170" t="s">
        <v>965</v>
      </c>
      <c r="V1212" s="170" t="s">
        <v>304</v>
      </c>
      <c r="W1212" s="170" t="s">
        <v>1441</v>
      </c>
    </row>
    <row r="1213" ht="15.75" customHeight="1" spans="1:23">
      <c r="A1213" s="170"/>
      <c r="B1213" s="170"/>
      <c r="C1213" s="170"/>
      <c r="D1213" s="171" t="s">
        <v>102</v>
      </c>
      <c r="E1213" s="171" t="s">
        <v>103</v>
      </c>
      <c r="F1213" s="172"/>
      <c r="G1213" s="172"/>
      <c r="H1213" s="178"/>
      <c r="I1213" s="170" t="s">
        <v>209</v>
      </c>
      <c r="J1213" s="170" t="s">
        <v>108</v>
      </c>
      <c r="K1213" s="178" t="s">
        <v>134</v>
      </c>
      <c r="L1213" s="170">
        <v>2</v>
      </c>
      <c r="M1213" s="170" t="s">
        <v>89</v>
      </c>
      <c r="N1213" s="178" t="s">
        <v>110</v>
      </c>
      <c r="O1213" s="170" t="s">
        <v>14</v>
      </c>
      <c r="P1213" s="170" t="s">
        <v>963</v>
      </c>
      <c r="Q1213" s="170" t="s">
        <v>112</v>
      </c>
      <c r="R1213" s="170" t="s">
        <v>113</v>
      </c>
      <c r="S1213" s="170" t="s">
        <v>964</v>
      </c>
      <c r="T1213" s="170" t="s">
        <v>16</v>
      </c>
      <c r="U1213" s="170" t="s">
        <v>965</v>
      </c>
      <c r="V1213" s="170" t="s">
        <v>304</v>
      </c>
      <c r="W1213" s="170" t="s">
        <v>1442</v>
      </c>
    </row>
    <row r="1214" customHeight="1" spans="1:23">
      <c r="A1214" s="170"/>
      <c r="B1214" s="170"/>
      <c r="C1214" s="170"/>
      <c r="D1214" s="171" t="s">
        <v>102</v>
      </c>
      <c r="E1214" s="171" t="s">
        <v>103</v>
      </c>
      <c r="F1214" s="172"/>
      <c r="G1214" s="172"/>
      <c r="H1214" s="178"/>
      <c r="I1214" s="170" t="s">
        <v>267</v>
      </c>
      <c r="J1214" s="170" t="s">
        <v>87</v>
      </c>
      <c r="K1214" s="178" t="s">
        <v>134</v>
      </c>
      <c r="L1214" s="170">
        <v>1</v>
      </c>
      <c r="M1214" s="170" t="s">
        <v>89</v>
      </c>
      <c r="N1214" s="178" t="s">
        <v>90</v>
      </c>
      <c r="O1214" s="170" t="s">
        <v>14</v>
      </c>
      <c r="P1214" s="170" t="s">
        <v>963</v>
      </c>
      <c r="Q1214" s="170" t="s">
        <v>112</v>
      </c>
      <c r="R1214" s="170" t="s">
        <v>113</v>
      </c>
      <c r="S1214" s="170" t="s">
        <v>964</v>
      </c>
      <c r="T1214" s="170" t="s">
        <v>16</v>
      </c>
      <c r="U1214" s="170" t="s">
        <v>965</v>
      </c>
      <c r="V1214" s="170" t="s">
        <v>304</v>
      </c>
      <c r="W1214" s="170" t="s">
        <v>1443</v>
      </c>
    </row>
    <row r="1215" customHeight="1" spans="1:23">
      <c r="A1215" s="170"/>
      <c r="B1215" s="170"/>
      <c r="C1215" s="170"/>
      <c r="D1215" s="171" t="s">
        <v>102</v>
      </c>
      <c r="E1215" s="171" t="s">
        <v>103</v>
      </c>
      <c r="F1215" s="172"/>
      <c r="G1215" s="172"/>
      <c r="H1215" s="178" t="s">
        <v>91</v>
      </c>
      <c r="I1215" s="170" t="s">
        <v>92</v>
      </c>
      <c r="J1215" s="170" t="s">
        <v>87</v>
      </c>
      <c r="K1215" s="178" t="s">
        <v>93</v>
      </c>
      <c r="L1215" s="170">
        <v>30</v>
      </c>
      <c r="M1215" s="170" t="s">
        <v>1444</v>
      </c>
      <c r="N1215" s="178" t="s">
        <v>90</v>
      </c>
      <c r="O1215" s="170" t="s">
        <v>14</v>
      </c>
      <c r="P1215" s="170" t="s">
        <v>963</v>
      </c>
      <c r="Q1215" s="170" t="s">
        <v>112</v>
      </c>
      <c r="R1215" s="170" t="s">
        <v>113</v>
      </c>
      <c r="S1215" s="170" t="s">
        <v>964</v>
      </c>
      <c r="T1215" s="170" t="s">
        <v>16</v>
      </c>
      <c r="U1215" s="170" t="s">
        <v>965</v>
      </c>
      <c r="V1215" s="170" t="s">
        <v>304</v>
      </c>
      <c r="W1215" s="170" t="s">
        <v>1445</v>
      </c>
    </row>
    <row r="1216" ht="15.75" customHeight="1" spans="1:23">
      <c r="A1216" s="170"/>
      <c r="B1216" s="170"/>
      <c r="C1216" s="170"/>
      <c r="D1216" s="171" t="s">
        <v>102</v>
      </c>
      <c r="E1216" s="171" t="s">
        <v>103</v>
      </c>
      <c r="F1216" s="172"/>
      <c r="G1216" s="172"/>
      <c r="H1216" s="178" t="s">
        <v>132</v>
      </c>
      <c r="I1216" s="170" t="s">
        <v>133</v>
      </c>
      <c r="J1216" s="170" t="s">
        <v>108</v>
      </c>
      <c r="K1216" s="178" t="s">
        <v>134</v>
      </c>
      <c r="L1216" s="170">
        <v>1</v>
      </c>
      <c r="M1216" s="170" t="s">
        <v>1446</v>
      </c>
      <c r="N1216" s="178" t="s">
        <v>99</v>
      </c>
      <c r="O1216" s="170" t="s">
        <v>14</v>
      </c>
      <c r="P1216" s="170" t="s">
        <v>963</v>
      </c>
      <c r="Q1216" s="170" t="s">
        <v>112</v>
      </c>
      <c r="R1216" s="170" t="s">
        <v>113</v>
      </c>
      <c r="S1216" s="170" t="s">
        <v>964</v>
      </c>
      <c r="T1216" s="170" t="s">
        <v>16</v>
      </c>
      <c r="U1216" s="170" t="s">
        <v>965</v>
      </c>
      <c r="V1216" s="170" t="s">
        <v>304</v>
      </c>
      <c r="W1216" s="170" t="s">
        <v>1447</v>
      </c>
    </row>
    <row r="1217" customHeight="1" spans="1:23">
      <c r="A1217" s="170"/>
      <c r="B1217" s="170"/>
      <c r="C1217" s="170"/>
      <c r="D1217" s="171" t="s">
        <v>102</v>
      </c>
      <c r="E1217" s="171" t="s">
        <v>103</v>
      </c>
      <c r="F1217" s="172"/>
      <c r="G1217" s="172"/>
      <c r="H1217" s="178"/>
      <c r="I1217" s="170" t="s">
        <v>480</v>
      </c>
      <c r="J1217" s="170" t="s">
        <v>87</v>
      </c>
      <c r="K1217" s="178" t="s">
        <v>134</v>
      </c>
      <c r="L1217" s="170">
        <v>1</v>
      </c>
      <c r="M1217" s="170" t="s">
        <v>1446</v>
      </c>
      <c r="N1217" s="178" t="s">
        <v>99</v>
      </c>
      <c r="O1217" s="170" t="s">
        <v>14</v>
      </c>
      <c r="P1217" s="170" t="s">
        <v>963</v>
      </c>
      <c r="Q1217" s="170" t="s">
        <v>112</v>
      </c>
      <c r="R1217" s="170" t="s">
        <v>113</v>
      </c>
      <c r="S1217" s="170" t="s">
        <v>964</v>
      </c>
      <c r="T1217" s="170" t="s">
        <v>16</v>
      </c>
      <c r="U1217" s="170" t="s">
        <v>965</v>
      </c>
      <c r="V1217" s="170" t="s">
        <v>304</v>
      </c>
      <c r="W1217" s="170" t="s">
        <v>1448</v>
      </c>
    </row>
    <row r="1218" customHeight="1" spans="1:23">
      <c r="A1218" s="170"/>
      <c r="B1218" s="170"/>
      <c r="C1218" s="170"/>
      <c r="D1218" s="171" t="s">
        <v>102</v>
      </c>
      <c r="E1218" s="171" t="s">
        <v>103</v>
      </c>
      <c r="F1218" s="172"/>
      <c r="G1218" s="172"/>
      <c r="H1218" s="178"/>
      <c r="I1218" s="170" t="s">
        <v>755</v>
      </c>
      <c r="J1218" s="170" t="s">
        <v>87</v>
      </c>
      <c r="K1218" s="178" t="s">
        <v>134</v>
      </c>
      <c r="L1218" s="170">
        <v>1</v>
      </c>
      <c r="M1218" s="170" t="s">
        <v>1446</v>
      </c>
      <c r="N1218" s="178" t="s">
        <v>99</v>
      </c>
      <c r="O1218" s="170" t="s">
        <v>14</v>
      </c>
      <c r="P1218" s="170" t="s">
        <v>963</v>
      </c>
      <c r="Q1218" s="170" t="s">
        <v>112</v>
      </c>
      <c r="R1218" s="170" t="s">
        <v>113</v>
      </c>
      <c r="S1218" s="170" t="s">
        <v>964</v>
      </c>
      <c r="T1218" s="170" t="s">
        <v>16</v>
      </c>
      <c r="U1218" s="170" t="s">
        <v>965</v>
      </c>
      <c r="V1218" s="170" t="s">
        <v>304</v>
      </c>
      <c r="W1218" s="170" t="s">
        <v>1449</v>
      </c>
    </row>
    <row r="1219" ht="15.75" customHeight="1" spans="1:23">
      <c r="A1219" s="170"/>
      <c r="B1219" s="170"/>
      <c r="C1219" s="170"/>
      <c r="D1219" s="171" t="s">
        <v>102</v>
      </c>
      <c r="E1219" s="171" t="s">
        <v>103</v>
      </c>
      <c r="F1219" s="172"/>
      <c r="G1219" s="172"/>
      <c r="H1219" s="178"/>
      <c r="I1219" s="170" t="s">
        <v>203</v>
      </c>
      <c r="J1219" s="170" t="s">
        <v>108</v>
      </c>
      <c r="K1219" s="178" t="s">
        <v>134</v>
      </c>
      <c r="L1219" s="170">
        <v>1</v>
      </c>
      <c r="M1219" s="170" t="s">
        <v>1446</v>
      </c>
      <c r="N1219" s="178" t="s">
        <v>99</v>
      </c>
      <c r="O1219" s="170" t="s">
        <v>14</v>
      </c>
      <c r="P1219" s="170" t="s">
        <v>963</v>
      </c>
      <c r="Q1219" s="170" t="s">
        <v>112</v>
      </c>
      <c r="R1219" s="170" t="s">
        <v>113</v>
      </c>
      <c r="S1219" s="170" t="s">
        <v>964</v>
      </c>
      <c r="T1219" s="170" t="s">
        <v>16</v>
      </c>
      <c r="U1219" s="170" t="s">
        <v>965</v>
      </c>
      <c r="V1219" s="170" t="s">
        <v>304</v>
      </c>
      <c r="W1219" s="170" t="s">
        <v>1450</v>
      </c>
    </row>
    <row r="1220" customHeight="1" spans="1:23">
      <c r="A1220" s="170"/>
      <c r="B1220" s="170"/>
      <c r="C1220" s="170"/>
      <c r="D1220" s="171" t="s">
        <v>102</v>
      </c>
      <c r="E1220" s="171" t="s">
        <v>103</v>
      </c>
      <c r="F1220" s="172"/>
      <c r="G1220" s="172"/>
      <c r="H1220" s="178" t="s">
        <v>106</v>
      </c>
      <c r="I1220" s="170" t="s">
        <v>281</v>
      </c>
      <c r="J1220" s="170" t="s">
        <v>87</v>
      </c>
      <c r="K1220" s="178" t="s">
        <v>93</v>
      </c>
      <c r="L1220" s="170">
        <v>40</v>
      </c>
      <c r="M1220" s="170" t="s">
        <v>1451</v>
      </c>
      <c r="N1220" s="178" t="s">
        <v>90</v>
      </c>
      <c r="O1220" s="170" t="s">
        <v>14</v>
      </c>
      <c r="P1220" s="170" t="s">
        <v>963</v>
      </c>
      <c r="Q1220" s="170" t="s">
        <v>112</v>
      </c>
      <c r="R1220" s="170" t="s">
        <v>113</v>
      </c>
      <c r="S1220" s="170" t="s">
        <v>964</v>
      </c>
      <c r="T1220" s="170" t="s">
        <v>16</v>
      </c>
      <c r="U1220" s="170" t="s">
        <v>965</v>
      </c>
      <c r="V1220" s="170" t="s">
        <v>304</v>
      </c>
      <c r="W1220" s="170" t="s">
        <v>1452</v>
      </c>
    </row>
    <row r="1221" ht="15.75" customHeight="1" spans="1:23">
      <c r="A1221" s="170"/>
      <c r="B1221" s="170"/>
      <c r="C1221" s="170"/>
      <c r="D1221" s="171" t="s">
        <v>102</v>
      </c>
      <c r="E1221" s="171" t="s">
        <v>103</v>
      </c>
      <c r="F1221" s="172"/>
      <c r="G1221" s="172"/>
      <c r="H1221" s="178"/>
      <c r="I1221" s="170" t="s">
        <v>170</v>
      </c>
      <c r="J1221" s="170" t="s">
        <v>108</v>
      </c>
      <c r="K1221" s="178" t="s">
        <v>93</v>
      </c>
      <c r="L1221" s="170">
        <v>2</v>
      </c>
      <c r="M1221" s="170" t="s">
        <v>1451</v>
      </c>
      <c r="N1221" s="178" t="s">
        <v>110</v>
      </c>
      <c r="O1221" s="170" t="s">
        <v>14</v>
      </c>
      <c r="P1221" s="170" t="s">
        <v>963</v>
      </c>
      <c r="Q1221" s="170" t="s">
        <v>112</v>
      </c>
      <c r="R1221" s="170" t="s">
        <v>113</v>
      </c>
      <c r="S1221" s="170" t="s">
        <v>964</v>
      </c>
      <c r="T1221" s="170" t="s">
        <v>16</v>
      </c>
      <c r="U1221" s="170" t="s">
        <v>965</v>
      </c>
      <c r="V1221" s="170" t="s">
        <v>304</v>
      </c>
      <c r="W1221" s="170" t="s">
        <v>1453</v>
      </c>
    </row>
    <row r="1222" ht="15.75" customHeight="1" spans="1:23">
      <c r="A1222" s="170"/>
      <c r="B1222" s="170"/>
      <c r="C1222" s="170"/>
      <c r="D1222" s="171" t="s">
        <v>102</v>
      </c>
      <c r="E1222" s="171" t="s">
        <v>103</v>
      </c>
      <c r="F1222" s="172"/>
      <c r="G1222" s="172"/>
      <c r="H1222" s="178"/>
      <c r="I1222" s="170" t="s">
        <v>283</v>
      </c>
      <c r="J1222" s="170" t="s">
        <v>108</v>
      </c>
      <c r="K1222" s="178" t="s">
        <v>93</v>
      </c>
      <c r="L1222" s="170">
        <v>40</v>
      </c>
      <c r="M1222" s="170" t="s">
        <v>1451</v>
      </c>
      <c r="N1222" s="178" t="s">
        <v>90</v>
      </c>
      <c r="O1222" s="170" t="s">
        <v>14</v>
      </c>
      <c r="P1222" s="170" t="s">
        <v>963</v>
      </c>
      <c r="Q1222" s="170" t="s">
        <v>112</v>
      </c>
      <c r="R1222" s="170" t="s">
        <v>113</v>
      </c>
      <c r="S1222" s="170" t="s">
        <v>964</v>
      </c>
      <c r="T1222" s="170" t="s">
        <v>16</v>
      </c>
      <c r="U1222" s="170" t="s">
        <v>965</v>
      </c>
      <c r="V1222" s="170" t="s">
        <v>304</v>
      </c>
      <c r="W1222" s="170" t="s">
        <v>1454</v>
      </c>
    </row>
    <row r="1223" customHeight="1" spans="1:23">
      <c r="A1223" s="170"/>
      <c r="B1223" s="170"/>
      <c r="C1223" s="170"/>
      <c r="D1223" s="171" t="s">
        <v>102</v>
      </c>
      <c r="E1223" s="171" t="s">
        <v>103</v>
      </c>
      <c r="F1223" s="172"/>
      <c r="G1223" s="172"/>
      <c r="H1223" s="178"/>
      <c r="I1223" s="170" t="s">
        <v>249</v>
      </c>
      <c r="J1223" s="170" t="s">
        <v>87</v>
      </c>
      <c r="K1223" s="178" t="s">
        <v>93</v>
      </c>
      <c r="L1223" s="170">
        <v>2</v>
      </c>
      <c r="M1223" s="170" t="s">
        <v>1451</v>
      </c>
      <c r="N1223" s="178" t="s">
        <v>99</v>
      </c>
      <c r="O1223" s="170" t="s">
        <v>14</v>
      </c>
      <c r="P1223" s="170" t="s">
        <v>963</v>
      </c>
      <c r="Q1223" s="170" t="s">
        <v>112</v>
      </c>
      <c r="R1223" s="170" t="s">
        <v>113</v>
      </c>
      <c r="S1223" s="170" t="s">
        <v>964</v>
      </c>
      <c r="T1223" s="170" t="s">
        <v>16</v>
      </c>
      <c r="U1223" s="170" t="s">
        <v>965</v>
      </c>
      <c r="V1223" s="170" t="s">
        <v>304</v>
      </c>
      <c r="W1223" s="170" t="s">
        <v>1455</v>
      </c>
    </row>
    <row r="1224" customHeight="1" spans="1:23">
      <c r="A1224" s="170"/>
      <c r="B1224" s="170"/>
      <c r="C1224" s="170"/>
      <c r="D1224" s="171" t="s">
        <v>102</v>
      </c>
      <c r="E1224" s="171" t="s">
        <v>103</v>
      </c>
      <c r="F1224" s="172"/>
      <c r="G1224" s="172"/>
      <c r="H1224" s="178"/>
      <c r="I1224" s="170" t="s">
        <v>196</v>
      </c>
      <c r="J1224" s="170" t="s">
        <v>87</v>
      </c>
      <c r="K1224" s="178" t="s">
        <v>93</v>
      </c>
      <c r="L1224" s="170">
        <v>1</v>
      </c>
      <c r="M1224" s="170" t="s">
        <v>1451</v>
      </c>
      <c r="N1224" s="178" t="s">
        <v>99</v>
      </c>
      <c r="O1224" s="170" t="s">
        <v>14</v>
      </c>
      <c r="P1224" s="170" t="s">
        <v>963</v>
      </c>
      <c r="Q1224" s="170" t="s">
        <v>112</v>
      </c>
      <c r="R1224" s="170" t="s">
        <v>113</v>
      </c>
      <c r="S1224" s="170" t="s">
        <v>964</v>
      </c>
      <c r="T1224" s="170" t="s">
        <v>16</v>
      </c>
      <c r="U1224" s="170" t="s">
        <v>965</v>
      </c>
      <c r="V1224" s="170" t="s">
        <v>304</v>
      </c>
      <c r="W1224" s="170" t="s">
        <v>1456</v>
      </c>
    </row>
    <row r="1225" ht="15.75" customHeight="1" spans="1:23">
      <c r="A1225" s="170"/>
      <c r="B1225" s="170"/>
      <c r="C1225" s="170"/>
      <c r="D1225" s="171" t="s">
        <v>102</v>
      </c>
      <c r="E1225" s="171" t="s">
        <v>103</v>
      </c>
      <c r="F1225" s="172"/>
      <c r="G1225" s="172"/>
      <c r="H1225" s="178" t="s">
        <v>254</v>
      </c>
      <c r="I1225" s="170" t="s">
        <v>255</v>
      </c>
      <c r="J1225" s="170" t="s">
        <v>108</v>
      </c>
      <c r="K1225" s="178" t="s">
        <v>93</v>
      </c>
      <c r="L1225" s="170">
        <v>20</v>
      </c>
      <c r="M1225" s="170" t="s">
        <v>1451</v>
      </c>
      <c r="N1225" s="178" t="s">
        <v>90</v>
      </c>
      <c r="O1225" s="170" t="s">
        <v>14</v>
      </c>
      <c r="P1225" s="170" t="s">
        <v>963</v>
      </c>
      <c r="Q1225" s="170" t="s">
        <v>112</v>
      </c>
      <c r="R1225" s="170" t="s">
        <v>113</v>
      </c>
      <c r="S1225" s="170" t="s">
        <v>964</v>
      </c>
      <c r="T1225" s="170" t="s">
        <v>16</v>
      </c>
      <c r="U1225" s="170" t="s">
        <v>965</v>
      </c>
      <c r="V1225" s="170" t="s">
        <v>304</v>
      </c>
      <c r="W1225" s="170" t="s">
        <v>1457</v>
      </c>
    </row>
    <row r="1226" customHeight="1" spans="1:23">
      <c r="A1226" s="170"/>
      <c r="B1226" s="170"/>
      <c r="C1226" s="170"/>
      <c r="D1226" s="171" t="s">
        <v>102</v>
      </c>
      <c r="E1226" s="171" t="s">
        <v>103</v>
      </c>
      <c r="F1226" s="172"/>
      <c r="G1226" s="172"/>
      <c r="H1226" s="178"/>
      <c r="I1226" s="170" t="s">
        <v>286</v>
      </c>
      <c r="J1226" s="170" t="s">
        <v>87</v>
      </c>
      <c r="K1226" s="178" t="s">
        <v>93</v>
      </c>
      <c r="L1226" s="170">
        <v>8</v>
      </c>
      <c r="M1226" s="170" t="s">
        <v>1451</v>
      </c>
      <c r="N1226" s="178" t="s">
        <v>99</v>
      </c>
      <c r="O1226" s="170" t="s">
        <v>14</v>
      </c>
      <c r="P1226" s="170" t="s">
        <v>963</v>
      </c>
      <c r="Q1226" s="170" t="s">
        <v>112</v>
      </c>
      <c r="R1226" s="170" t="s">
        <v>113</v>
      </c>
      <c r="S1226" s="170" t="s">
        <v>964</v>
      </c>
      <c r="T1226" s="170" t="s">
        <v>16</v>
      </c>
      <c r="U1226" s="170" t="s">
        <v>965</v>
      </c>
      <c r="V1226" s="170" t="s">
        <v>304</v>
      </c>
      <c r="W1226" s="170" t="s">
        <v>1458</v>
      </c>
    </row>
    <row r="1227" ht="15.75" customHeight="1" spans="1:23">
      <c r="A1227" s="170"/>
      <c r="B1227" s="170"/>
      <c r="C1227" s="170"/>
      <c r="D1227" s="171" t="s">
        <v>102</v>
      </c>
      <c r="E1227" s="171" t="s">
        <v>103</v>
      </c>
      <c r="F1227" s="172"/>
      <c r="G1227" s="172"/>
      <c r="H1227" s="178" t="s">
        <v>95</v>
      </c>
      <c r="I1227" s="170" t="s">
        <v>285</v>
      </c>
      <c r="J1227" s="170" t="s">
        <v>108</v>
      </c>
      <c r="K1227" s="178" t="s">
        <v>134</v>
      </c>
      <c r="L1227" s="170">
        <v>16</v>
      </c>
      <c r="M1227" s="170" t="s">
        <v>1459</v>
      </c>
      <c r="N1227" s="178" t="s">
        <v>99</v>
      </c>
      <c r="O1227" s="170" t="s">
        <v>14</v>
      </c>
      <c r="P1227" s="170" t="s">
        <v>963</v>
      </c>
      <c r="Q1227" s="170" t="s">
        <v>112</v>
      </c>
      <c r="R1227" s="170" t="s">
        <v>113</v>
      </c>
      <c r="S1227" s="170" t="s">
        <v>964</v>
      </c>
      <c r="T1227" s="170" t="s">
        <v>16</v>
      </c>
      <c r="U1227" s="170" t="s">
        <v>965</v>
      </c>
      <c r="V1227" s="170" t="s">
        <v>304</v>
      </c>
      <c r="W1227" s="170" t="s">
        <v>1460</v>
      </c>
    </row>
    <row r="1228" ht="15.75" customHeight="1" spans="1:23">
      <c r="A1228" s="170"/>
      <c r="B1228" s="170"/>
      <c r="C1228" s="170"/>
      <c r="D1228" s="171" t="s">
        <v>102</v>
      </c>
      <c r="E1228" s="171" t="s">
        <v>103</v>
      </c>
      <c r="F1228" s="172"/>
      <c r="G1228" s="172"/>
      <c r="H1228" s="178" t="s">
        <v>218</v>
      </c>
      <c r="I1228" s="170" t="s">
        <v>291</v>
      </c>
      <c r="J1228" s="170" t="s">
        <v>108</v>
      </c>
      <c r="K1228" s="178" t="s">
        <v>134</v>
      </c>
      <c r="L1228" s="170">
        <v>8</v>
      </c>
      <c r="M1228" s="170" t="s">
        <v>1461</v>
      </c>
      <c r="N1228" s="178" t="s">
        <v>99</v>
      </c>
      <c r="O1228" s="170" t="s">
        <v>14</v>
      </c>
      <c r="P1228" s="170" t="s">
        <v>963</v>
      </c>
      <c r="Q1228" s="170" t="s">
        <v>112</v>
      </c>
      <c r="R1228" s="170" t="s">
        <v>113</v>
      </c>
      <c r="S1228" s="170" t="s">
        <v>964</v>
      </c>
      <c r="T1228" s="170" t="s">
        <v>16</v>
      </c>
      <c r="U1228" s="170" t="s">
        <v>965</v>
      </c>
      <c r="V1228" s="170" t="s">
        <v>304</v>
      </c>
      <c r="W1228" s="170" t="s">
        <v>1462</v>
      </c>
    </row>
    <row r="1229" ht="15.75" customHeight="1" spans="1:23">
      <c r="A1229" s="185" t="s">
        <v>1463</v>
      </c>
      <c r="B1229" s="185" t="s">
        <v>1464</v>
      </c>
      <c r="C1229" s="185" t="s">
        <v>173</v>
      </c>
      <c r="D1229" s="186" t="s">
        <v>102</v>
      </c>
      <c r="E1229" s="186" t="s">
        <v>103</v>
      </c>
      <c r="F1229" s="180" t="s">
        <v>1465</v>
      </c>
      <c r="G1229" s="180" t="s">
        <v>1466</v>
      </c>
      <c r="H1229" s="11" t="s">
        <v>91</v>
      </c>
      <c r="I1229" s="219" t="s">
        <v>475</v>
      </c>
      <c r="J1229" s="170" t="s">
        <v>108</v>
      </c>
      <c r="K1229" s="200" t="s">
        <v>134</v>
      </c>
      <c r="L1229" s="183">
        <v>2</v>
      </c>
      <c r="M1229" s="183" t="s">
        <v>1142</v>
      </c>
      <c r="N1229" s="200" t="s">
        <v>90</v>
      </c>
      <c r="O1229" s="185" t="s">
        <v>14</v>
      </c>
      <c r="P1229" s="170" t="s">
        <v>963</v>
      </c>
      <c r="Q1229" s="170" t="s">
        <v>112</v>
      </c>
      <c r="R1229" s="170" t="s">
        <v>113</v>
      </c>
      <c r="S1229" s="170" t="s">
        <v>964</v>
      </c>
      <c r="T1229" s="170" t="s">
        <v>16</v>
      </c>
      <c r="U1229" s="170" t="s">
        <v>965</v>
      </c>
      <c r="V1229" s="170" t="s">
        <v>304</v>
      </c>
      <c r="W1229" s="170" t="s">
        <v>1467</v>
      </c>
    </row>
    <row r="1230" customHeight="1" spans="1:23">
      <c r="A1230" s="185"/>
      <c r="B1230" s="185"/>
      <c r="C1230" s="185"/>
      <c r="D1230" s="186" t="s">
        <v>102</v>
      </c>
      <c r="E1230" s="186" t="s">
        <v>103</v>
      </c>
      <c r="F1230" s="180"/>
      <c r="G1230" s="180"/>
      <c r="H1230" s="225" t="s">
        <v>132</v>
      </c>
      <c r="I1230" s="226" t="s">
        <v>480</v>
      </c>
      <c r="J1230" s="170" t="s">
        <v>87</v>
      </c>
      <c r="K1230" s="200" t="s">
        <v>134</v>
      </c>
      <c r="L1230" s="183">
        <v>15</v>
      </c>
      <c r="M1230" s="180" t="s">
        <v>962</v>
      </c>
      <c r="N1230" s="200" t="s">
        <v>90</v>
      </c>
      <c r="O1230" s="185" t="s">
        <v>14</v>
      </c>
      <c r="P1230" s="170" t="s">
        <v>963</v>
      </c>
      <c r="Q1230" s="170" t="s">
        <v>112</v>
      </c>
      <c r="R1230" s="170" t="s">
        <v>113</v>
      </c>
      <c r="S1230" s="170" t="s">
        <v>964</v>
      </c>
      <c r="T1230" s="170" t="s">
        <v>16</v>
      </c>
      <c r="U1230" s="170" t="s">
        <v>965</v>
      </c>
      <c r="V1230" s="170" t="s">
        <v>304</v>
      </c>
      <c r="W1230" s="170" t="s">
        <v>1468</v>
      </c>
    </row>
    <row r="1231" customHeight="1" spans="1:23">
      <c r="A1231" s="185"/>
      <c r="B1231" s="185"/>
      <c r="C1231" s="185"/>
      <c r="D1231" s="186" t="s">
        <v>102</v>
      </c>
      <c r="E1231" s="186" t="s">
        <v>103</v>
      </c>
      <c r="F1231" s="180"/>
      <c r="G1231" s="180"/>
      <c r="H1231" s="21" t="s">
        <v>106</v>
      </c>
      <c r="I1231" s="227" t="s">
        <v>281</v>
      </c>
      <c r="J1231" s="170" t="s">
        <v>87</v>
      </c>
      <c r="K1231" s="200" t="s">
        <v>134</v>
      </c>
      <c r="L1231" s="183">
        <v>25</v>
      </c>
      <c r="M1231" s="194" t="s">
        <v>98</v>
      </c>
      <c r="N1231" s="200" t="s">
        <v>90</v>
      </c>
      <c r="O1231" s="185" t="s">
        <v>14</v>
      </c>
      <c r="P1231" s="170" t="s">
        <v>963</v>
      </c>
      <c r="Q1231" s="170" t="s">
        <v>112</v>
      </c>
      <c r="R1231" s="170" t="s">
        <v>113</v>
      </c>
      <c r="S1231" s="170" t="s">
        <v>964</v>
      </c>
      <c r="T1231" s="170" t="s">
        <v>16</v>
      </c>
      <c r="U1231" s="170" t="s">
        <v>965</v>
      </c>
      <c r="V1231" s="170" t="s">
        <v>304</v>
      </c>
      <c r="W1231" s="170" t="s">
        <v>1469</v>
      </c>
    </row>
    <row r="1232" customHeight="1" spans="1:23">
      <c r="A1232" s="185"/>
      <c r="B1232" s="185"/>
      <c r="C1232" s="185"/>
      <c r="D1232" s="186" t="s">
        <v>102</v>
      </c>
      <c r="E1232" s="186" t="s">
        <v>103</v>
      </c>
      <c r="F1232" s="180"/>
      <c r="G1232" s="180"/>
      <c r="H1232" s="21"/>
      <c r="I1232" s="227" t="s">
        <v>196</v>
      </c>
      <c r="J1232" s="170" t="s">
        <v>87</v>
      </c>
      <c r="K1232" s="200" t="s">
        <v>134</v>
      </c>
      <c r="L1232" s="183">
        <v>2</v>
      </c>
      <c r="M1232" s="180" t="s">
        <v>89</v>
      </c>
      <c r="N1232" s="200" t="s">
        <v>90</v>
      </c>
      <c r="O1232" s="185" t="s">
        <v>14</v>
      </c>
      <c r="P1232" s="170" t="s">
        <v>963</v>
      </c>
      <c r="Q1232" s="170" t="s">
        <v>112</v>
      </c>
      <c r="R1232" s="170" t="s">
        <v>113</v>
      </c>
      <c r="S1232" s="170" t="s">
        <v>964</v>
      </c>
      <c r="T1232" s="170" t="s">
        <v>16</v>
      </c>
      <c r="U1232" s="170" t="s">
        <v>965</v>
      </c>
      <c r="V1232" s="170" t="s">
        <v>304</v>
      </c>
      <c r="W1232" s="170" t="s">
        <v>1470</v>
      </c>
    </row>
    <row r="1233" ht="15.75" customHeight="1" spans="1:23">
      <c r="A1233" s="185"/>
      <c r="B1233" s="185"/>
      <c r="C1233" s="185"/>
      <c r="D1233" s="186" t="s">
        <v>102</v>
      </c>
      <c r="E1233" s="186" t="s">
        <v>103</v>
      </c>
      <c r="F1233" s="180"/>
      <c r="G1233" s="180"/>
      <c r="H1233" s="21" t="s">
        <v>95</v>
      </c>
      <c r="I1233" s="227" t="s">
        <v>285</v>
      </c>
      <c r="J1233" s="170" t="s">
        <v>108</v>
      </c>
      <c r="K1233" s="200" t="s">
        <v>134</v>
      </c>
      <c r="L1233" s="183">
        <v>25</v>
      </c>
      <c r="M1233" s="180" t="s">
        <v>279</v>
      </c>
      <c r="N1233" s="200" t="s">
        <v>90</v>
      </c>
      <c r="O1233" s="185" t="s">
        <v>14</v>
      </c>
      <c r="P1233" s="170" t="s">
        <v>963</v>
      </c>
      <c r="Q1233" s="170" t="s">
        <v>112</v>
      </c>
      <c r="R1233" s="170" t="s">
        <v>113</v>
      </c>
      <c r="S1233" s="170" t="s">
        <v>964</v>
      </c>
      <c r="T1233" s="170" t="s">
        <v>16</v>
      </c>
      <c r="U1233" s="170" t="s">
        <v>965</v>
      </c>
      <c r="V1233" s="170" t="s">
        <v>304</v>
      </c>
      <c r="W1233" s="170" t="s">
        <v>1471</v>
      </c>
    </row>
    <row r="1234" ht="15.75" customHeight="1" spans="1:23">
      <c r="A1234" s="185"/>
      <c r="B1234" s="185"/>
      <c r="C1234" s="185"/>
      <c r="D1234" s="186" t="s">
        <v>102</v>
      </c>
      <c r="E1234" s="186" t="s">
        <v>103</v>
      </c>
      <c r="F1234" s="180"/>
      <c r="G1234" s="180"/>
      <c r="H1234" s="21"/>
      <c r="I1234" s="220" t="s">
        <v>176</v>
      </c>
      <c r="J1234" s="170" t="s">
        <v>97</v>
      </c>
      <c r="K1234" s="200" t="s">
        <v>93</v>
      </c>
      <c r="L1234" s="183">
        <v>30</v>
      </c>
      <c r="M1234" s="180" t="s">
        <v>279</v>
      </c>
      <c r="N1234" s="200" t="s">
        <v>110</v>
      </c>
      <c r="O1234" s="185" t="s">
        <v>14</v>
      </c>
      <c r="P1234" s="170" t="s">
        <v>963</v>
      </c>
      <c r="Q1234" s="170" t="s">
        <v>112</v>
      </c>
      <c r="R1234" s="170" t="s">
        <v>113</v>
      </c>
      <c r="S1234" s="170" t="s">
        <v>964</v>
      </c>
      <c r="T1234" s="170" t="s">
        <v>16</v>
      </c>
      <c r="U1234" s="170" t="s">
        <v>965</v>
      </c>
      <c r="V1234" s="170" t="s">
        <v>304</v>
      </c>
      <c r="W1234" s="170" t="s">
        <v>1472</v>
      </c>
    </row>
    <row r="1235" ht="15.75" customHeight="1" spans="1:23">
      <c r="A1235" s="185"/>
      <c r="B1235" s="185"/>
      <c r="C1235" s="185"/>
      <c r="D1235" s="186" t="s">
        <v>102</v>
      </c>
      <c r="E1235" s="186" t="s">
        <v>103</v>
      </c>
      <c r="F1235" s="180"/>
      <c r="G1235" s="180"/>
      <c r="H1235" s="21"/>
      <c r="I1235" s="220" t="s">
        <v>193</v>
      </c>
      <c r="J1235" s="170" t="s">
        <v>108</v>
      </c>
      <c r="K1235" s="200" t="s">
        <v>93</v>
      </c>
      <c r="L1235" s="183">
        <v>3</v>
      </c>
      <c r="M1235" s="180" t="s">
        <v>279</v>
      </c>
      <c r="N1235" s="200" t="s">
        <v>110</v>
      </c>
      <c r="O1235" s="185" t="s">
        <v>14</v>
      </c>
      <c r="P1235" s="170" t="s">
        <v>963</v>
      </c>
      <c r="Q1235" s="170" t="s">
        <v>112</v>
      </c>
      <c r="R1235" s="170" t="s">
        <v>113</v>
      </c>
      <c r="S1235" s="170" t="s">
        <v>964</v>
      </c>
      <c r="T1235" s="170" t="s">
        <v>16</v>
      </c>
      <c r="U1235" s="170" t="s">
        <v>965</v>
      </c>
      <c r="V1235" s="170" t="s">
        <v>304</v>
      </c>
      <c r="W1235" s="170" t="s">
        <v>1473</v>
      </c>
    </row>
    <row r="1236" ht="15.75" customHeight="1" spans="1:23">
      <c r="A1236" s="185"/>
      <c r="B1236" s="185"/>
      <c r="C1236" s="185"/>
      <c r="D1236" s="186" t="s">
        <v>102</v>
      </c>
      <c r="E1236" s="186" t="s">
        <v>103</v>
      </c>
      <c r="F1236" s="180"/>
      <c r="G1236" s="180"/>
      <c r="H1236" s="21"/>
      <c r="I1236" s="220" t="s">
        <v>136</v>
      </c>
      <c r="J1236" s="263" t="s">
        <v>108</v>
      </c>
      <c r="K1236" s="200" t="s">
        <v>93</v>
      </c>
      <c r="L1236" s="183">
        <v>40</v>
      </c>
      <c r="M1236" s="180" t="s">
        <v>279</v>
      </c>
      <c r="N1236" s="200" t="s">
        <v>110</v>
      </c>
      <c r="O1236" s="185" t="s">
        <v>14</v>
      </c>
      <c r="P1236" s="170" t="s">
        <v>963</v>
      </c>
      <c r="Q1236" s="170" t="s">
        <v>112</v>
      </c>
      <c r="R1236" s="170" t="s">
        <v>113</v>
      </c>
      <c r="S1236" s="170" t="s">
        <v>964</v>
      </c>
      <c r="T1236" s="170" t="s">
        <v>16</v>
      </c>
      <c r="U1236" s="170" t="s">
        <v>965</v>
      </c>
      <c r="V1236" s="170" t="s">
        <v>304</v>
      </c>
      <c r="W1236" s="170" t="s">
        <v>1474</v>
      </c>
    </row>
    <row r="1237" ht="25.5" customHeight="1" spans="1:23">
      <c r="A1237" s="169"/>
      <c r="B1237" s="169"/>
      <c r="C1237" s="169"/>
      <c r="D1237" s="198" t="s">
        <v>102</v>
      </c>
      <c r="E1237" s="198" t="s">
        <v>103</v>
      </c>
      <c r="F1237" s="199"/>
      <c r="G1237" s="199"/>
      <c r="H1237" s="19" t="s">
        <v>218</v>
      </c>
      <c r="I1237" s="264" t="s">
        <v>219</v>
      </c>
      <c r="J1237" s="170" t="s">
        <v>108</v>
      </c>
      <c r="K1237" s="239" t="s">
        <v>93</v>
      </c>
      <c r="L1237" s="265">
        <v>34</v>
      </c>
      <c r="M1237" s="199" t="s">
        <v>279</v>
      </c>
      <c r="N1237" s="239" t="s">
        <v>110</v>
      </c>
      <c r="O1237" s="169" t="s">
        <v>14</v>
      </c>
      <c r="P1237" s="170" t="s">
        <v>963</v>
      </c>
      <c r="Q1237" s="170" t="s">
        <v>112</v>
      </c>
      <c r="R1237" s="170" t="s">
        <v>113</v>
      </c>
      <c r="S1237" s="170" t="s">
        <v>964</v>
      </c>
      <c r="T1237" s="170" t="s">
        <v>16</v>
      </c>
      <c r="U1237" s="170" t="s">
        <v>965</v>
      </c>
      <c r="V1237" s="170" t="s">
        <v>304</v>
      </c>
      <c r="W1237" s="170" t="s">
        <v>1475</v>
      </c>
    </row>
    <row r="1238" customHeight="1" spans="1:23">
      <c r="A1238" s="263" t="s">
        <v>1476</v>
      </c>
      <c r="B1238" s="263" t="s">
        <v>1477</v>
      </c>
      <c r="C1238" s="263" t="s">
        <v>173</v>
      </c>
      <c r="D1238" s="254" t="s">
        <v>102</v>
      </c>
      <c r="E1238" s="254" t="s">
        <v>103</v>
      </c>
      <c r="F1238" s="266" t="s">
        <v>1439</v>
      </c>
      <c r="G1238" s="266" t="s">
        <v>1440</v>
      </c>
      <c r="H1238" s="259" t="s">
        <v>85</v>
      </c>
      <c r="I1238" s="170" t="s">
        <v>86</v>
      </c>
      <c r="J1238" s="170" t="s">
        <v>87</v>
      </c>
      <c r="K1238" s="178" t="s">
        <v>134</v>
      </c>
      <c r="L1238" s="170">
        <v>1</v>
      </c>
      <c r="M1238" s="170" t="s">
        <v>89</v>
      </c>
      <c r="N1238" s="178" t="s">
        <v>99</v>
      </c>
      <c r="O1238" s="263" t="s">
        <v>14</v>
      </c>
      <c r="P1238" s="170" t="s">
        <v>963</v>
      </c>
      <c r="Q1238" s="170" t="s">
        <v>112</v>
      </c>
      <c r="R1238" s="170" t="s">
        <v>113</v>
      </c>
      <c r="S1238" s="170" t="s">
        <v>964</v>
      </c>
      <c r="T1238" s="170" t="s">
        <v>16</v>
      </c>
      <c r="U1238" s="170" t="s">
        <v>965</v>
      </c>
      <c r="V1238" s="170" t="s">
        <v>304</v>
      </c>
      <c r="W1238" s="170" t="s">
        <v>1478</v>
      </c>
    </row>
    <row r="1239" ht="15.75" customHeight="1" spans="1:23">
      <c r="A1239" s="179"/>
      <c r="B1239" s="179"/>
      <c r="C1239" s="179"/>
      <c r="D1239" s="267" t="s">
        <v>102</v>
      </c>
      <c r="E1239" s="267" t="s">
        <v>103</v>
      </c>
      <c r="F1239" s="268"/>
      <c r="G1239" s="268"/>
      <c r="H1239" s="269"/>
      <c r="I1239" s="170" t="s">
        <v>209</v>
      </c>
      <c r="J1239" s="170" t="s">
        <v>108</v>
      </c>
      <c r="K1239" s="178" t="s">
        <v>134</v>
      </c>
      <c r="L1239" s="170">
        <v>1</v>
      </c>
      <c r="M1239" s="170" t="s">
        <v>89</v>
      </c>
      <c r="N1239" s="178" t="s">
        <v>99</v>
      </c>
      <c r="O1239" s="179" t="s">
        <v>14</v>
      </c>
      <c r="P1239" s="170" t="s">
        <v>963</v>
      </c>
      <c r="Q1239" s="170" t="s">
        <v>112</v>
      </c>
      <c r="R1239" s="170" t="s">
        <v>113</v>
      </c>
      <c r="S1239" s="170" t="s">
        <v>964</v>
      </c>
      <c r="T1239" s="170" t="s">
        <v>16</v>
      </c>
      <c r="U1239" s="170" t="s">
        <v>965</v>
      </c>
      <c r="V1239" s="170" t="s">
        <v>304</v>
      </c>
      <c r="W1239" s="170" t="s">
        <v>1479</v>
      </c>
    </row>
    <row r="1240" customHeight="1" spans="1:23">
      <c r="A1240" s="179"/>
      <c r="B1240" s="179"/>
      <c r="C1240" s="179"/>
      <c r="D1240" s="267" t="s">
        <v>102</v>
      </c>
      <c r="E1240" s="267" t="s">
        <v>103</v>
      </c>
      <c r="F1240" s="268"/>
      <c r="G1240" s="268"/>
      <c r="H1240" s="270"/>
      <c r="I1240" s="170" t="s">
        <v>267</v>
      </c>
      <c r="J1240" s="170" t="s">
        <v>87</v>
      </c>
      <c r="K1240" s="178" t="s">
        <v>134</v>
      </c>
      <c r="L1240" s="170">
        <v>1</v>
      </c>
      <c r="M1240" s="170" t="s">
        <v>89</v>
      </c>
      <c r="N1240" s="178" t="s">
        <v>99</v>
      </c>
      <c r="O1240" s="179" t="s">
        <v>14</v>
      </c>
      <c r="P1240" s="170" t="s">
        <v>963</v>
      </c>
      <c r="Q1240" s="170" t="s">
        <v>112</v>
      </c>
      <c r="R1240" s="170" t="s">
        <v>113</v>
      </c>
      <c r="S1240" s="170" t="s">
        <v>964</v>
      </c>
      <c r="T1240" s="170" t="s">
        <v>16</v>
      </c>
      <c r="U1240" s="170" t="s">
        <v>965</v>
      </c>
      <c r="V1240" s="170" t="s">
        <v>304</v>
      </c>
      <c r="W1240" s="170" t="s">
        <v>1480</v>
      </c>
    </row>
    <row r="1241" customHeight="1" spans="1:23">
      <c r="A1241" s="179"/>
      <c r="B1241" s="179"/>
      <c r="C1241" s="179"/>
      <c r="D1241" s="267" t="s">
        <v>102</v>
      </c>
      <c r="E1241" s="267" t="s">
        <v>103</v>
      </c>
      <c r="F1241" s="268"/>
      <c r="G1241" s="268"/>
      <c r="H1241" s="178" t="s">
        <v>91</v>
      </c>
      <c r="I1241" s="170" t="s">
        <v>92</v>
      </c>
      <c r="J1241" s="170" t="s">
        <v>87</v>
      </c>
      <c r="K1241" s="178" t="s">
        <v>93</v>
      </c>
      <c r="L1241" s="170">
        <v>32</v>
      </c>
      <c r="M1241" s="170" t="s">
        <v>1451</v>
      </c>
      <c r="N1241" s="178" t="s">
        <v>90</v>
      </c>
      <c r="O1241" s="179" t="s">
        <v>14</v>
      </c>
      <c r="P1241" s="170" t="s">
        <v>963</v>
      </c>
      <c r="Q1241" s="170" t="s">
        <v>112</v>
      </c>
      <c r="R1241" s="170" t="s">
        <v>113</v>
      </c>
      <c r="S1241" s="170" t="s">
        <v>964</v>
      </c>
      <c r="T1241" s="170" t="s">
        <v>16</v>
      </c>
      <c r="U1241" s="170" t="s">
        <v>965</v>
      </c>
      <c r="V1241" s="170" t="s">
        <v>304</v>
      </c>
      <c r="W1241" s="170" t="s">
        <v>1481</v>
      </c>
    </row>
    <row r="1242" ht="15.75" customHeight="1" spans="1:23">
      <c r="A1242" s="179"/>
      <c r="B1242" s="179"/>
      <c r="C1242" s="179"/>
      <c r="D1242" s="267" t="s">
        <v>102</v>
      </c>
      <c r="E1242" s="267" t="s">
        <v>103</v>
      </c>
      <c r="F1242" s="268"/>
      <c r="G1242" s="268"/>
      <c r="H1242" s="259" t="s">
        <v>132</v>
      </c>
      <c r="I1242" s="170" t="s">
        <v>133</v>
      </c>
      <c r="J1242" s="170" t="s">
        <v>108</v>
      </c>
      <c r="K1242" s="178" t="s">
        <v>134</v>
      </c>
      <c r="L1242" s="170">
        <v>1</v>
      </c>
      <c r="M1242" s="170" t="s">
        <v>1446</v>
      </c>
      <c r="N1242" s="178" t="s">
        <v>110</v>
      </c>
      <c r="O1242" s="179" t="s">
        <v>14</v>
      </c>
      <c r="P1242" s="170" t="s">
        <v>963</v>
      </c>
      <c r="Q1242" s="170" t="s">
        <v>112</v>
      </c>
      <c r="R1242" s="170" t="s">
        <v>113</v>
      </c>
      <c r="S1242" s="170" t="s">
        <v>964</v>
      </c>
      <c r="T1242" s="170" t="s">
        <v>16</v>
      </c>
      <c r="U1242" s="170" t="s">
        <v>965</v>
      </c>
      <c r="V1242" s="170" t="s">
        <v>304</v>
      </c>
      <c r="W1242" s="170" t="s">
        <v>1482</v>
      </c>
    </row>
    <row r="1243" customHeight="1" spans="1:23">
      <c r="A1243" s="179"/>
      <c r="B1243" s="179"/>
      <c r="C1243" s="179"/>
      <c r="D1243" s="267" t="s">
        <v>102</v>
      </c>
      <c r="E1243" s="267" t="s">
        <v>103</v>
      </c>
      <c r="F1243" s="268"/>
      <c r="G1243" s="268"/>
      <c r="H1243" s="269"/>
      <c r="I1243" s="170" t="s">
        <v>480</v>
      </c>
      <c r="J1243" s="170" t="s">
        <v>87</v>
      </c>
      <c r="K1243" s="178" t="s">
        <v>134</v>
      </c>
      <c r="L1243" s="170">
        <v>1</v>
      </c>
      <c r="M1243" s="170" t="s">
        <v>1446</v>
      </c>
      <c r="N1243" s="178" t="s">
        <v>110</v>
      </c>
      <c r="O1243" s="179" t="s">
        <v>14</v>
      </c>
      <c r="P1243" s="170" t="s">
        <v>963</v>
      </c>
      <c r="Q1243" s="170" t="s">
        <v>112</v>
      </c>
      <c r="R1243" s="170" t="s">
        <v>113</v>
      </c>
      <c r="S1243" s="170" t="s">
        <v>964</v>
      </c>
      <c r="T1243" s="170" t="s">
        <v>16</v>
      </c>
      <c r="U1243" s="170" t="s">
        <v>965</v>
      </c>
      <c r="V1243" s="170" t="s">
        <v>304</v>
      </c>
      <c r="W1243" s="170" t="s">
        <v>1483</v>
      </c>
    </row>
    <row r="1244" customHeight="1" spans="1:23">
      <c r="A1244" s="179"/>
      <c r="B1244" s="179"/>
      <c r="C1244" s="179"/>
      <c r="D1244" s="267" t="s">
        <v>102</v>
      </c>
      <c r="E1244" s="267" t="s">
        <v>103</v>
      </c>
      <c r="F1244" s="268"/>
      <c r="G1244" s="268"/>
      <c r="H1244" s="269"/>
      <c r="I1244" s="170" t="s">
        <v>755</v>
      </c>
      <c r="J1244" s="170" t="s">
        <v>87</v>
      </c>
      <c r="K1244" s="178" t="s">
        <v>134</v>
      </c>
      <c r="L1244" s="170">
        <v>1</v>
      </c>
      <c r="M1244" s="170" t="s">
        <v>1446</v>
      </c>
      <c r="N1244" s="178" t="s">
        <v>110</v>
      </c>
      <c r="O1244" s="179" t="s">
        <v>14</v>
      </c>
      <c r="P1244" s="170" t="s">
        <v>963</v>
      </c>
      <c r="Q1244" s="170" t="s">
        <v>112</v>
      </c>
      <c r="R1244" s="170" t="s">
        <v>113</v>
      </c>
      <c r="S1244" s="170" t="s">
        <v>964</v>
      </c>
      <c r="T1244" s="170" t="s">
        <v>16</v>
      </c>
      <c r="U1244" s="170" t="s">
        <v>965</v>
      </c>
      <c r="V1244" s="170" t="s">
        <v>304</v>
      </c>
      <c r="W1244" s="170" t="s">
        <v>1484</v>
      </c>
    </row>
    <row r="1245" ht="15.75" customHeight="1" spans="1:23">
      <c r="A1245" s="179"/>
      <c r="B1245" s="179"/>
      <c r="C1245" s="179"/>
      <c r="D1245" s="267" t="s">
        <v>102</v>
      </c>
      <c r="E1245" s="267" t="s">
        <v>103</v>
      </c>
      <c r="F1245" s="268"/>
      <c r="G1245" s="268"/>
      <c r="H1245" s="270"/>
      <c r="I1245" s="170" t="s">
        <v>203</v>
      </c>
      <c r="J1245" s="170" t="s">
        <v>108</v>
      </c>
      <c r="K1245" s="178" t="s">
        <v>134</v>
      </c>
      <c r="L1245" s="170">
        <v>1</v>
      </c>
      <c r="M1245" s="170" t="s">
        <v>1446</v>
      </c>
      <c r="N1245" s="178" t="s">
        <v>99</v>
      </c>
      <c r="O1245" s="179" t="s">
        <v>14</v>
      </c>
      <c r="P1245" s="170" t="s">
        <v>963</v>
      </c>
      <c r="Q1245" s="170" t="s">
        <v>112</v>
      </c>
      <c r="R1245" s="170" t="s">
        <v>113</v>
      </c>
      <c r="S1245" s="170" t="s">
        <v>964</v>
      </c>
      <c r="T1245" s="170" t="s">
        <v>16</v>
      </c>
      <c r="U1245" s="170" t="s">
        <v>965</v>
      </c>
      <c r="V1245" s="170" t="s">
        <v>304</v>
      </c>
      <c r="W1245" s="170" t="s">
        <v>1485</v>
      </c>
    </row>
    <row r="1246" customHeight="1" spans="1:23">
      <c r="A1246" s="179"/>
      <c r="B1246" s="179"/>
      <c r="C1246" s="179"/>
      <c r="D1246" s="267" t="s">
        <v>102</v>
      </c>
      <c r="E1246" s="267" t="s">
        <v>103</v>
      </c>
      <c r="F1246" s="268"/>
      <c r="G1246" s="268"/>
      <c r="H1246" s="259" t="s">
        <v>106</v>
      </c>
      <c r="I1246" s="170" t="s">
        <v>281</v>
      </c>
      <c r="J1246" s="170" t="s">
        <v>87</v>
      </c>
      <c r="K1246" s="178" t="s">
        <v>93</v>
      </c>
      <c r="L1246" s="170">
        <v>40</v>
      </c>
      <c r="M1246" s="170" t="s">
        <v>1451</v>
      </c>
      <c r="N1246" s="178" t="s">
        <v>90</v>
      </c>
      <c r="O1246" s="179" t="s">
        <v>14</v>
      </c>
      <c r="P1246" s="170" t="s">
        <v>963</v>
      </c>
      <c r="Q1246" s="170" t="s">
        <v>112</v>
      </c>
      <c r="R1246" s="170" t="s">
        <v>113</v>
      </c>
      <c r="S1246" s="170" t="s">
        <v>964</v>
      </c>
      <c r="T1246" s="170" t="s">
        <v>16</v>
      </c>
      <c r="U1246" s="170" t="s">
        <v>965</v>
      </c>
      <c r="V1246" s="170" t="s">
        <v>304</v>
      </c>
      <c r="W1246" s="170" t="s">
        <v>1486</v>
      </c>
    </row>
    <row r="1247" ht="15.75" customHeight="1" spans="1:23">
      <c r="A1247" s="179"/>
      <c r="B1247" s="179"/>
      <c r="C1247" s="179"/>
      <c r="D1247" s="267" t="s">
        <v>102</v>
      </c>
      <c r="E1247" s="267" t="s">
        <v>103</v>
      </c>
      <c r="F1247" s="268"/>
      <c r="G1247" s="268"/>
      <c r="H1247" s="269"/>
      <c r="I1247" s="170" t="s">
        <v>283</v>
      </c>
      <c r="J1247" s="170" t="s">
        <v>108</v>
      </c>
      <c r="K1247" s="178" t="s">
        <v>93</v>
      </c>
      <c r="L1247" s="170">
        <v>40</v>
      </c>
      <c r="M1247" s="170" t="s">
        <v>1451</v>
      </c>
      <c r="N1247" s="178" t="s">
        <v>90</v>
      </c>
      <c r="O1247" s="179" t="s">
        <v>14</v>
      </c>
      <c r="P1247" s="170" t="s">
        <v>963</v>
      </c>
      <c r="Q1247" s="170" t="s">
        <v>112</v>
      </c>
      <c r="R1247" s="170" t="s">
        <v>113</v>
      </c>
      <c r="S1247" s="170" t="s">
        <v>964</v>
      </c>
      <c r="T1247" s="170" t="s">
        <v>16</v>
      </c>
      <c r="U1247" s="170" t="s">
        <v>965</v>
      </c>
      <c r="V1247" s="170" t="s">
        <v>304</v>
      </c>
      <c r="W1247" s="170" t="s">
        <v>1487</v>
      </c>
    </row>
    <row r="1248" customHeight="1" spans="1:23">
      <c r="A1248" s="179"/>
      <c r="B1248" s="179"/>
      <c r="C1248" s="179"/>
      <c r="D1248" s="267" t="s">
        <v>102</v>
      </c>
      <c r="E1248" s="267" t="s">
        <v>103</v>
      </c>
      <c r="F1248" s="268"/>
      <c r="G1248" s="268"/>
      <c r="H1248" s="269"/>
      <c r="I1248" s="170" t="s">
        <v>249</v>
      </c>
      <c r="J1248" s="170" t="s">
        <v>87</v>
      </c>
      <c r="K1248" s="178" t="s">
        <v>93</v>
      </c>
      <c r="L1248" s="170">
        <v>4</v>
      </c>
      <c r="M1248" s="170" t="s">
        <v>1451</v>
      </c>
      <c r="N1248" s="178" t="s">
        <v>99</v>
      </c>
      <c r="O1248" s="179" t="s">
        <v>14</v>
      </c>
      <c r="P1248" s="170" t="s">
        <v>963</v>
      </c>
      <c r="Q1248" s="170" t="s">
        <v>112</v>
      </c>
      <c r="R1248" s="170" t="s">
        <v>113</v>
      </c>
      <c r="S1248" s="170" t="s">
        <v>964</v>
      </c>
      <c r="T1248" s="170" t="s">
        <v>16</v>
      </c>
      <c r="U1248" s="170" t="s">
        <v>965</v>
      </c>
      <c r="V1248" s="170" t="s">
        <v>304</v>
      </c>
      <c r="W1248" s="170" t="s">
        <v>1488</v>
      </c>
    </row>
    <row r="1249" customHeight="1" spans="1:23">
      <c r="A1249" s="179"/>
      <c r="B1249" s="179"/>
      <c r="C1249" s="179"/>
      <c r="D1249" s="267" t="s">
        <v>102</v>
      </c>
      <c r="E1249" s="267" t="s">
        <v>103</v>
      </c>
      <c r="F1249" s="268"/>
      <c r="G1249" s="268"/>
      <c r="H1249" s="270"/>
      <c r="I1249" s="170" t="s">
        <v>196</v>
      </c>
      <c r="J1249" s="170" t="s">
        <v>87</v>
      </c>
      <c r="K1249" s="178" t="s">
        <v>93</v>
      </c>
      <c r="L1249" s="170">
        <v>1</v>
      </c>
      <c r="M1249" s="170" t="s">
        <v>1451</v>
      </c>
      <c r="N1249" s="178" t="s">
        <v>99</v>
      </c>
      <c r="O1249" s="179" t="s">
        <v>14</v>
      </c>
      <c r="P1249" s="170" t="s">
        <v>963</v>
      </c>
      <c r="Q1249" s="170" t="s">
        <v>112</v>
      </c>
      <c r="R1249" s="170" t="s">
        <v>113</v>
      </c>
      <c r="S1249" s="170" t="s">
        <v>964</v>
      </c>
      <c r="T1249" s="170" t="s">
        <v>16</v>
      </c>
      <c r="U1249" s="170" t="s">
        <v>965</v>
      </c>
      <c r="V1249" s="170" t="s">
        <v>304</v>
      </c>
      <c r="W1249" s="170" t="s">
        <v>1489</v>
      </c>
    </row>
    <row r="1250" ht="15.75" customHeight="1" spans="1:23">
      <c r="A1250" s="179"/>
      <c r="B1250" s="179"/>
      <c r="C1250" s="179"/>
      <c r="D1250" s="267" t="s">
        <v>102</v>
      </c>
      <c r="E1250" s="267" t="s">
        <v>103</v>
      </c>
      <c r="F1250" s="268"/>
      <c r="G1250" s="268"/>
      <c r="H1250" s="259" t="s">
        <v>254</v>
      </c>
      <c r="I1250" s="170" t="s">
        <v>255</v>
      </c>
      <c r="J1250" s="170" t="s">
        <v>108</v>
      </c>
      <c r="K1250" s="178" t="s">
        <v>93</v>
      </c>
      <c r="L1250" s="170">
        <v>20</v>
      </c>
      <c r="M1250" s="170" t="s">
        <v>1451</v>
      </c>
      <c r="N1250" s="178" t="s">
        <v>90</v>
      </c>
      <c r="O1250" s="179" t="s">
        <v>14</v>
      </c>
      <c r="P1250" s="170" t="s">
        <v>963</v>
      </c>
      <c r="Q1250" s="170" t="s">
        <v>112</v>
      </c>
      <c r="R1250" s="170" t="s">
        <v>113</v>
      </c>
      <c r="S1250" s="170" t="s">
        <v>964</v>
      </c>
      <c r="T1250" s="170" t="s">
        <v>16</v>
      </c>
      <c r="U1250" s="170" t="s">
        <v>965</v>
      </c>
      <c r="V1250" s="170" t="s">
        <v>304</v>
      </c>
      <c r="W1250" s="170" t="s">
        <v>1490</v>
      </c>
    </row>
    <row r="1251" customHeight="1" spans="1:23">
      <c r="A1251" s="179"/>
      <c r="B1251" s="179"/>
      <c r="C1251" s="179"/>
      <c r="D1251" s="267" t="s">
        <v>102</v>
      </c>
      <c r="E1251" s="267" t="s">
        <v>103</v>
      </c>
      <c r="F1251" s="268"/>
      <c r="G1251" s="268"/>
      <c r="H1251" s="270"/>
      <c r="I1251" s="170" t="s">
        <v>286</v>
      </c>
      <c r="J1251" s="170" t="s">
        <v>87</v>
      </c>
      <c r="K1251" s="178" t="s">
        <v>93</v>
      </c>
      <c r="L1251" s="170">
        <v>12</v>
      </c>
      <c r="M1251" s="170" t="s">
        <v>1451</v>
      </c>
      <c r="N1251" s="178" t="s">
        <v>90</v>
      </c>
      <c r="O1251" s="179" t="s">
        <v>14</v>
      </c>
      <c r="P1251" s="170" t="s">
        <v>963</v>
      </c>
      <c r="Q1251" s="170" t="s">
        <v>112</v>
      </c>
      <c r="R1251" s="170" t="s">
        <v>113</v>
      </c>
      <c r="S1251" s="170" t="s">
        <v>964</v>
      </c>
      <c r="T1251" s="170" t="s">
        <v>16</v>
      </c>
      <c r="U1251" s="170" t="s">
        <v>965</v>
      </c>
      <c r="V1251" s="170" t="s">
        <v>304</v>
      </c>
      <c r="W1251" s="170" t="s">
        <v>1491</v>
      </c>
    </row>
    <row r="1252" ht="15.75" customHeight="1" spans="1:23">
      <c r="A1252" s="271"/>
      <c r="B1252" s="271"/>
      <c r="C1252" s="271"/>
      <c r="D1252" s="272" t="s">
        <v>102</v>
      </c>
      <c r="E1252" s="272" t="s">
        <v>103</v>
      </c>
      <c r="F1252" s="273"/>
      <c r="G1252" s="273"/>
      <c r="H1252" s="178" t="s">
        <v>95</v>
      </c>
      <c r="I1252" s="170" t="s">
        <v>285</v>
      </c>
      <c r="J1252" s="114" t="s">
        <v>108</v>
      </c>
      <c r="K1252" s="178" t="s">
        <v>134</v>
      </c>
      <c r="L1252" s="170">
        <v>20</v>
      </c>
      <c r="M1252" s="170" t="s">
        <v>1459</v>
      </c>
      <c r="N1252" s="178" t="s">
        <v>110</v>
      </c>
      <c r="O1252" s="271" t="s">
        <v>14</v>
      </c>
      <c r="P1252" s="170" t="s">
        <v>963</v>
      </c>
      <c r="Q1252" s="170" t="s">
        <v>112</v>
      </c>
      <c r="R1252" s="170" t="s">
        <v>113</v>
      </c>
      <c r="S1252" s="170" t="s">
        <v>964</v>
      </c>
      <c r="T1252" s="170" t="s">
        <v>16</v>
      </c>
      <c r="U1252" s="170" t="s">
        <v>965</v>
      </c>
      <c r="V1252" s="170" t="s">
        <v>304</v>
      </c>
      <c r="W1252" s="170" t="s">
        <v>1492</v>
      </c>
    </row>
  </sheetData>
  <sheetProtection formatCells="0" formatColumns="0" formatRows="0" insertRows="0" insertColumns="0" insertHyperlinks="0" deleteColumns="0" deleteRows="0" sort="0" autoFilter="0" pivotTables="0"/>
  <autoFilter ref="A2:X1252" etc:filterBottomFollowUsedRange="1">
    <extLst/>
  </autoFilter>
  <mergeCells count="1865">
    <mergeCell ref="A3:A5"/>
    <mergeCell ref="A6:A8"/>
    <mergeCell ref="A9:A12"/>
    <mergeCell ref="A13:A15"/>
    <mergeCell ref="A16:A19"/>
    <mergeCell ref="A20:A23"/>
    <mergeCell ref="A24:A29"/>
    <mergeCell ref="A30:A33"/>
    <mergeCell ref="A34:A38"/>
    <mergeCell ref="A39:A43"/>
    <mergeCell ref="A44:A45"/>
    <mergeCell ref="A50:A52"/>
    <mergeCell ref="A53:A54"/>
    <mergeCell ref="A55:A56"/>
    <mergeCell ref="A57:A60"/>
    <mergeCell ref="A61:A78"/>
    <mergeCell ref="A79:A85"/>
    <mergeCell ref="A86:A87"/>
    <mergeCell ref="A88:A91"/>
    <mergeCell ref="A92:A96"/>
    <mergeCell ref="A97:A98"/>
    <mergeCell ref="A99:A104"/>
    <mergeCell ref="A105:A108"/>
    <mergeCell ref="A110:A112"/>
    <mergeCell ref="A113:A116"/>
    <mergeCell ref="A117:A119"/>
    <mergeCell ref="A120:A123"/>
    <mergeCell ref="A124:A129"/>
    <mergeCell ref="A130:A151"/>
    <mergeCell ref="A152:A164"/>
    <mergeCell ref="A165:A166"/>
    <mergeCell ref="A167:A170"/>
    <mergeCell ref="A172:A173"/>
    <mergeCell ref="A174:A176"/>
    <mergeCell ref="A177:A183"/>
    <mergeCell ref="A184:A187"/>
    <mergeCell ref="A188:A191"/>
    <mergeCell ref="A192:A198"/>
    <mergeCell ref="A200:A204"/>
    <mergeCell ref="A205:A207"/>
    <mergeCell ref="A208:A210"/>
    <mergeCell ref="A211:A220"/>
    <mergeCell ref="A221:A224"/>
    <mergeCell ref="A225:A231"/>
    <mergeCell ref="A232:A233"/>
    <mergeCell ref="A234:A236"/>
    <mergeCell ref="A237:A238"/>
    <mergeCell ref="A239:A242"/>
    <mergeCell ref="A243:A246"/>
    <mergeCell ref="A247:A248"/>
    <mergeCell ref="A249:A267"/>
    <mergeCell ref="A268:A269"/>
    <mergeCell ref="A270:A278"/>
    <mergeCell ref="A279:A282"/>
    <mergeCell ref="A284:A286"/>
    <mergeCell ref="A288:A291"/>
    <mergeCell ref="A292:A294"/>
    <mergeCell ref="A295:A297"/>
    <mergeCell ref="A298:A301"/>
    <mergeCell ref="A302:A303"/>
    <mergeCell ref="A304:A305"/>
    <mergeCell ref="A306:A309"/>
    <mergeCell ref="A310:A311"/>
    <mergeCell ref="A312:A335"/>
    <mergeCell ref="A336:A339"/>
    <mergeCell ref="A340:A354"/>
    <mergeCell ref="A355:A356"/>
    <mergeCell ref="A357:A361"/>
    <mergeCell ref="A362:A364"/>
    <mergeCell ref="A365:A366"/>
    <mergeCell ref="A367:A378"/>
    <mergeCell ref="A379:A381"/>
    <mergeCell ref="A382:A384"/>
    <mergeCell ref="A385:A406"/>
    <mergeCell ref="A407:A414"/>
    <mergeCell ref="A415:A421"/>
    <mergeCell ref="A422:A426"/>
    <mergeCell ref="A427:A438"/>
    <mergeCell ref="A439:A444"/>
    <mergeCell ref="A445:A452"/>
    <mergeCell ref="A453:A465"/>
    <mergeCell ref="A466:A483"/>
    <mergeCell ref="A484:A500"/>
    <mergeCell ref="A501:A517"/>
    <mergeCell ref="A518:A534"/>
    <mergeCell ref="A535:A551"/>
    <mergeCell ref="A552:A563"/>
    <mergeCell ref="A564:A580"/>
    <mergeCell ref="A581:A597"/>
    <mergeCell ref="A598:A614"/>
    <mergeCell ref="A615:A631"/>
    <mergeCell ref="A632:A648"/>
    <mergeCell ref="A649:A664"/>
    <mergeCell ref="A665:A681"/>
    <mergeCell ref="A682:A698"/>
    <mergeCell ref="A699:A710"/>
    <mergeCell ref="A711:A727"/>
    <mergeCell ref="A728:A744"/>
    <mergeCell ref="A745:A750"/>
    <mergeCell ref="A751:A756"/>
    <mergeCell ref="A757:A759"/>
    <mergeCell ref="A760:A765"/>
    <mergeCell ref="A766:A768"/>
    <mergeCell ref="A769:A773"/>
    <mergeCell ref="A774:A777"/>
    <mergeCell ref="A778:A785"/>
    <mergeCell ref="A786:A789"/>
    <mergeCell ref="A790:A796"/>
    <mergeCell ref="A797:A801"/>
    <mergeCell ref="A802:A806"/>
    <mergeCell ref="A807:A812"/>
    <mergeCell ref="A813:A817"/>
    <mergeCell ref="A818:A822"/>
    <mergeCell ref="A823:A828"/>
    <mergeCell ref="A829:A832"/>
    <mergeCell ref="A833:A835"/>
    <mergeCell ref="A836:A839"/>
    <mergeCell ref="A840:A843"/>
    <mergeCell ref="A845:A848"/>
    <mergeCell ref="A849:A852"/>
    <mergeCell ref="A853:A865"/>
    <mergeCell ref="A866:A877"/>
    <mergeCell ref="A878:A889"/>
    <mergeCell ref="A890:A902"/>
    <mergeCell ref="A903:A913"/>
    <mergeCell ref="A914:A927"/>
    <mergeCell ref="A928:A940"/>
    <mergeCell ref="A941:A953"/>
    <mergeCell ref="A954:A962"/>
    <mergeCell ref="A963:A972"/>
    <mergeCell ref="A973:A984"/>
    <mergeCell ref="A985:A996"/>
    <mergeCell ref="A997:A1006"/>
    <mergeCell ref="A1007:A1018"/>
    <mergeCell ref="A1019:A1027"/>
    <mergeCell ref="A1028:A1039"/>
    <mergeCell ref="A1040:A1048"/>
    <mergeCell ref="A1049:A1058"/>
    <mergeCell ref="A1059:A1067"/>
    <mergeCell ref="A1068:A1079"/>
    <mergeCell ref="A1080:A1088"/>
    <mergeCell ref="A1089:A1100"/>
    <mergeCell ref="A1101:A1109"/>
    <mergeCell ref="A1110:A1121"/>
    <mergeCell ref="A1122:A1134"/>
    <mergeCell ref="A1135:A1143"/>
    <mergeCell ref="A1144:A1156"/>
    <mergeCell ref="A1158:A1166"/>
    <mergeCell ref="A1167:A1194"/>
    <mergeCell ref="A1195:A1211"/>
    <mergeCell ref="A1212:A1228"/>
    <mergeCell ref="A1229:A1237"/>
    <mergeCell ref="A1238:A1252"/>
    <mergeCell ref="B3:B5"/>
    <mergeCell ref="B6:B8"/>
    <mergeCell ref="B9:B12"/>
    <mergeCell ref="B13:B15"/>
    <mergeCell ref="B16:B19"/>
    <mergeCell ref="B20:B23"/>
    <mergeCell ref="B24:B29"/>
    <mergeCell ref="B30:B33"/>
    <mergeCell ref="B34:B38"/>
    <mergeCell ref="B39:B43"/>
    <mergeCell ref="B44:B45"/>
    <mergeCell ref="B46:B49"/>
    <mergeCell ref="B50:B52"/>
    <mergeCell ref="B53:B54"/>
    <mergeCell ref="B55:B56"/>
    <mergeCell ref="B57:B60"/>
    <mergeCell ref="B61:B78"/>
    <mergeCell ref="B79:B85"/>
    <mergeCell ref="B86:B87"/>
    <mergeCell ref="B88:B91"/>
    <mergeCell ref="B92:B96"/>
    <mergeCell ref="B97:B98"/>
    <mergeCell ref="B99:B104"/>
    <mergeCell ref="B105:B108"/>
    <mergeCell ref="B110:B112"/>
    <mergeCell ref="B113:B116"/>
    <mergeCell ref="B117:B119"/>
    <mergeCell ref="B120:B123"/>
    <mergeCell ref="B124:B129"/>
    <mergeCell ref="B130:B151"/>
    <mergeCell ref="B152:B164"/>
    <mergeCell ref="B165:B166"/>
    <mergeCell ref="B167:B170"/>
    <mergeCell ref="B172:B173"/>
    <mergeCell ref="B174:B176"/>
    <mergeCell ref="B177:B183"/>
    <mergeCell ref="B184:B187"/>
    <mergeCell ref="B188:B191"/>
    <mergeCell ref="B192:B198"/>
    <mergeCell ref="B200:B204"/>
    <mergeCell ref="B205:B207"/>
    <mergeCell ref="B208:B210"/>
    <mergeCell ref="B211:B220"/>
    <mergeCell ref="B221:B224"/>
    <mergeCell ref="B225:B231"/>
    <mergeCell ref="B232:B233"/>
    <mergeCell ref="B234:B236"/>
    <mergeCell ref="B237:B238"/>
    <mergeCell ref="B239:B242"/>
    <mergeCell ref="B243:B246"/>
    <mergeCell ref="B247:B248"/>
    <mergeCell ref="B249:B267"/>
    <mergeCell ref="B268:B269"/>
    <mergeCell ref="B270:B278"/>
    <mergeCell ref="B279:B282"/>
    <mergeCell ref="B284:B286"/>
    <mergeCell ref="B288:B291"/>
    <mergeCell ref="B292:B294"/>
    <mergeCell ref="B295:B297"/>
    <mergeCell ref="B298:B301"/>
    <mergeCell ref="B302:B303"/>
    <mergeCell ref="B304:B305"/>
    <mergeCell ref="B306:B309"/>
    <mergeCell ref="B310:B311"/>
    <mergeCell ref="B312:B335"/>
    <mergeCell ref="B336:B339"/>
    <mergeCell ref="B340:B354"/>
    <mergeCell ref="B355:B356"/>
    <mergeCell ref="B357:B361"/>
    <mergeCell ref="B362:B364"/>
    <mergeCell ref="B365:B366"/>
    <mergeCell ref="B367:B378"/>
    <mergeCell ref="B379:B381"/>
    <mergeCell ref="B382:B384"/>
    <mergeCell ref="B385:B406"/>
    <mergeCell ref="B407:B414"/>
    <mergeCell ref="B415:B421"/>
    <mergeCell ref="B422:B426"/>
    <mergeCell ref="B427:B438"/>
    <mergeCell ref="B439:B444"/>
    <mergeCell ref="B445:B452"/>
    <mergeCell ref="B453:B465"/>
    <mergeCell ref="B466:B483"/>
    <mergeCell ref="B484:B500"/>
    <mergeCell ref="B501:B517"/>
    <mergeCell ref="B518:B534"/>
    <mergeCell ref="B535:B551"/>
    <mergeCell ref="B552:B563"/>
    <mergeCell ref="B564:B580"/>
    <mergeCell ref="B581:B597"/>
    <mergeCell ref="B598:B614"/>
    <mergeCell ref="B615:B631"/>
    <mergeCell ref="B632:B648"/>
    <mergeCell ref="B649:B664"/>
    <mergeCell ref="B665:B681"/>
    <mergeCell ref="B682:B698"/>
    <mergeCell ref="B699:B710"/>
    <mergeCell ref="B711:B727"/>
    <mergeCell ref="B728:B744"/>
    <mergeCell ref="B745:B750"/>
    <mergeCell ref="B751:B756"/>
    <mergeCell ref="B757:B759"/>
    <mergeCell ref="B760:B765"/>
    <mergeCell ref="B766:B768"/>
    <mergeCell ref="B769:B773"/>
    <mergeCell ref="B774:B777"/>
    <mergeCell ref="B778:B785"/>
    <mergeCell ref="B786:B789"/>
    <mergeCell ref="B790:B796"/>
    <mergeCell ref="B797:B801"/>
    <mergeCell ref="B802:B806"/>
    <mergeCell ref="B807:B812"/>
    <mergeCell ref="B813:B817"/>
    <mergeCell ref="B818:B822"/>
    <mergeCell ref="B823:B828"/>
    <mergeCell ref="B829:B832"/>
    <mergeCell ref="B833:B835"/>
    <mergeCell ref="B836:B839"/>
    <mergeCell ref="B840:B843"/>
    <mergeCell ref="B845:B848"/>
    <mergeCell ref="B849:B852"/>
    <mergeCell ref="B853:B865"/>
    <mergeCell ref="B866:B877"/>
    <mergeCell ref="B878:B889"/>
    <mergeCell ref="B890:B902"/>
    <mergeCell ref="B903:B913"/>
    <mergeCell ref="B914:B927"/>
    <mergeCell ref="B928:B940"/>
    <mergeCell ref="B941:B953"/>
    <mergeCell ref="B954:B962"/>
    <mergeCell ref="B963:B972"/>
    <mergeCell ref="B973:B984"/>
    <mergeCell ref="B985:B996"/>
    <mergeCell ref="B997:B1006"/>
    <mergeCell ref="B1007:B1018"/>
    <mergeCell ref="B1019:B1027"/>
    <mergeCell ref="B1028:B1039"/>
    <mergeCell ref="B1040:B1048"/>
    <mergeCell ref="B1049:B1058"/>
    <mergeCell ref="B1059:B1067"/>
    <mergeCell ref="B1068:B1079"/>
    <mergeCell ref="B1080:B1088"/>
    <mergeCell ref="B1089:B1100"/>
    <mergeCell ref="B1101:B1109"/>
    <mergeCell ref="B1110:B1121"/>
    <mergeCell ref="B1122:B1134"/>
    <mergeCell ref="B1135:B1143"/>
    <mergeCell ref="B1144:B1156"/>
    <mergeCell ref="B1158:B1166"/>
    <mergeCell ref="B1167:B1194"/>
    <mergeCell ref="B1195:B1211"/>
    <mergeCell ref="B1212:B1228"/>
    <mergeCell ref="B1229:B1237"/>
    <mergeCell ref="B1238:B1252"/>
    <mergeCell ref="C3:C5"/>
    <mergeCell ref="C6:C8"/>
    <mergeCell ref="C9:C12"/>
    <mergeCell ref="C13:C15"/>
    <mergeCell ref="C16:C19"/>
    <mergeCell ref="C20:C23"/>
    <mergeCell ref="C24:C29"/>
    <mergeCell ref="C30:C33"/>
    <mergeCell ref="C34:C38"/>
    <mergeCell ref="C39:C43"/>
    <mergeCell ref="C44:C45"/>
    <mergeCell ref="C46:C49"/>
    <mergeCell ref="C50:C52"/>
    <mergeCell ref="C53:C54"/>
    <mergeCell ref="C55:C56"/>
    <mergeCell ref="C57:C60"/>
    <mergeCell ref="C61:C78"/>
    <mergeCell ref="C79:C85"/>
    <mergeCell ref="C86:C87"/>
    <mergeCell ref="C88:C91"/>
    <mergeCell ref="C92:C96"/>
    <mergeCell ref="C97:C98"/>
    <mergeCell ref="C99:C104"/>
    <mergeCell ref="C105:C108"/>
    <mergeCell ref="C110:C112"/>
    <mergeCell ref="C113:C116"/>
    <mergeCell ref="C117:C119"/>
    <mergeCell ref="C120:C123"/>
    <mergeCell ref="C124:C129"/>
    <mergeCell ref="C130:C151"/>
    <mergeCell ref="C152:C164"/>
    <mergeCell ref="C165:C166"/>
    <mergeCell ref="C167:C170"/>
    <mergeCell ref="C172:C173"/>
    <mergeCell ref="C174:C176"/>
    <mergeCell ref="C177:C183"/>
    <mergeCell ref="C184:C187"/>
    <mergeCell ref="C188:C191"/>
    <mergeCell ref="C192:C198"/>
    <mergeCell ref="C200:C204"/>
    <mergeCell ref="C205:C207"/>
    <mergeCell ref="C208:C210"/>
    <mergeCell ref="C211:C220"/>
    <mergeCell ref="C221:C224"/>
    <mergeCell ref="C225:C231"/>
    <mergeCell ref="C232:C233"/>
    <mergeCell ref="C234:C236"/>
    <mergeCell ref="C237:C238"/>
    <mergeCell ref="C239:C242"/>
    <mergeCell ref="C243:C246"/>
    <mergeCell ref="C247:C248"/>
    <mergeCell ref="C249:C267"/>
    <mergeCell ref="C268:C269"/>
    <mergeCell ref="C270:C278"/>
    <mergeCell ref="C279:C282"/>
    <mergeCell ref="C284:C286"/>
    <mergeCell ref="C288:C291"/>
    <mergeCell ref="C292:C294"/>
    <mergeCell ref="C295:C297"/>
    <mergeCell ref="C298:C301"/>
    <mergeCell ref="C302:C303"/>
    <mergeCell ref="C304:C305"/>
    <mergeCell ref="C306:C309"/>
    <mergeCell ref="C310:C311"/>
    <mergeCell ref="C312:C335"/>
    <mergeCell ref="C336:C339"/>
    <mergeCell ref="C340:C354"/>
    <mergeCell ref="C355:C356"/>
    <mergeCell ref="C357:C361"/>
    <mergeCell ref="C362:C364"/>
    <mergeCell ref="C365:C366"/>
    <mergeCell ref="C367:C378"/>
    <mergeCell ref="C379:C381"/>
    <mergeCell ref="C382:C384"/>
    <mergeCell ref="C385:C406"/>
    <mergeCell ref="C407:C414"/>
    <mergeCell ref="C415:C421"/>
    <mergeCell ref="C422:C426"/>
    <mergeCell ref="C427:C438"/>
    <mergeCell ref="C439:C444"/>
    <mergeCell ref="C445:C452"/>
    <mergeCell ref="C453:C465"/>
    <mergeCell ref="C466:C483"/>
    <mergeCell ref="C484:C500"/>
    <mergeCell ref="C501:C517"/>
    <mergeCell ref="C518:C534"/>
    <mergeCell ref="C535:C551"/>
    <mergeCell ref="C552:C563"/>
    <mergeCell ref="C564:C580"/>
    <mergeCell ref="C581:C597"/>
    <mergeCell ref="C598:C614"/>
    <mergeCell ref="C615:C631"/>
    <mergeCell ref="C632:C648"/>
    <mergeCell ref="C649:C664"/>
    <mergeCell ref="C665:C681"/>
    <mergeCell ref="C682:C698"/>
    <mergeCell ref="C699:C710"/>
    <mergeCell ref="C711:C727"/>
    <mergeCell ref="C728:C744"/>
    <mergeCell ref="C745:C750"/>
    <mergeCell ref="C751:C756"/>
    <mergeCell ref="C757:C759"/>
    <mergeCell ref="C760:C765"/>
    <mergeCell ref="C766:C768"/>
    <mergeCell ref="C769:C773"/>
    <mergeCell ref="C774:C777"/>
    <mergeCell ref="C778:C785"/>
    <mergeCell ref="C786:C789"/>
    <mergeCell ref="C790:C796"/>
    <mergeCell ref="C797:C801"/>
    <mergeCell ref="C802:C806"/>
    <mergeCell ref="C807:C812"/>
    <mergeCell ref="C813:C817"/>
    <mergeCell ref="C818:C822"/>
    <mergeCell ref="C823:C828"/>
    <mergeCell ref="C829:C832"/>
    <mergeCell ref="C833:C835"/>
    <mergeCell ref="C836:C839"/>
    <mergeCell ref="C840:C843"/>
    <mergeCell ref="C845:C848"/>
    <mergeCell ref="C849:C852"/>
    <mergeCell ref="C853:C865"/>
    <mergeCell ref="C866:C877"/>
    <mergeCell ref="C878:C889"/>
    <mergeCell ref="C890:C902"/>
    <mergeCell ref="C903:C913"/>
    <mergeCell ref="C914:C927"/>
    <mergeCell ref="C928:C940"/>
    <mergeCell ref="C941:C953"/>
    <mergeCell ref="C954:C962"/>
    <mergeCell ref="C963:C972"/>
    <mergeCell ref="C973:C984"/>
    <mergeCell ref="C985:C996"/>
    <mergeCell ref="C997:C1006"/>
    <mergeCell ref="C1007:C1018"/>
    <mergeCell ref="C1019:C1027"/>
    <mergeCell ref="C1028:C1039"/>
    <mergeCell ref="C1040:C1048"/>
    <mergeCell ref="C1050:C1058"/>
    <mergeCell ref="C1059:C1067"/>
    <mergeCell ref="C1068:C1079"/>
    <mergeCell ref="C1080:C1088"/>
    <mergeCell ref="C1089:C1100"/>
    <mergeCell ref="C1101:C1109"/>
    <mergeCell ref="C1110:C1121"/>
    <mergeCell ref="C1122:C1134"/>
    <mergeCell ref="C1135:C1143"/>
    <mergeCell ref="C1144:C1156"/>
    <mergeCell ref="C1158:C1166"/>
    <mergeCell ref="C1167:C1194"/>
    <mergeCell ref="C1195:C1211"/>
    <mergeCell ref="C1212:C1228"/>
    <mergeCell ref="C1229:C1237"/>
    <mergeCell ref="C1238:C1252"/>
    <mergeCell ref="D9:D12"/>
    <mergeCell ref="D16:D19"/>
    <mergeCell ref="D20:D23"/>
    <mergeCell ref="D34:D38"/>
    <mergeCell ref="D44:D45"/>
    <mergeCell ref="D55:D56"/>
    <mergeCell ref="D86:D87"/>
    <mergeCell ref="D99:D104"/>
    <mergeCell ref="D105:D108"/>
    <mergeCell ref="D110:D112"/>
    <mergeCell ref="D165:D166"/>
    <mergeCell ref="D167:D170"/>
    <mergeCell ref="D174:D176"/>
    <mergeCell ref="D184:D187"/>
    <mergeCell ref="D192:D198"/>
    <mergeCell ref="D205:D207"/>
    <mergeCell ref="D208:D210"/>
    <mergeCell ref="D232:D233"/>
    <mergeCell ref="D237:D238"/>
    <mergeCell ref="D239:D242"/>
    <mergeCell ref="D247:D248"/>
    <mergeCell ref="D268:D269"/>
    <mergeCell ref="D270:D278"/>
    <mergeCell ref="D279:D282"/>
    <mergeCell ref="D284:D286"/>
    <mergeCell ref="D295:D297"/>
    <mergeCell ref="D298:D301"/>
    <mergeCell ref="D304:D305"/>
    <mergeCell ref="D310:D311"/>
    <mergeCell ref="D379:D381"/>
    <mergeCell ref="D382:D384"/>
    <mergeCell ref="D466:D483"/>
    <mergeCell ref="D484:D500"/>
    <mergeCell ref="D501:D517"/>
    <mergeCell ref="D518:D534"/>
    <mergeCell ref="D535:D551"/>
    <mergeCell ref="D552:D563"/>
    <mergeCell ref="D564:D580"/>
    <mergeCell ref="D581:D597"/>
    <mergeCell ref="D598:D614"/>
    <mergeCell ref="D615:D631"/>
    <mergeCell ref="D632:D648"/>
    <mergeCell ref="D649:D664"/>
    <mergeCell ref="D665:D681"/>
    <mergeCell ref="D682:D698"/>
    <mergeCell ref="D699:D710"/>
    <mergeCell ref="D711:D727"/>
    <mergeCell ref="D728:D744"/>
    <mergeCell ref="D745:D750"/>
    <mergeCell ref="D751:D756"/>
    <mergeCell ref="D757:D759"/>
    <mergeCell ref="D760:D765"/>
    <mergeCell ref="D766:D768"/>
    <mergeCell ref="D769:D773"/>
    <mergeCell ref="D774:D777"/>
    <mergeCell ref="D778:D785"/>
    <mergeCell ref="D786:D789"/>
    <mergeCell ref="D790:D796"/>
    <mergeCell ref="D797:D801"/>
    <mergeCell ref="D802:D806"/>
    <mergeCell ref="D807:D812"/>
    <mergeCell ref="D813:D817"/>
    <mergeCell ref="D818:D822"/>
    <mergeCell ref="D823:D828"/>
    <mergeCell ref="D829:D832"/>
    <mergeCell ref="D833:D835"/>
    <mergeCell ref="D836:D839"/>
    <mergeCell ref="D840:D843"/>
    <mergeCell ref="D845:D848"/>
    <mergeCell ref="D849:D852"/>
    <mergeCell ref="D853:D865"/>
    <mergeCell ref="D866:D877"/>
    <mergeCell ref="D878:D889"/>
    <mergeCell ref="D890:D902"/>
    <mergeCell ref="D903:D913"/>
    <mergeCell ref="D914:D927"/>
    <mergeCell ref="D928:D940"/>
    <mergeCell ref="D941:D953"/>
    <mergeCell ref="D954:D962"/>
    <mergeCell ref="D963:D972"/>
    <mergeCell ref="D973:D984"/>
    <mergeCell ref="D985:D996"/>
    <mergeCell ref="D997:D1006"/>
    <mergeCell ref="D1007:D1018"/>
    <mergeCell ref="D1019:D1027"/>
    <mergeCell ref="D1028:D1039"/>
    <mergeCell ref="D1040:D1048"/>
    <mergeCell ref="D1050:D1058"/>
    <mergeCell ref="D1059:D1067"/>
    <mergeCell ref="D1068:D1079"/>
    <mergeCell ref="D1080:D1088"/>
    <mergeCell ref="D1089:D1100"/>
    <mergeCell ref="D1101:D1109"/>
    <mergeCell ref="D1110:D1121"/>
    <mergeCell ref="D1122:D1134"/>
    <mergeCell ref="D1135:D1143"/>
    <mergeCell ref="D1144:D1156"/>
    <mergeCell ref="D1158:D1166"/>
    <mergeCell ref="D1167:D1194"/>
    <mergeCell ref="D1195:D1211"/>
    <mergeCell ref="D1212:D1228"/>
    <mergeCell ref="D1229:D1237"/>
    <mergeCell ref="D1238:D1252"/>
    <mergeCell ref="E9:E12"/>
    <mergeCell ref="E16:E19"/>
    <mergeCell ref="E20:E23"/>
    <mergeCell ref="E34:E38"/>
    <mergeCell ref="E44:E45"/>
    <mergeCell ref="E55:E56"/>
    <mergeCell ref="E86:E87"/>
    <mergeCell ref="E99:E104"/>
    <mergeCell ref="E105:E108"/>
    <mergeCell ref="E110:E112"/>
    <mergeCell ref="E165:E166"/>
    <mergeCell ref="E167:E170"/>
    <mergeCell ref="E174:E176"/>
    <mergeCell ref="E184:E187"/>
    <mergeCell ref="E192:E198"/>
    <mergeCell ref="E205:E207"/>
    <mergeCell ref="E208:E210"/>
    <mergeCell ref="E232:E233"/>
    <mergeCell ref="E237:E238"/>
    <mergeCell ref="E239:E242"/>
    <mergeCell ref="E247:E248"/>
    <mergeCell ref="E268:E269"/>
    <mergeCell ref="E270:E278"/>
    <mergeCell ref="E279:E282"/>
    <mergeCell ref="E284:E286"/>
    <mergeCell ref="E295:E297"/>
    <mergeCell ref="E298:E301"/>
    <mergeCell ref="E304:E305"/>
    <mergeCell ref="E310:E311"/>
    <mergeCell ref="E379:E381"/>
    <mergeCell ref="E382:E384"/>
    <mergeCell ref="E466:E483"/>
    <mergeCell ref="E484:E500"/>
    <mergeCell ref="E501:E517"/>
    <mergeCell ref="E518:E534"/>
    <mergeCell ref="E535:E551"/>
    <mergeCell ref="E552:E563"/>
    <mergeCell ref="E564:E580"/>
    <mergeCell ref="E581:E597"/>
    <mergeCell ref="E598:E614"/>
    <mergeCell ref="E615:E631"/>
    <mergeCell ref="E632:E648"/>
    <mergeCell ref="E649:E664"/>
    <mergeCell ref="E665:E681"/>
    <mergeCell ref="E682:E698"/>
    <mergeCell ref="E699:E710"/>
    <mergeCell ref="E711:E727"/>
    <mergeCell ref="E728:E744"/>
    <mergeCell ref="E745:E750"/>
    <mergeCell ref="E751:E756"/>
    <mergeCell ref="E757:E759"/>
    <mergeCell ref="E760:E765"/>
    <mergeCell ref="E766:E768"/>
    <mergeCell ref="E769:E773"/>
    <mergeCell ref="E774:E777"/>
    <mergeCell ref="E778:E785"/>
    <mergeCell ref="E786:E789"/>
    <mergeCell ref="E790:E796"/>
    <mergeCell ref="E797:E801"/>
    <mergeCell ref="E802:E806"/>
    <mergeCell ref="E807:E812"/>
    <mergeCell ref="E813:E817"/>
    <mergeCell ref="E818:E822"/>
    <mergeCell ref="E823:E828"/>
    <mergeCell ref="E829:E832"/>
    <mergeCell ref="E833:E835"/>
    <mergeCell ref="E836:E839"/>
    <mergeCell ref="E840:E843"/>
    <mergeCell ref="E845:E848"/>
    <mergeCell ref="E849:E852"/>
    <mergeCell ref="E853:E865"/>
    <mergeCell ref="E866:E877"/>
    <mergeCell ref="E878:E889"/>
    <mergeCell ref="E890:E902"/>
    <mergeCell ref="E903:E913"/>
    <mergeCell ref="E914:E927"/>
    <mergeCell ref="E928:E940"/>
    <mergeCell ref="E941:E953"/>
    <mergeCell ref="E954:E962"/>
    <mergeCell ref="E963:E972"/>
    <mergeCell ref="E973:E984"/>
    <mergeCell ref="E985:E996"/>
    <mergeCell ref="E997:E1006"/>
    <mergeCell ref="E1007:E1018"/>
    <mergeCell ref="E1019:E1027"/>
    <mergeCell ref="E1028:E1039"/>
    <mergeCell ref="E1040:E1048"/>
    <mergeCell ref="E1050:E1058"/>
    <mergeCell ref="E1059:E1067"/>
    <mergeCell ref="E1068:E1079"/>
    <mergeCell ref="E1080:E1088"/>
    <mergeCell ref="E1089:E1100"/>
    <mergeCell ref="E1101:E1109"/>
    <mergeCell ref="E1110:E1121"/>
    <mergeCell ref="E1122:E1134"/>
    <mergeCell ref="E1135:E1143"/>
    <mergeCell ref="E1144:E1156"/>
    <mergeCell ref="E1158:E1166"/>
    <mergeCell ref="E1167:E1194"/>
    <mergeCell ref="E1195:E1211"/>
    <mergeCell ref="E1212:E1228"/>
    <mergeCell ref="E1229:E1237"/>
    <mergeCell ref="E1238:E1252"/>
    <mergeCell ref="F3:F5"/>
    <mergeCell ref="F6:F8"/>
    <mergeCell ref="F9:F12"/>
    <mergeCell ref="F13:F15"/>
    <mergeCell ref="F16:F19"/>
    <mergeCell ref="F20:F23"/>
    <mergeCell ref="F24:F29"/>
    <mergeCell ref="F30:F33"/>
    <mergeCell ref="F34:F38"/>
    <mergeCell ref="F39:F43"/>
    <mergeCell ref="F44:F45"/>
    <mergeCell ref="F46:F49"/>
    <mergeCell ref="F50:F52"/>
    <mergeCell ref="F53:F54"/>
    <mergeCell ref="F55:F56"/>
    <mergeCell ref="F57:F60"/>
    <mergeCell ref="F61:F78"/>
    <mergeCell ref="F79:F85"/>
    <mergeCell ref="F86:F87"/>
    <mergeCell ref="F88:F91"/>
    <mergeCell ref="F92:F96"/>
    <mergeCell ref="F97:F98"/>
    <mergeCell ref="F99:F104"/>
    <mergeCell ref="F105:F108"/>
    <mergeCell ref="F110:F112"/>
    <mergeCell ref="F113:F116"/>
    <mergeCell ref="F117:F119"/>
    <mergeCell ref="F120:F123"/>
    <mergeCell ref="F124:F129"/>
    <mergeCell ref="F130:F151"/>
    <mergeCell ref="F152:F164"/>
    <mergeCell ref="F165:F166"/>
    <mergeCell ref="F167:F170"/>
    <mergeCell ref="F172:F173"/>
    <mergeCell ref="F174:F176"/>
    <mergeCell ref="F177:F183"/>
    <mergeCell ref="F184:F187"/>
    <mergeCell ref="F188:F191"/>
    <mergeCell ref="F192:F198"/>
    <mergeCell ref="F200:F204"/>
    <mergeCell ref="F205:F207"/>
    <mergeCell ref="F208:F210"/>
    <mergeCell ref="F211:F220"/>
    <mergeCell ref="F221:F224"/>
    <mergeCell ref="F225:F231"/>
    <mergeCell ref="F232:F233"/>
    <mergeCell ref="F234:F236"/>
    <mergeCell ref="F237:F238"/>
    <mergeCell ref="F239:F242"/>
    <mergeCell ref="F243:F246"/>
    <mergeCell ref="F247:F248"/>
    <mergeCell ref="F249:F267"/>
    <mergeCell ref="F268:F269"/>
    <mergeCell ref="F270:F278"/>
    <mergeCell ref="F279:F282"/>
    <mergeCell ref="F284:F286"/>
    <mergeCell ref="F288:F291"/>
    <mergeCell ref="F292:F294"/>
    <mergeCell ref="F295:F297"/>
    <mergeCell ref="F298:F301"/>
    <mergeCell ref="F302:F303"/>
    <mergeCell ref="F304:F305"/>
    <mergeCell ref="F306:F309"/>
    <mergeCell ref="F310:F311"/>
    <mergeCell ref="F312:F335"/>
    <mergeCell ref="F336:F339"/>
    <mergeCell ref="F340:F354"/>
    <mergeCell ref="F355:F356"/>
    <mergeCell ref="F357:F361"/>
    <mergeCell ref="F362:F364"/>
    <mergeCell ref="F365:F366"/>
    <mergeCell ref="F367:F378"/>
    <mergeCell ref="F379:F381"/>
    <mergeCell ref="F382:F384"/>
    <mergeCell ref="F385:F406"/>
    <mergeCell ref="F466:F483"/>
    <mergeCell ref="F484:F500"/>
    <mergeCell ref="F501:F517"/>
    <mergeCell ref="F518:F534"/>
    <mergeCell ref="F535:F551"/>
    <mergeCell ref="F552:F563"/>
    <mergeCell ref="F564:F580"/>
    <mergeCell ref="F581:F597"/>
    <mergeCell ref="F598:F614"/>
    <mergeCell ref="F615:F631"/>
    <mergeCell ref="F632:F648"/>
    <mergeCell ref="F649:F664"/>
    <mergeCell ref="F665:F681"/>
    <mergeCell ref="F682:F698"/>
    <mergeCell ref="F699:F710"/>
    <mergeCell ref="F711:F727"/>
    <mergeCell ref="F728:F744"/>
    <mergeCell ref="F745:F750"/>
    <mergeCell ref="F751:F756"/>
    <mergeCell ref="F757:F759"/>
    <mergeCell ref="F760:F765"/>
    <mergeCell ref="F766:F768"/>
    <mergeCell ref="F769:F773"/>
    <mergeCell ref="F774:F777"/>
    <mergeCell ref="F778:F785"/>
    <mergeCell ref="F786:F789"/>
    <mergeCell ref="F790:F796"/>
    <mergeCell ref="F797:F801"/>
    <mergeCell ref="F802:F806"/>
    <mergeCell ref="F807:F812"/>
    <mergeCell ref="F813:F817"/>
    <mergeCell ref="F818:F822"/>
    <mergeCell ref="F823:F828"/>
    <mergeCell ref="F829:F832"/>
    <mergeCell ref="F833:F835"/>
    <mergeCell ref="F836:F839"/>
    <mergeCell ref="F840:F843"/>
    <mergeCell ref="F845:F848"/>
    <mergeCell ref="F849:F852"/>
    <mergeCell ref="F853:F865"/>
    <mergeCell ref="F866:F877"/>
    <mergeCell ref="F878:F889"/>
    <mergeCell ref="F890:F902"/>
    <mergeCell ref="F903:F913"/>
    <mergeCell ref="F914:F927"/>
    <mergeCell ref="F928:F940"/>
    <mergeCell ref="F941:F953"/>
    <mergeCell ref="F954:F962"/>
    <mergeCell ref="F963:F972"/>
    <mergeCell ref="F973:F984"/>
    <mergeCell ref="F985:F996"/>
    <mergeCell ref="F997:F1006"/>
    <mergeCell ref="F1007:F1018"/>
    <mergeCell ref="F1019:F1027"/>
    <mergeCell ref="F1028:F1039"/>
    <mergeCell ref="F1040:F1048"/>
    <mergeCell ref="F1049:F1058"/>
    <mergeCell ref="F1059:F1067"/>
    <mergeCell ref="F1068:F1079"/>
    <mergeCell ref="F1080:F1088"/>
    <mergeCell ref="F1089:F1100"/>
    <mergeCell ref="F1101:F1109"/>
    <mergeCell ref="F1110:F1121"/>
    <mergeCell ref="F1122:F1134"/>
    <mergeCell ref="F1135:F1143"/>
    <mergeCell ref="F1144:F1156"/>
    <mergeCell ref="F1158:F1166"/>
    <mergeCell ref="F1167:F1194"/>
    <mergeCell ref="F1195:F1211"/>
    <mergeCell ref="F1212:F1228"/>
    <mergeCell ref="F1229:F1237"/>
    <mergeCell ref="F1238:F1252"/>
    <mergeCell ref="G3:G5"/>
    <mergeCell ref="G6:G8"/>
    <mergeCell ref="G9:G12"/>
    <mergeCell ref="G13:G15"/>
    <mergeCell ref="G16:G19"/>
    <mergeCell ref="G20:G23"/>
    <mergeCell ref="G24:G29"/>
    <mergeCell ref="G30:G33"/>
    <mergeCell ref="G34:G38"/>
    <mergeCell ref="G39:G43"/>
    <mergeCell ref="G44:G45"/>
    <mergeCell ref="G46:G49"/>
    <mergeCell ref="G50:G52"/>
    <mergeCell ref="G53:G54"/>
    <mergeCell ref="G55:G56"/>
    <mergeCell ref="G57:G60"/>
    <mergeCell ref="G61:G78"/>
    <mergeCell ref="G79:G85"/>
    <mergeCell ref="G86:G87"/>
    <mergeCell ref="G88:G91"/>
    <mergeCell ref="G92:G96"/>
    <mergeCell ref="G97:G98"/>
    <mergeCell ref="G99:G104"/>
    <mergeCell ref="G105:G108"/>
    <mergeCell ref="G110:G112"/>
    <mergeCell ref="G113:G116"/>
    <mergeCell ref="G117:G119"/>
    <mergeCell ref="G120:G123"/>
    <mergeCell ref="G124:G129"/>
    <mergeCell ref="G130:G151"/>
    <mergeCell ref="G152:G164"/>
    <mergeCell ref="G165:G166"/>
    <mergeCell ref="G167:G170"/>
    <mergeCell ref="G172:G173"/>
    <mergeCell ref="G174:G176"/>
    <mergeCell ref="G177:G183"/>
    <mergeCell ref="G184:G187"/>
    <mergeCell ref="G188:G191"/>
    <mergeCell ref="G192:G198"/>
    <mergeCell ref="G200:G204"/>
    <mergeCell ref="G205:G207"/>
    <mergeCell ref="G208:G210"/>
    <mergeCell ref="G211:G220"/>
    <mergeCell ref="G221:G224"/>
    <mergeCell ref="G225:G231"/>
    <mergeCell ref="G232:G233"/>
    <mergeCell ref="G234:G236"/>
    <mergeCell ref="G237:G238"/>
    <mergeCell ref="G239:G242"/>
    <mergeCell ref="G243:G246"/>
    <mergeCell ref="G247:G248"/>
    <mergeCell ref="G249:G267"/>
    <mergeCell ref="G268:G269"/>
    <mergeCell ref="G270:G278"/>
    <mergeCell ref="G279:G282"/>
    <mergeCell ref="G284:G286"/>
    <mergeCell ref="G288:G291"/>
    <mergeCell ref="G292:G294"/>
    <mergeCell ref="G295:G297"/>
    <mergeCell ref="G298:G301"/>
    <mergeCell ref="G302:G303"/>
    <mergeCell ref="G304:G305"/>
    <mergeCell ref="G306:G309"/>
    <mergeCell ref="G310:G311"/>
    <mergeCell ref="G312:G335"/>
    <mergeCell ref="G336:G339"/>
    <mergeCell ref="G340:G354"/>
    <mergeCell ref="G355:G356"/>
    <mergeCell ref="G357:G361"/>
    <mergeCell ref="G362:G364"/>
    <mergeCell ref="G365:G366"/>
    <mergeCell ref="G367:G378"/>
    <mergeCell ref="G379:G381"/>
    <mergeCell ref="G382:G384"/>
    <mergeCell ref="G385:G406"/>
    <mergeCell ref="G407:G414"/>
    <mergeCell ref="G415:G421"/>
    <mergeCell ref="G422:G426"/>
    <mergeCell ref="G427:G438"/>
    <mergeCell ref="G439:G444"/>
    <mergeCell ref="G445:G452"/>
    <mergeCell ref="G453:G465"/>
    <mergeCell ref="G466:G483"/>
    <mergeCell ref="G484:G500"/>
    <mergeCell ref="G501:G517"/>
    <mergeCell ref="G518:G534"/>
    <mergeCell ref="G535:G551"/>
    <mergeCell ref="G552:G563"/>
    <mergeCell ref="G564:G580"/>
    <mergeCell ref="G581:G597"/>
    <mergeCell ref="G598:G614"/>
    <mergeCell ref="G615:G631"/>
    <mergeCell ref="G632:G648"/>
    <mergeCell ref="G649:G664"/>
    <mergeCell ref="G665:G681"/>
    <mergeCell ref="G682:G698"/>
    <mergeCell ref="G699:G710"/>
    <mergeCell ref="G711:G727"/>
    <mergeCell ref="G728:G744"/>
    <mergeCell ref="G745:G750"/>
    <mergeCell ref="G751:G756"/>
    <mergeCell ref="G757:G759"/>
    <mergeCell ref="G760:G765"/>
    <mergeCell ref="G766:G768"/>
    <mergeCell ref="G769:G773"/>
    <mergeCell ref="G774:G777"/>
    <mergeCell ref="G778:G785"/>
    <mergeCell ref="G786:G789"/>
    <mergeCell ref="G790:G796"/>
    <mergeCell ref="G797:G801"/>
    <mergeCell ref="G802:G806"/>
    <mergeCell ref="G807:G812"/>
    <mergeCell ref="G813:G817"/>
    <mergeCell ref="G818:G822"/>
    <mergeCell ref="G823:G828"/>
    <mergeCell ref="G829:G832"/>
    <mergeCell ref="G833:G835"/>
    <mergeCell ref="G836:G839"/>
    <mergeCell ref="G840:G843"/>
    <mergeCell ref="G845:G848"/>
    <mergeCell ref="G849:G852"/>
    <mergeCell ref="G853:G865"/>
    <mergeCell ref="G866:G877"/>
    <mergeCell ref="G878:G889"/>
    <mergeCell ref="G890:G902"/>
    <mergeCell ref="G903:G913"/>
    <mergeCell ref="G914:G927"/>
    <mergeCell ref="G928:G940"/>
    <mergeCell ref="G941:G953"/>
    <mergeCell ref="G954:G962"/>
    <mergeCell ref="G963:G972"/>
    <mergeCell ref="G973:G984"/>
    <mergeCell ref="G985:G996"/>
    <mergeCell ref="G997:G1006"/>
    <mergeCell ref="G1007:G1018"/>
    <mergeCell ref="G1019:G1027"/>
    <mergeCell ref="G1028:G1039"/>
    <mergeCell ref="G1040:G1048"/>
    <mergeCell ref="G1049:G1058"/>
    <mergeCell ref="G1059:G1067"/>
    <mergeCell ref="G1068:G1079"/>
    <mergeCell ref="G1080:G1088"/>
    <mergeCell ref="G1089:G1100"/>
    <mergeCell ref="G1101:G1109"/>
    <mergeCell ref="G1110:G1121"/>
    <mergeCell ref="G1122:G1134"/>
    <mergeCell ref="G1135:G1143"/>
    <mergeCell ref="G1144:G1156"/>
    <mergeCell ref="G1158:G1166"/>
    <mergeCell ref="G1167:G1194"/>
    <mergeCell ref="G1195:G1211"/>
    <mergeCell ref="G1212:G1228"/>
    <mergeCell ref="G1229:G1237"/>
    <mergeCell ref="G1238:G1252"/>
    <mergeCell ref="H466:H469"/>
    <mergeCell ref="H470:H471"/>
    <mergeCell ref="H472:H473"/>
    <mergeCell ref="H474:H475"/>
    <mergeCell ref="H477:H483"/>
    <mergeCell ref="H484:H487"/>
    <mergeCell ref="H488:H489"/>
    <mergeCell ref="H490:H491"/>
    <mergeCell ref="H492:H493"/>
    <mergeCell ref="H494:H500"/>
    <mergeCell ref="H501:H504"/>
    <mergeCell ref="H505:H506"/>
    <mergeCell ref="H507:H508"/>
    <mergeCell ref="H509:H510"/>
    <mergeCell ref="H511:H517"/>
    <mergeCell ref="H518:H521"/>
    <mergeCell ref="H522:H523"/>
    <mergeCell ref="H524:H525"/>
    <mergeCell ref="H526:H527"/>
    <mergeCell ref="H528:H534"/>
    <mergeCell ref="H535:H538"/>
    <mergeCell ref="H539:H540"/>
    <mergeCell ref="H541:H542"/>
    <mergeCell ref="H543:H544"/>
    <mergeCell ref="H545:H551"/>
    <mergeCell ref="H552:H555"/>
    <mergeCell ref="H556:H557"/>
    <mergeCell ref="H558:H559"/>
    <mergeCell ref="H560:H563"/>
    <mergeCell ref="H564:H567"/>
    <mergeCell ref="H568:H569"/>
    <mergeCell ref="H570:H571"/>
    <mergeCell ref="H572:H573"/>
    <mergeCell ref="H574:H580"/>
    <mergeCell ref="H581:H584"/>
    <mergeCell ref="H585:H586"/>
    <mergeCell ref="H587:H588"/>
    <mergeCell ref="H589:H590"/>
    <mergeCell ref="H591:H597"/>
    <mergeCell ref="H598:H601"/>
    <mergeCell ref="H602:H603"/>
    <mergeCell ref="H604:H605"/>
    <mergeCell ref="H606:H607"/>
    <mergeCell ref="H608:H614"/>
    <mergeCell ref="H615:H618"/>
    <mergeCell ref="H619:H620"/>
    <mergeCell ref="H621:H622"/>
    <mergeCell ref="H623:H624"/>
    <mergeCell ref="H625:H631"/>
    <mergeCell ref="H632:H635"/>
    <mergeCell ref="H636:H637"/>
    <mergeCell ref="H638:H639"/>
    <mergeCell ref="H640:H641"/>
    <mergeCell ref="H642:H648"/>
    <mergeCell ref="H649:H652"/>
    <mergeCell ref="H653:H654"/>
    <mergeCell ref="H655:H656"/>
    <mergeCell ref="H657:H658"/>
    <mergeCell ref="H659:H664"/>
    <mergeCell ref="H665:H668"/>
    <mergeCell ref="H669:H670"/>
    <mergeCell ref="H671:H672"/>
    <mergeCell ref="H673:H674"/>
    <mergeCell ref="H675:H681"/>
    <mergeCell ref="H682:H685"/>
    <mergeCell ref="H686:H687"/>
    <mergeCell ref="H688:H689"/>
    <mergeCell ref="H690:H691"/>
    <mergeCell ref="H692:H698"/>
    <mergeCell ref="H699:H702"/>
    <mergeCell ref="H703:H704"/>
    <mergeCell ref="H706:H710"/>
    <mergeCell ref="H711:H714"/>
    <mergeCell ref="H715:H716"/>
    <mergeCell ref="H717:H718"/>
    <mergeCell ref="H719:H720"/>
    <mergeCell ref="H721:H727"/>
    <mergeCell ref="H728:H731"/>
    <mergeCell ref="H732:H733"/>
    <mergeCell ref="H734:H735"/>
    <mergeCell ref="H736:H737"/>
    <mergeCell ref="H738:H744"/>
    <mergeCell ref="H853:H854"/>
    <mergeCell ref="H857:H858"/>
    <mergeCell ref="H859:H862"/>
    <mergeCell ref="H866:H867"/>
    <mergeCell ref="H869:H870"/>
    <mergeCell ref="H871:H874"/>
    <mergeCell ref="H890:H894"/>
    <mergeCell ref="H897:H898"/>
    <mergeCell ref="H899:H900"/>
    <mergeCell ref="H905:H906"/>
    <mergeCell ref="H907:H910"/>
    <mergeCell ref="H928:H929"/>
    <mergeCell ref="H932:H933"/>
    <mergeCell ref="H934:H937"/>
    <mergeCell ref="H941:H942"/>
    <mergeCell ref="H945:H946"/>
    <mergeCell ref="H947:H950"/>
    <mergeCell ref="H956:H957"/>
    <mergeCell ref="H958:H961"/>
    <mergeCell ref="H973:H975"/>
    <mergeCell ref="H976:H978"/>
    <mergeCell ref="H979:H980"/>
    <mergeCell ref="H985:H988"/>
    <mergeCell ref="H989:H991"/>
    <mergeCell ref="H992:H993"/>
    <mergeCell ref="H994:H995"/>
    <mergeCell ref="H997:H998"/>
    <mergeCell ref="H1000:H1003"/>
    <mergeCell ref="H1021:H1022"/>
    <mergeCell ref="H1023:H1026"/>
    <mergeCell ref="H1028:H1029"/>
    <mergeCell ref="H1033:H1036"/>
    <mergeCell ref="H1042:H1043"/>
    <mergeCell ref="H1044:H1047"/>
    <mergeCell ref="H1068:H1069"/>
    <mergeCell ref="H1071:H1072"/>
    <mergeCell ref="H1073:H1076"/>
    <mergeCell ref="H1082:H1083"/>
    <mergeCell ref="H1084:H1087"/>
    <mergeCell ref="H1089:H1090"/>
    <mergeCell ref="H1092:H1093"/>
    <mergeCell ref="H1094:H1097"/>
    <mergeCell ref="H1103:H1104"/>
    <mergeCell ref="H1105:H1108"/>
    <mergeCell ref="H1111:H1112"/>
    <mergeCell ref="H1113:H1114"/>
    <mergeCell ref="H1115:H1118"/>
    <mergeCell ref="H1122:H1123"/>
    <mergeCell ref="H1126:H1127"/>
    <mergeCell ref="H1128:H1131"/>
    <mergeCell ref="H1137:H1138"/>
    <mergeCell ref="H1139:H1142"/>
    <mergeCell ref="H1144:H1145"/>
    <mergeCell ref="H1147:H1148"/>
    <mergeCell ref="H1150:H1154"/>
    <mergeCell ref="H1160:H1161"/>
    <mergeCell ref="H1162:H1165"/>
    <mergeCell ref="H1167:H1171"/>
    <mergeCell ref="H1172:H1173"/>
    <mergeCell ref="H1174:H1176"/>
    <mergeCell ref="H1177:H1180"/>
    <mergeCell ref="H1181:H1182"/>
    <mergeCell ref="H1183:H1186"/>
    <mergeCell ref="H1188:H1190"/>
    <mergeCell ref="H1191:H1194"/>
    <mergeCell ref="H1195:H1199"/>
    <mergeCell ref="H1200:H1202"/>
    <mergeCell ref="H1212:H1214"/>
    <mergeCell ref="H1216:H1219"/>
    <mergeCell ref="H1220:H1224"/>
    <mergeCell ref="H1225:H1226"/>
    <mergeCell ref="H1231:H1232"/>
    <mergeCell ref="H1233:H1236"/>
    <mergeCell ref="H1238:H1240"/>
    <mergeCell ref="H1242:H1245"/>
    <mergeCell ref="H1246:H1249"/>
    <mergeCell ref="H1250:H1251"/>
    <mergeCell ref="O3:O5"/>
    <mergeCell ref="O6:O8"/>
    <mergeCell ref="O9:O12"/>
    <mergeCell ref="O13:O15"/>
    <mergeCell ref="O16:O19"/>
    <mergeCell ref="O20:O23"/>
    <mergeCell ref="O24:O29"/>
    <mergeCell ref="O30:O33"/>
    <mergeCell ref="O34:O38"/>
    <mergeCell ref="O39:O43"/>
    <mergeCell ref="O44:O45"/>
    <mergeCell ref="O46:O49"/>
    <mergeCell ref="O50:O52"/>
    <mergeCell ref="O53:O54"/>
    <mergeCell ref="O55:O56"/>
    <mergeCell ref="O57:O60"/>
    <mergeCell ref="O61:O78"/>
    <mergeCell ref="O79:O85"/>
    <mergeCell ref="O86:O87"/>
    <mergeCell ref="O88:O91"/>
    <mergeCell ref="O92:O96"/>
    <mergeCell ref="O97:O98"/>
    <mergeCell ref="O99:O104"/>
    <mergeCell ref="O105:O108"/>
    <mergeCell ref="O110:O112"/>
    <mergeCell ref="O113:O116"/>
    <mergeCell ref="O117:O119"/>
    <mergeCell ref="O120:O123"/>
    <mergeCell ref="O124:O129"/>
    <mergeCell ref="O130:O151"/>
    <mergeCell ref="O152:O164"/>
    <mergeCell ref="O165:O166"/>
    <mergeCell ref="O167:O170"/>
    <mergeCell ref="O172:O173"/>
    <mergeCell ref="O174:O176"/>
    <mergeCell ref="O177:O183"/>
    <mergeCell ref="O184:O187"/>
    <mergeCell ref="O188:O191"/>
    <mergeCell ref="O192:O198"/>
    <mergeCell ref="O200:O204"/>
    <mergeCell ref="O205:O207"/>
    <mergeCell ref="O208:O210"/>
    <mergeCell ref="O211:O220"/>
    <mergeCell ref="O221:O224"/>
    <mergeCell ref="O225:O231"/>
    <mergeCell ref="O232:O233"/>
    <mergeCell ref="O234:O236"/>
    <mergeCell ref="O237:O238"/>
    <mergeCell ref="O239:O242"/>
    <mergeCell ref="O243:O246"/>
    <mergeCell ref="O247:O248"/>
    <mergeCell ref="O249:O267"/>
    <mergeCell ref="O268:O269"/>
    <mergeCell ref="O270:O278"/>
    <mergeCell ref="O279:O282"/>
    <mergeCell ref="O284:O286"/>
    <mergeCell ref="O288:O291"/>
    <mergeCell ref="O292:O294"/>
    <mergeCell ref="O295:O297"/>
    <mergeCell ref="O298:O301"/>
    <mergeCell ref="O302:O303"/>
    <mergeCell ref="O304:O305"/>
    <mergeCell ref="O306:O309"/>
    <mergeCell ref="O310:O311"/>
    <mergeCell ref="O312:O335"/>
    <mergeCell ref="O336:O339"/>
    <mergeCell ref="O340:O354"/>
    <mergeCell ref="O355:O356"/>
    <mergeCell ref="O357:O361"/>
    <mergeCell ref="O362:O364"/>
    <mergeCell ref="O365:O366"/>
    <mergeCell ref="O367:O378"/>
    <mergeCell ref="O379:O381"/>
    <mergeCell ref="O382:O384"/>
    <mergeCell ref="O385:O406"/>
    <mergeCell ref="O407:O414"/>
    <mergeCell ref="O415:O421"/>
    <mergeCell ref="O422:O426"/>
    <mergeCell ref="O427:O438"/>
    <mergeCell ref="O439:O444"/>
    <mergeCell ref="O445:O452"/>
    <mergeCell ref="O453:O465"/>
    <mergeCell ref="O466:O483"/>
    <mergeCell ref="O484:O500"/>
    <mergeCell ref="O501:O517"/>
    <mergeCell ref="O518:O534"/>
    <mergeCell ref="O535:O551"/>
    <mergeCell ref="O552:O563"/>
    <mergeCell ref="O564:O580"/>
    <mergeCell ref="O581:O597"/>
    <mergeCell ref="O598:O614"/>
    <mergeCell ref="O615:O631"/>
    <mergeCell ref="O632:O648"/>
    <mergeCell ref="O649:O664"/>
    <mergeCell ref="O665:O681"/>
    <mergeCell ref="O682:O698"/>
    <mergeCell ref="O699:O710"/>
    <mergeCell ref="O711:O727"/>
    <mergeCell ref="O728:O744"/>
    <mergeCell ref="O745:O750"/>
    <mergeCell ref="O751:O756"/>
    <mergeCell ref="O757:O759"/>
    <mergeCell ref="O760:O765"/>
    <mergeCell ref="O766:O768"/>
    <mergeCell ref="O769:O773"/>
    <mergeCell ref="O774:O777"/>
    <mergeCell ref="O778:O785"/>
    <mergeCell ref="O786:O789"/>
    <mergeCell ref="O790:O796"/>
    <mergeCell ref="O797:O801"/>
    <mergeCell ref="O802:O806"/>
    <mergeCell ref="O807:O812"/>
    <mergeCell ref="O813:O817"/>
    <mergeCell ref="O818:O822"/>
    <mergeCell ref="O823:O828"/>
    <mergeCell ref="O829:O832"/>
    <mergeCell ref="O833:O835"/>
    <mergeCell ref="O836:O839"/>
    <mergeCell ref="O840:O843"/>
    <mergeCell ref="O845:O848"/>
    <mergeCell ref="O849:O852"/>
    <mergeCell ref="O853:O865"/>
    <mergeCell ref="O866:O877"/>
    <mergeCell ref="O878:O889"/>
    <mergeCell ref="O890:O902"/>
    <mergeCell ref="O903:O913"/>
    <mergeCell ref="O914:O927"/>
    <mergeCell ref="O928:O940"/>
    <mergeCell ref="O941:O953"/>
    <mergeCell ref="O954:O962"/>
    <mergeCell ref="O963:O972"/>
    <mergeCell ref="O973:O984"/>
    <mergeCell ref="O985:O996"/>
    <mergeCell ref="O997:O1006"/>
    <mergeCell ref="O1007:O1018"/>
    <mergeCell ref="O1019:O1027"/>
    <mergeCell ref="O1028:O1039"/>
    <mergeCell ref="O1040:O1048"/>
    <mergeCell ref="O1050:O1058"/>
    <mergeCell ref="O1059:O1067"/>
    <mergeCell ref="O1068:O1079"/>
    <mergeCell ref="O1080:O1088"/>
    <mergeCell ref="O1089:O1100"/>
    <mergeCell ref="O1101:O1109"/>
    <mergeCell ref="O1110:O1121"/>
    <mergeCell ref="O1122:O1134"/>
    <mergeCell ref="O1135:O1143"/>
    <mergeCell ref="O1144:O1156"/>
    <mergeCell ref="O1158:O1166"/>
    <mergeCell ref="O1167:O1194"/>
    <mergeCell ref="O1195:O1211"/>
    <mergeCell ref="O1212:O1228"/>
    <mergeCell ref="O1229:O1237"/>
    <mergeCell ref="O1238:O1252"/>
    <mergeCell ref="P6:P8"/>
    <mergeCell ref="P9:P12"/>
    <mergeCell ref="P13:P15"/>
    <mergeCell ref="P16:P19"/>
    <mergeCell ref="P20:P23"/>
    <mergeCell ref="P30:P33"/>
    <mergeCell ref="P34:P38"/>
    <mergeCell ref="P39:P43"/>
    <mergeCell ref="P44:P45"/>
    <mergeCell ref="P46:P49"/>
    <mergeCell ref="P50:P52"/>
    <mergeCell ref="P53:P54"/>
    <mergeCell ref="P55:P56"/>
    <mergeCell ref="P57:P60"/>
    <mergeCell ref="P61:P78"/>
    <mergeCell ref="P79:P85"/>
    <mergeCell ref="P86:P87"/>
    <mergeCell ref="P99:P104"/>
    <mergeCell ref="P110:P112"/>
    <mergeCell ref="P117:P119"/>
    <mergeCell ref="P130:P151"/>
    <mergeCell ref="P165:P166"/>
    <mergeCell ref="P167:P170"/>
    <mergeCell ref="P172:P173"/>
    <mergeCell ref="P174:P176"/>
    <mergeCell ref="P184:P187"/>
    <mergeCell ref="P188:P191"/>
    <mergeCell ref="P192:P198"/>
    <mergeCell ref="P200:P204"/>
    <mergeCell ref="P211:P220"/>
    <mergeCell ref="P232:P233"/>
    <mergeCell ref="P234:P236"/>
    <mergeCell ref="P237:P238"/>
    <mergeCell ref="P243:P246"/>
    <mergeCell ref="P247:P248"/>
    <mergeCell ref="P249:P267"/>
    <mergeCell ref="P268:P269"/>
    <mergeCell ref="P270:P278"/>
    <mergeCell ref="P284:P286"/>
    <mergeCell ref="P288:P291"/>
    <mergeCell ref="P292:P294"/>
    <mergeCell ref="P295:P297"/>
    <mergeCell ref="P298:P301"/>
    <mergeCell ref="P302:P303"/>
    <mergeCell ref="P304:P305"/>
    <mergeCell ref="P310:P311"/>
    <mergeCell ref="P312:P335"/>
    <mergeCell ref="P340:P354"/>
    <mergeCell ref="P355:P356"/>
    <mergeCell ref="P357:P361"/>
    <mergeCell ref="P362:P364"/>
    <mergeCell ref="P365:P366"/>
    <mergeCell ref="P367:P378"/>
    <mergeCell ref="P379:P381"/>
    <mergeCell ref="P382:P384"/>
    <mergeCell ref="P385:P406"/>
    <mergeCell ref="P466:P483"/>
    <mergeCell ref="P484:P500"/>
    <mergeCell ref="P501:P517"/>
    <mergeCell ref="P518:P534"/>
    <mergeCell ref="P535:P551"/>
    <mergeCell ref="P552:P563"/>
    <mergeCell ref="P564:P580"/>
    <mergeCell ref="P581:P597"/>
    <mergeCell ref="P598:P614"/>
    <mergeCell ref="P615:P631"/>
    <mergeCell ref="P632:P648"/>
    <mergeCell ref="P649:P664"/>
    <mergeCell ref="P665:P681"/>
    <mergeCell ref="P682:P698"/>
    <mergeCell ref="P699:P710"/>
    <mergeCell ref="P711:P727"/>
    <mergeCell ref="P728:P744"/>
    <mergeCell ref="Q6:Q8"/>
    <mergeCell ref="Q9:Q12"/>
    <mergeCell ref="Q13:Q15"/>
    <mergeCell ref="Q16:Q19"/>
    <mergeCell ref="Q20:Q23"/>
    <mergeCell ref="Q30:Q33"/>
    <mergeCell ref="Q34:Q38"/>
    <mergeCell ref="Q39:Q43"/>
    <mergeCell ref="Q44:Q45"/>
    <mergeCell ref="Q46:Q49"/>
    <mergeCell ref="Q50:Q52"/>
    <mergeCell ref="Q53:Q54"/>
    <mergeCell ref="Q55:Q56"/>
    <mergeCell ref="Q57:Q60"/>
    <mergeCell ref="Q61:Q78"/>
    <mergeCell ref="Q79:Q85"/>
    <mergeCell ref="Q86:Q87"/>
    <mergeCell ref="Q99:Q104"/>
    <mergeCell ref="Q110:Q112"/>
    <mergeCell ref="Q117:Q119"/>
    <mergeCell ref="Q130:Q151"/>
    <mergeCell ref="Q165:Q166"/>
    <mergeCell ref="Q167:Q170"/>
    <mergeCell ref="Q172:Q173"/>
    <mergeCell ref="Q174:Q176"/>
    <mergeCell ref="Q184:Q187"/>
    <mergeCell ref="Q188:Q191"/>
    <mergeCell ref="Q192:Q198"/>
    <mergeCell ref="Q200:Q204"/>
    <mergeCell ref="Q211:Q220"/>
    <mergeCell ref="Q232:Q233"/>
    <mergeCell ref="Q234:Q236"/>
    <mergeCell ref="Q237:Q238"/>
    <mergeCell ref="Q243:Q246"/>
    <mergeCell ref="Q247:Q248"/>
    <mergeCell ref="Q249:Q267"/>
    <mergeCell ref="Q268:Q269"/>
    <mergeCell ref="Q270:Q278"/>
    <mergeCell ref="Q284:Q286"/>
    <mergeCell ref="Q288:Q291"/>
    <mergeCell ref="Q292:Q294"/>
    <mergeCell ref="Q295:Q297"/>
    <mergeCell ref="Q298:Q301"/>
    <mergeCell ref="Q302:Q303"/>
    <mergeCell ref="Q304:Q305"/>
    <mergeCell ref="Q310:Q311"/>
    <mergeCell ref="Q312:Q335"/>
    <mergeCell ref="Q340:Q354"/>
    <mergeCell ref="Q355:Q356"/>
    <mergeCell ref="Q357:Q361"/>
    <mergeCell ref="Q362:Q364"/>
    <mergeCell ref="Q365:Q366"/>
    <mergeCell ref="Q367:Q378"/>
    <mergeCell ref="Q379:Q381"/>
    <mergeCell ref="Q382:Q384"/>
    <mergeCell ref="Q385:Q406"/>
    <mergeCell ref="Q466:Q483"/>
    <mergeCell ref="Q484:Q500"/>
    <mergeCell ref="Q501:Q517"/>
    <mergeCell ref="Q518:Q534"/>
    <mergeCell ref="Q535:Q551"/>
    <mergeCell ref="Q552:Q563"/>
    <mergeCell ref="Q564:Q580"/>
    <mergeCell ref="Q581:Q597"/>
    <mergeCell ref="Q598:Q614"/>
    <mergeCell ref="Q615:Q631"/>
    <mergeCell ref="Q632:Q648"/>
    <mergeCell ref="Q649:Q664"/>
    <mergeCell ref="Q665:Q681"/>
    <mergeCell ref="Q682:Q698"/>
    <mergeCell ref="Q699:Q710"/>
    <mergeCell ref="Q711:Q727"/>
    <mergeCell ref="Q728:Q744"/>
    <mergeCell ref="R6:R8"/>
    <mergeCell ref="R9:R12"/>
    <mergeCell ref="R13:R15"/>
    <mergeCell ref="R16:R19"/>
    <mergeCell ref="R20:R23"/>
    <mergeCell ref="R30:R33"/>
    <mergeCell ref="R34:R38"/>
    <mergeCell ref="R39:R43"/>
    <mergeCell ref="R44:R45"/>
    <mergeCell ref="R46:R49"/>
    <mergeCell ref="R50:R52"/>
    <mergeCell ref="R53:R54"/>
    <mergeCell ref="R55:R56"/>
    <mergeCell ref="R57:R60"/>
    <mergeCell ref="R61:R78"/>
    <mergeCell ref="R79:R85"/>
    <mergeCell ref="R86:R87"/>
    <mergeCell ref="R99:R104"/>
    <mergeCell ref="R110:R112"/>
    <mergeCell ref="R117:R119"/>
    <mergeCell ref="R130:R151"/>
    <mergeCell ref="R165:R166"/>
    <mergeCell ref="R167:R170"/>
    <mergeCell ref="R172:R173"/>
    <mergeCell ref="R174:R176"/>
    <mergeCell ref="R184:R187"/>
    <mergeCell ref="R188:R191"/>
    <mergeCell ref="R192:R198"/>
    <mergeCell ref="R200:R204"/>
    <mergeCell ref="R211:R220"/>
    <mergeCell ref="R232:R233"/>
    <mergeCell ref="R234:R236"/>
    <mergeCell ref="R237:R238"/>
    <mergeCell ref="R243:R246"/>
    <mergeCell ref="R247:R248"/>
    <mergeCell ref="R249:R267"/>
    <mergeCell ref="R268:R269"/>
    <mergeCell ref="R270:R278"/>
    <mergeCell ref="R284:R286"/>
    <mergeCell ref="R288:R291"/>
    <mergeCell ref="R292:R294"/>
    <mergeCell ref="R295:R297"/>
    <mergeCell ref="R298:R301"/>
    <mergeCell ref="R302:R303"/>
    <mergeCell ref="R304:R305"/>
    <mergeCell ref="R310:R311"/>
    <mergeCell ref="R312:R335"/>
    <mergeCell ref="R340:R354"/>
    <mergeCell ref="R355:R356"/>
    <mergeCell ref="R357:R361"/>
    <mergeCell ref="R362:R364"/>
    <mergeCell ref="R365:R366"/>
    <mergeCell ref="R367:R378"/>
    <mergeCell ref="R379:R381"/>
    <mergeCell ref="R382:R384"/>
    <mergeCell ref="R385:R406"/>
    <mergeCell ref="R466:R483"/>
    <mergeCell ref="R484:R500"/>
    <mergeCell ref="R501:R517"/>
    <mergeCell ref="R518:R534"/>
    <mergeCell ref="R535:R551"/>
    <mergeCell ref="R552:R563"/>
    <mergeCell ref="R564:R580"/>
    <mergeCell ref="R581:R597"/>
    <mergeCell ref="R598:R614"/>
    <mergeCell ref="R615:R631"/>
    <mergeCell ref="R632:R648"/>
    <mergeCell ref="R649:R664"/>
    <mergeCell ref="R665:R681"/>
    <mergeCell ref="R682:R698"/>
    <mergeCell ref="R699:R710"/>
    <mergeCell ref="R711:R727"/>
    <mergeCell ref="R728:R744"/>
    <mergeCell ref="S6:S8"/>
    <mergeCell ref="S9:S12"/>
    <mergeCell ref="S13:S15"/>
    <mergeCell ref="S16:S19"/>
    <mergeCell ref="S20:S23"/>
    <mergeCell ref="S30:S33"/>
    <mergeCell ref="S34:S38"/>
    <mergeCell ref="S39:S43"/>
    <mergeCell ref="S44:S45"/>
    <mergeCell ref="S46:S49"/>
    <mergeCell ref="S50:S52"/>
    <mergeCell ref="S53:S54"/>
    <mergeCell ref="S55:S56"/>
    <mergeCell ref="S57:S60"/>
    <mergeCell ref="S61:S78"/>
    <mergeCell ref="S79:S85"/>
    <mergeCell ref="S86:S87"/>
    <mergeCell ref="S99:S104"/>
    <mergeCell ref="S110:S112"/>
    <mergeCell ref="S117:S119"/>
    <mergeCell ref="S130:S151"/>
    <mergeCell ref="S165:S166"/>
    <mergeCell ref="S167:S170"/>
    <mergeCell ref="S172:S173"/>
    <mergeCell ref="S174:S176"/>
    <mergeCell ref="S184:S187"/>
    <mergeCell ref="S188:S191"/>
    <mergeCell ref="S192:S198"/>
    <mergeCell ref="S200:S204"/>
    <mergeCell ref="S211:S220"/>
    <mergeCell ref="S232:S233"/>
    <mergeCell ref="S234:S236"/>
    <mergeCell ref="S237:S238"/>
    <mergeCell ref="S243:S246"/>
    <mergeCell ref="S247:S248"/>
    <mergeCell ref="S249:S267"/>
    <mergeCell ref="S268:S269"/>
    <mergeCell ref="S270:S278"/>
    <mergeCell ref="S284:S286"/>
    <mergeCell ref="S288:S291"/>
    <mergeCell ref="S292:S294"/>
    <mergeCell ref="S295:S297"/>
    <mergeCell ref="S298:S301"/>
    <mergeCell ref="S302:S303"/>
    <mergeCell ref="S304:S305"/>
    <mergeCell ref="S310:S311"/>
    <mergeCell ref="S312:S335"/>
    <mergeCell ref="S340:S354"/>
    <mergeCell ref="S355:S356"/>
    <mergeCell ref="S357:S361"/>
    <mergeCell ref="S362:S364"/>
    <mergeCell ref="S365:S366"/>
    <mergeCell ref="S367:S378"/>
    <mergeCell ref="S379:S381"/>
    <mergeCell ref="S382:S384"/>
    <mergeCell ref="S385:S406"/>
    <mergeCell ref="S466:S483"/>
    <mergeCell ref="S484:S500"/>
    <mergeCell ref="S501:S517"/>
    <mergeCell ref="S518:S534"/>
    <mergeCell ref="S535:S551"/>
    <mergeCell ref="S552:S563"/>
    <mergeCell ref="S564:S580"/>
    <mergeCell ref="S581:S597"/>
    <mergeCell ref="S598:S614"/>
    <mergeCell ref="S615:S631"/>
    <mergeCell ref="S632:S648"/>
    <mergeCell ref="S649:S664"/>
    <mergeCell ref="S665:S681"/>
    <mergeCell ref="S682:S698"/>
    <mergeCell ref="S699:S710"/>
    <mergeCell ref="S711:S727"/>
    <mergeCell ref="S728:S744"/>
    <mergeCell ref="T6:T8"/>
    <mergeCell ref="T9:T12"/>
    <mergeCell ref="T13:T15"/>
    <mergeCell ref="T16:T19"/>
    <mergeCell ref="T20:T23"/>
    <mergeCell ref="T30:T33"/>
    <mergeCell ref="T34:T38"/>
    <mergeCell ref="T39:T43"/>
    <mergeCell ref="T44:T45"/>
    <mergeCell ref="T46:T49"/>
    <mergeCell ref="T50:T52"/>
    <mergeCell ref="T53:T54"/>
    <mergeCell ref="T55:T56"/>
    <mergeCell ref="T57:T60"/>
    <mergeCell ref="T61:T78"/>
    <mergeCell ref="T79:T85"/>
    <mergeCell ref="T86:T87"/>
    <mergeCell ref="T99:T104"/>
    <mergeCell ref="T110:T112"/>
    <mergeCell ref="T117:T119"/>
    <mergeCell ref="T130:T151"/>
    <mergeCell ref="T165:T166"/>
    <mergeCell ref="T167:T170"/>
    <mergeCell ref="T172:T173"/>
    <mergeCell ref="T174:T176"/>
    <mergeCell ref="T184:T187"/>
    <mergeCell ref="T188:T191"/>
    <mergeCell ref="T192:T198"/>
    <mergeCell ref="T200:T204"/>
    <mergeCell ref="T211:T220"/>
    <mergeCell ref="T232:T233"/>
    <mergeCell ref="T234:T236"/>
    <mergeCell ref="T237:T238"/>
    <mergeCell ref="T243:T246"/>
    <mergeCell ref="T247:T248"/>
    <mergeCell ref="T249:T267"/>
    <mergeCell ref="T268:T269"/>
    <mergeCell ref="T270:T278"/>
    <mergeCell ref="T284:T286"/>
    <mergeCell ref="T288:T291"/>
    <mergeCell ref="T292:T294"/>
    <mergeCell ref="T295:T297"/>
    <mergeCell ref="T298:T301"/>
    <mergeCell ref="T302:T303"/>
    <mergeCell ref="T304:T305"/>
    <mergeCell ref="T310:T311"/>
    <mergeCell ref="T312:T335"/>
    <mergeCell ref="T340:T354"/>
    <mergeCell ref="T355:T356"/>
    <mergeCell ref="T357:T361"/>
    <mergeCell ref="T362:T364"/>
    <mergeCell ref="T365:T366"/>
    <mergeCell ref="T367:T378"/>
    <mergeCell ref="T379:T381"/>
    <mergeCell ref="T382:T384"/>
    <mergeCell ref="T385:T406"/>
    <mergeCell ref="T466:T483"/>
    <mergeCell ref="T484:T500"/>
    <mergeCell ref="T501:T517"/>
    <mergeCell ref="T518:T534"/>
    <mergeCell ref="T535:T551"/>
    <mergeCell ref="T552:T563"/>
    <mergeCell ref="T564:T580"/>
    <mergeCell ref="T581:T597"/>
    <mergeCell ref="T598:T614"/>
    <mergeCell ref="T615:T631"/>
    <mergeCell ref="T632:T648"/>
    <mergeCell ref="T649:T664"/>
    <mergeCell ref="T665:T681"/>
    <mergeCell ref="T682:T698"/>
    <mergeCell ref="T699:T710"/>
    <mergeCell ref="T711:T727"/>
    <mergeCell ref="T728:T744"/>
    <mergeCell ref="U6:U8"/>
    <mergeCell ref="U9:U12"/>
    <mergeCell ref="U13:U15"/>
    <mergeCell ref="U16:U19"/>
    <mergeCell ref="U20:U23"/>
    <mergeCell ref="U30:U33"/>
    <mergeCell ref="U34:U38"/>
    <mergeCell ref="U39:U43"/>
    <mergeCell ref="U44:U45"/>
    <mergeCell ref="U46:U49"/>
    <mergeCell ref="U50:U52"/>
    <mergeCell ref="U53:U54"/>
    <mergeCell ref="U55:U56"/>
    <mergeCell ref="U57:U60"/>
    <mergeCell ref="U61:U78"/>
    <mergeCell ref="U79:U85"/>
    <mergeCell ref="U86:U87"/>
    <mergeCell ref="U99:U104"/>
    <mergeCell ref="U110:U112"/>
    <mergeCell ref="U117:U119"/>
    <mergeCell ref="U130:U151"/>
    <mergeCell ref="U165:U166"/>
    <mergeCell ref="U167:U170"/>
    <mergeCell ref="U172:U173"/>
    <mergeCell ref="U174:U176"/>
    <mergeCell ref="U184:U187"/>
    <mergeCell ref="U188:U191"/>
    <mergeCell ref="U192:U198"/>
    <mergeCell ref="U200:U204"/>
    <mergeCell ref="U211:U220"/>
    <mergeCell ref="U232:U233"/>
    <mergeCell ref="U234:U236"/>
    <mergeCell ref="U237:U238"/>
    <mergeCell ref="U243:U246"/>
    <mergeCell ref="U247:U248"/>
    <mergeCell ref="U249:U267"/>
    <mergeCell ref="U268:U269"/>
    <mergeCell ref="U270:U278"/>
    <mergeCell ref="U284:U286"/>
    <mergeCell ref="U288:U291"/>
    <mergeCell ref="U292:U294"/>
    <mergeCell ref="U295:U297"/>
    <mergeCell ref="U298:U301"/>
    <mergeCell ref="U302:U303"/>
    <mergeCell ref="U304:U305"/>
    <mergeCell ref="U310:U311"/>
    <mergeCell ref="U312:U335"/>
    <mergeCell ref="U340:U354"/>
    <mergeCell ref="U355:U356"/>
    <mergeCell ref="U357:U361"/>
    <mergeCell ref="U362:U364"/>
    <mergeCell ref="U365:U366"/>
    <mergeCell ref="U367:U378"/>
    <mergeCell ref="U379:U381"/>
    <mergeCell ref="U382:U384"/>
    <mergeCell ref="U385:U406"/>
    <mergeCell ref="U466:U483"/>
    <mergeCell ref="U484:U500"/>
    <mergeCell ref="U501:U517"/>
    <mergeCell ref="U518:U534"/>
    <mergeCell ref="U535:U551"/>
    <mergeCell ref="U552:U563"/>
    <mergeCell ref="U564:U580"/>
    <mergeCell ref="U581:U597"/>
    <mergeCell ref="U598:U614"/>
    <mergeCell ref="U615:U631"/>
    <mergeCell ref="U632:U648"/>
    <mergeCell ref="U649:U664"/>
    <mergeCell ref="U665:U681"/>
    <mergeCell ref="U682:U698"/>
    <mergeCell ref="U699:U710"/>
    <mergeCell ref="U711:U727"/>
    <mergeCell ref="U728:U744"/>
    <mergeCell ref="V6:V8"/>
    <mergeCell ref="V9:V12"/>
    <mergeCell ref="V13:V15"/>
    <mergeCell ref="V16:V19"/>
    <mergeCell ref="V20:V23"/>
    <mergeCell ref="V30:V33"/>
    <mergeCell ref="V34:V38"/>
    <mergeCell ref="V39:V43"/>
    <mergeCell ref="V44:V45"/>
    <mergeCell ref="V46:V49"/>
    <mergeCell ref="V50:V52"/>
    <mergeCell ref="V53:V54"/>
    <mergeCell ref="V55:V56"/>
    <mergeCell ref="V57:V60"/>
    <mergeCell ref="V61:V78"/>
    <mergeCell ref="V79:V85"/>
    <mergeCell ref="V86:V87"/>
    <mergeCell ref="V99:V104"/>
    <mergeCell ref="V110:V112"/>
    <mergeCell ref="V117:V119"/>
    <mergeCell ref="V130:V151"/>
    <mergeCell ref="V165:V166"/>
    <mergeCell ref="V167:V170"/>
    <mergeCell ref="V172:V173"/>
    <mergeCell ref="V174:V176"/>
    <mergeCell ref="V184:V187"/>
    <mergeCell ref="V188:V191"/>
    <mergeCell ref="V192:V198"/>
    <mergeCell ref="V200:V204"/>
    <mergeCell ref="V211:V220"/>
    <mergeCell ref="V232:V233"/>
    <mergeCell ref="V234:V236"/>
    <mergeCell ref="V237:V238"/>
    <mergeCell ref="V243:V246"/>
    <mergeCell ref="V247:V248"/>
    <mergeCell ref="V249:V267"/>
    <mergeCell ref="V268:V269"/>
    <mergeCell ref="V270:V278"/>
    <mergeCell ref="V284:V286"/>
    <mergeCell ref="V288:V291"/>
    <mergeCell ref="V292:V294"/>
    <mergeCell ref="V295:V297"/>
    <mergeCell ref="V298:V301"/>
    <mergeCell ref="V302:V303"/>
    <mergeCell ref="V304:V305"/>
    <mergeCell ref="V310:V311"/>
    <mergeCell ref="V312:V335"/>
    <mergeCell ref="V340:V354"/>
    <mergeCell ref="V355:V356"/>
    <mergeCell ref="V357:V361"/>
    <mergeCell ref="V362:V364"/>
    <mergeCell ref="V365:V366"/>
    <mergeCell ref="V367:V378"/>
    <mergeCell ref="V379:V381"/>
    <mergeCell ref="V382:V384"/>
    <mergeCell ref="V385:V406"/>
    <mergeCell ref="V466:V483"/>
    <mergeCell ref="V484:V500"/>
    <mergeCell ref="V501:V517"/>
    <mergeCell ref="V518:V534"/>
    <mergeCell ref="V535:V551"/>
    <mergeCell ref="V552:V563"/>
    <mergeCell ref="V564:V580"/>
    <mergeCell ref="V581:V597"/>
    <mergeCell ref="V598:V614"/>
    <mergeCell ref="V615:V631"/>
    <mergeCell ref="V632:V648"/>
    <mergeCell ref="V649:V664"/>
    <mergeCell ref="V665:V681"/>
    <mergeCell ref="V682:V698"/>
    <mergeCell ref="V699:V710"/>
    <mergeCell ref="V711:V727"/>
    <mergeCell ref="V728:V744"/>
    <mergeCell ref="W6:W8"/>
    <mergeCell ref="W9:W12"/>
    <mergeCell ref="W13:W15"/>
    <mergeCell ref="W16:W19"/>
    <mergeCell ref="W20:W23"/>
    <mergeCell ref="W30:W33"/>
    <mergeCell ref="W34:W38"/>
    <mergeCell ref="W39:W43"/>
    <mergeCell ref="W44:W45"/>
    <mergeCell ref="W46:W49"/>
    <mergeCell ref="W50:W52"/>
    <mergeCell ref="W53:W54"/>
    <mergeCell ref="W55:W56"/>
    <mergeCell ref="W57:W60"/>
    <mergeCell ref="W61:W78"/>
    <mergeCell ref="W79:W85"/>
    <mergeCell ref="W86:W87"/>
    <mergeCell ref="W99:W104"/>
    <mergeCell ref="W110:W112"/>
    <mergeCell ref="W117:W119"/>
    <mergeCell ref="W130:W151"/>
    <mergeCell ref="W165:W166"/>
    <mergeCell ref="W167:W170"/>
    <mergeCell ref="W172:W173"/>
    <mergeCell ref="W174:W176"/>
    <mergeCell ref="W184:W187"/>
    <mergeCell ref="W188:W191"/>
    <mergeCell ref="W192:W198"/>
    <mergeCell ref="W200:W204"/>
    <mergeCell ref="W211:W220"/>
    <mergeCell ref="W232:W233"/>
    <mergeCell ref="W234:W236"/>
    <mergeCell ref="W237:W238"/>
    <mergeCell ref="W243:W246"/>
    <mergeCell ref="W247:W248"/>
    <mergeCell ref="W249:W267"/>
    <mergeCell ref="W268:W269"/>
    <mergeCell ref="W270:W278"/>
    <mergeCell ref="W284:W286"/>
    <mergeCell ref="W288:W291"/>
    <mergeCell ref="W292:W294"/>
    <mergeCell ref="W295:W297"/>
    <mergeCell ref="W298:W301"/>
    <mergeCell ref="W302:W303"/>
    <mergeCell ref="W304:W305"/>
    <mergeCell ref="W310:W311"/>
    <mergeCell ref="W312:W335"/>
    <mergeCell ref="W340:W354"/>
    <mergeCell ref="W355:W356"/>
    <mergeCell ref="W357:W361"/>
    <mergeCell ref="W362:W364"/>
    <mergeCell ref="W365:W366"/>
    <mergeCell ref="W367:W378"/>
    <mergeCell ref="W379:W381"/>
    <mergeCell ref="W382:W384"/>
    <mergeCell ref="W385:W406"/>
    <mergeCell ref="W466:W483"/>
    <mergeCell ref="W484:W500"/>
    <mergeCell ref="W501:W517"/>
    <mergeCell ref="W518:W534"/>
    <mergeCell ref="W535:W551"/>
    <mergeCell ref="W552:W563"/>
    <mergeCell ref="W564:W580"/>
    <mergeCell ref="W581:W597"/>
    <mergeCell ref="W598:W614"/>
    <mergeCell ref="W615:W631"/>
    <mergeCell ref="W632:W648"/>
    <mergeCell ref="W649:W664"/>
    <mergeCell ref="W665:W681"/>
    <mergeCell ref="W682:W698"/>
    <mergeCell ref="W699:W710"/>
    <mergeCell ref="W711:W727"/>
    <mergeCell ref="W728:W744"/>
  </mergeCells>
  <dataValidations count="7">
    <dataValidation type="list" allowBlank="1" showErrorMessage="1" errorTitle="错误提示" error="请输入下拉列表中的值" sqref="D3:D465 D745:D1255">
      <formula1>"Win,Mac"</formula1>
    </dataValidation>
    <dataValidation type="list" allowBlank="1" showErrorMessage="1" errorTitle="错误提示" error="请输入下拉列表中的值" id="{37ffe14a-eec6-43b0-b603-7e873181fe63}" sqref="E3:E465 E745:E1255">
      <formula1>"是,否"</formula1>
    </dataValidation>
    <dataValidation type="list" allowBlank="1" showErrorMessage="1" errorTitle="错误提示" error="请输入下拉列表中的值" id="{3cd8b0ce-1f8d-4f27-9655-960c94eb9d8b}" sqref="H3:H59 H61:H151 H165:H744 H853:H1255">
      <formula1>下拉选项库勿动!$A$1:$A$11</formula1>
    </dataValidation>
    <dataValidation type="list" allowBlank="1" showErrorMessage="1" errorTitle="错误提示" error="请输入下拉列表中的值" sqref="I3:I56 I58:I59 I61:I120 I122:I151 I165:I744 I853:I1048 I1050:I1255 M853:M1255">
      <formula1>下拉选项库勿动!$B$1:$B$57</formula1>
    </dataValidation>
    <dataValidation type="list" allowBlank="1" showErrorMessage="1" errorTitle="错误提示" error="请输入下拉列表中的值" sqref="J3:J744 J853:J1255">
      <formula1>下拉选项库勿动!$C$1:$C$3</formula1>
    </dataValidation>
    <dataValidation type="list" allowBlank="1" showErrorMessage="1" errorTitle="错误提示" error="请输入下拉列表中的值" sqref="K3:K744 K1049:K1057 K853:L1048 K1058:L1255">
      <formula1>下拉选项库勿动!$D$1:$D$3</formula1>
    </dataValidation>
    <dataValidation type="list" allowBlank="1" showErrorMessage="1" errorTitle="错误提示" error="请输入下拉列表中的值" sqref="N3:N151 N165:N744 N853:N1255">
      <formula1>下拉选项库勿动!$E$1:$E$3</formula1>
    </dataValidation>
  </dataValidations>
  <hyperlinks>
    <hyperlink ref="U1167" r:id="rId2" display="sqshenfengmei@jd.com"/>
    <hyperlink ref="U1195" r:id="rId2" display="sqshenfengmei@jd.com"/>
    <hyperlink ref="U1212" r:id="rId2" display="sqshenfengmei@jd.com"/>
    <hyperlink ref="U1028" r:id="rId3" display="sqshenfengmei@jd.com"/>
    <hyperlink ref="U1238" r:id="rId2" display="sqshenfengmei@jd.com"/>
  </hyperlinks>
  <pageMargins left="0.75" right="0.75" top="1" bottom="1" header="0.5" footer="0.5"/>
  <headerFooter/>
  <ignoredErrors>
    <ignoredError sqref="H6" listDataValidation="1"/>
  </ignoredErrors>
  <drawing r:id="rId1"/>
  <picture r:id="cco-watermark"/>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25"/>
  <sheetViews>
    <sheetView workbookViewId="0">
      <selection activeCell="A1" sqref="A1"/>
    </sheetView>
  </sheetViews>
  <sheetFormatPr defaultColWidth="8.8" defaultRowHeight="13.5"/>
  <cols>
    <col min="2" max="2" customWidth="true" width="22.3166666666667" collapsed="false"/>
    <col min="8" max="8" customWidth="true" width="12.3166666666667" collapsed="false"/>
    <col min="13" max="13" customWidth="true" width="59.1916666666667" collapsed="false"/>
  </cols>
  <sheetData>
    <row r="1" s="27" customFormat="1" ht="15.75" spans="1:13">
      <c r="A1" s="28" t="s">
        <v>1493</v>
      </c>
      <c r="B1" s="29" t="s">
        <v>1494</v>
      </c>
      <c r="C1" s="30" t="s">
        <v>58</v>
      </c>
      <c r="D1" s="30" t="s">
        <v>78</v>
      </c>
      <c r="E1" s="30" t="s">
        <v>59</v>
      </c>
      <c r="F1" s="30" t="s">
        <v>60</v>
      </c>
      <c r="G1" s="30" t="s">
        <v>73</v>
      </c>
      <c r="H1" s="30" t="s">
        <v>79</v>
      </c>
      <c r="I1" s="30" t="s">
        <v>80</v>
      </c>
      <c r="J1" s="30" t="s">
        <v>74</v>
      </c>
      <c r="K1" s="30" t="s">
        <v>75</v>
      </c>
      <c r="L1" s="30" t="s">
        <v>76</v>
      </c>
      <c r="M1" s="30" t="s">
        <v>77</v>
      </c>
    </row>
    <row r="2" ht="15.75" spans="1:13">
      <c r="A2" s="31" t="s">
        <v>9</v>
      </c>
      <c r="B2" s="31"/>
      <c r="C2" s="31" t="s">
        <v>100</v>
      </c>
      <c r="D2" s="31" t="s">
        <v>115</v>
      </c>
      <c r="E2" s="31" t="s">
        <v>101</v>
      </c>
      <c r="F2" s="31" t="s">
        <v>83</v>
      </c>
      <c r="G2" s="31" t="s">
        <v>111</v>
      </c>
      <c r="H2" s="31" t="s">
        <v>116</v>
      </c>
      <c r="I2" s="31" t="s">
        <v>117</v>
      </c>
      <c r="J2" s="31" t="s">
        <v>112</v>
      </c>
      <c r="K2" s="31" t="s">
        <v>113</v>
      </c>
      <c r="L2" s="31" t="s">
        <v>114</v>
      </c>
      <c r="M2" s="31" t="s">
        <v>44</v>
      </c>
    </row>
    <row r="3" ht="15.75" spans="1:13">
      <c r="A3" s="31" t="s">
        <v>9</v>
      </c>
      <c r="B3" s="31"/>
      <c r="C3" s="31" t="s">
        <v>122</v>
      </c>
      <c r="D3" s="31" t="s">
        <v>131</v>
      </c>
      <c r="E3" s="31" t="s">
        <v>123</v>
      </c>
      <c r="F3" s="31" t="s">
        <v>83</v>
      </c>
      <c r="G3" s="31" t="s">
        <v>127</v>
      </c>
      <c r="H3" s="31" t="s">
        <v>116</v>
      </c>
      <c r="I3" s="31" t="s">
        <v>117</v>
      </c>
      <c r="J3" s="31" t="s">
        <v>112</v>
      </c>
      <c r="K3" s="31" t="s">
        <v>128</v>
      </c>
      <c r="L3" s="31" t="s">
        <v>129</v>
      </c>
      <c r="M3" s="31" t="s">
        <v>130</v>
      </c>
    </row>
    <row r="4" ht="15.75" spans="1:13">
      <c r="A4" s="31" t="s">
        <v>9</v>
      </c>
      <c r="B4" s="31"/>
      <c r="C4" s="31" t="s">
        <v>137</v>
      </c>
      <c r="D4" s="31" t="s">
        <v>147</v>
      </c>
      <c r="E4" s="31" t="s">
        <v>138</v>
      </c>
      <c r="F4" s="31" t="s">
        <v>83</v>
      </c>
      <c r="G4" s="31" t="s">
        <v>143</v>
      </c>
      <c r="H4" s="31" t="s">
        <v>148</v>
      </c>
      <c r="I4" s="31" t="s">
        <v>149</v>
      </c>
      <c r="J4" s="31" t="s">
        <v>112</v>
      </c>
      <c r="K4" s="31" t="s">
        <v>144</v>
      </c>
      <c r="L4" s="31" t="s">
        <v>145</v>
      </c>
      <c r="M4" s="31" t="s">
        <v>146</v>
      </c>
    </row>
    <row r="5" ht="15.75" spans="1:13">
      <c r="A5" s="31" t="s">
        <v>9</v>
      </c>
      <c r="B5" s="31"/>
      <c r="C5" s="31" t="s">
        <v>764</v>
      </c>
      <c r="D5" s="31" t="s">
        <v>1495</v>
      </c>
      <c r="E5" s="31" t="s">
        <v>765</v>
      </c>
      <c r="F5" s="31" t="s">
        <v>173</v>
      </c>
      <c r="G5" s="31" t="s">
        <v>143</v>
      </c>
      <c r="H5" s="31" t="s">
        <v>116</v>
      </c>
      <c r="I5" s="31" t="s">
        <v>117</v>
      </c>
      <c r="J5" s="31" t="s">
        <v>112</v>
      </c>
      <c r="K5" s="31" t="s">
        <v>113</v>
      </c>
      <c r="L5" s="31" t="s">
        <v>753</v>
      </c>
      <c r="M5" s="31" t="s">
        <v>41</v>
      </c>
    </row>
    <row r="6" ht="15.75" spans="1:13">
      <c r="A6" s="31" t="s">
        <v>9</v>
      </c>
      <c r="B6" s="31"/>
      <c r="C6" s="31" t="s">
        <v>152</v>
      </c>
      <c r="D6" s="31" t="s">
        <v>163</v>
      </c>
      <c r="E6" s="31" t="s">
        <v>153</v>
      </c>
      <c r="F6" s="31" t="s">
        <v>83</v>
      </c>
      <c r="G6" s="31" t="s">
        <v>160</v>
      </c>
      <c r="H6" s="31" t="s">
        <v>164</v>
      </c>
      <c r="I6" s="31" t="s">
        <v>165</v>
      </c>
      <c r="J6" s="31" t="s">
        <v>112</v>
      </c>
      <c r="K6" s="31" t="s">
        <v>161</v>
      </c>
      <c r="L6" s="31" t="s">
        <v>162</v>
      </c>
      <c r="M6" s="31" t="s">
        <v>20</v>
      </c>
    </row>
    <row r="7" ht="15.75" spans="1:13">
      <c r="A7" s="31" t="s">
        <v>9</v>
      </c>
      <c r="B7" s="31"/>
      <c r="C7" s="31" t="s">
        <v>958</v>
      </c>
      <c r="D7" s="31" t="s">
        <v>965</v>
      </c>
      <c r="E7" s="31" t="s">
        <v>959</v>
      </c>
      <c r="F7" s="31" t="s">
        <v>173</v>
      </c>
      <c r="G7" s="31" t="s">
        <v>963</v>
      </c>
      <c r="H7" s="31" t="s">
        <v>304</v>
      </c>
      <c r="I7" s="31" t="s">
        <v>305</v>
      </c>
      <c r="J7" s="31" t="s">
        <v>112</v>
      </c>
      <c r="K7" s="31" t="s">
        <v>113</v>
      </c>
      <c r="L7" s="31" t="s">
        <v>964</v>
      </c>
      <c r="M7" s="31" t="s">
        <v>16</v>
      </c>
    </row>
    <row r="8" ht="15.75" spans="1:13">
      <c r="A8" s="31" t="s">
        <v>9</v>
      </c>
      <c r="B8" s="31"/>
      <c r="C8" s="31" t="s">
        <v>171</v>
      </c>
      <c r="D8" s="31" t="s">
        <v>181</v>
      </c>
      <c r="E8" s="31" t="s">
        <v>172</v>
      </c>
      <c r="F8" s="31" t="s">
        <v>173</v>
      </c>
      <c r="G8" s="31" t="s">
        <v>178</v>
      </c>
      <c r="H8" s="31" t="s">
        <v>116</v>
      </c>
      <c r="I8" s="31" t="s">
        <v>117</v>
      </c>
      <c r="J8" s="31" t="s">
        <v>112</v>
      </c>
      <c r="K8" s="31" t="s">
        <v>161</v>
      </c>
      <c r="L8" s="31" t="s">
        <v>179</v>
      </c>
      <c r="M8" s="31" t="s">
        <v>180</v>
      </c>
    </row>
    <row r="9" ht="15.75" spans="1:13">
      <c r="A9" s="31" t="s">
        <v>9</v>
      </c>
      <c r="B9" s="31"/>
      <c r="C9" s="31" t="s">
        <v>184</v>
      </c>
      <c r="D9" s="31" t="s">
        <v>191</v>
      </c>
      <c r="E9" s="31" t="s">
        <v>185</v>
      </c>
      <c r="F9" s="31" t="s">
        <v>83</v>
      </c>
      <c r="G9" s="31" t="s">
        <v>189</v>
      </c>
      <c r="H9" s="31" t="s">
        <v>116</v>
      </c>
      <c r="I9" s="31" t="s">
        <v>117</v>
      </c>
      <c r="J9" s="31" t="s">
        <v>112</v>
      </c>
      <c r="K9" s="31" t="s">
        <v>161</v>
      </c>
      <c r="L9" s="31" t="s">
        <v>190</v>
      </c>
      <c r="M9" s="31" t="s">
        <v>23</v>
      </c>
    </row>
    <row r="10" ht="15.75" spans="1:13">
      <c r="A10" s="31" t="s">
        <v>9</v>
      </c>
      <c r="B10" s="31" t="s">
        <v>1496</v>
      </c>
      <c r="C10" s="31" t="s">
        <v>1497</v>
      </c>
      <c r="D10" s="31" t="s">
        <v>1498</v>
      </c>
      <c r="E10" s="31" t="s">
        <v>1499</v>
      </c>
      <c r="F10" s="31" t="s">
        <v>173</v>
      </c>
      <c r="G10" s="31" t="s">
        <v>477</v>
      </c>
      <c r="H10" s="31" t="s">
        <v>148</v>
      </c>
      <c r="I10" s="31" t="s">
        <v>149</v>
      </c>
      <c r="J10" s="31" t="s">
        <v>112</v>
      </c>
      <c r="K10" s="31" t="s">
        <v>144</v>
      </c>
      <c r="L10" s="31" t="s">
        <v>1500</v>
      </c>
      <c r="M10" s="31" t="s">
        <v>1501</v>
      </c>
    </row>
    <row r="11" ht="15.75" spans="1:13">
      <c r="A11" s="31" t="s">
        <v>9</v>
      </c>
      <c r="B11" s="31"/>
      <c r="C11" s="31" t="s">
        <v>931</v>
      </c>
      <c r="D11" s="31" t="s">
        <v>937</v>
      </c>
      <c r="E11" s="31" t="s">
        <v>932</v>
      </c>
      <c r="F11" s="31" t="s">
        <v>83</v>
      </c>
      <c r="G11" s="31" t="s">
        <v>275</v>
      </c>
      <c r="H11" s="31" t="s">
        <v>116</v>
      </c>
      <c r="I11" s="31" t="s">
        <v>117</v>
      </c>
      <c r="J11" s="31" t="s">
        <v>112</v>
      </c>
      <c r="K11" s="31" t="s">
        <v>829</v>
      </c>
      <c r="L11" s="31" t="s">
        <v>935</v>
      </c>
      <c r="M11" s="31" t="s">
        <v>936</v>
      </c>
    </row>
    <row r="12" ht="15.75" spans="1:13">
      <c r="A12" s="31" t="s">
        <v>9</v>
      </c>
      <c r="B12" s="31"/>
      <c r="C12" s="31" t="s">
        <v>833</v>
      </c>
      <c r="D12" s="31" t="s">
        <v>837</v>
      </c>
      <c r="E12" s="31" t="s">
        <v>834</v>
      </c>
      <c r="F12" s="31" t="s">
        <v>173</v>
      </c>
      <c r="G12" s="31" t="s">
        <v>275</v>
      </c>
      <c r="H12" s="31" t="s">
        <v>116</v>
      </c>
      <c r="I12" s="31" t="s">
        <v>117</v>
      </c>
      <c r="J12" s="31" t="s">
        <v>112</v>
      </c>
      <c r="K12" s="31" t="s">
        <v>829</v>
      </c>
      <c r="L12" s="31" t="s">
        <v>830</v>
      </c>
      <c r="M12" s="31" t="s">
        <v>13</v>
      </c>
    </row>
    <row r="13" ht="15.75" spans="1:13">
      <c r="A13" s="31" t="s">
        <v>9</v>
      </c>
      <c r="B13" s="31"/>
      <c r="C13" s="31" t="s">
        <v>656</v>
      </c>
      <c r="D13" s="31" t="s">
        <v>663</v>
      </c>
      <c r="E13" s="31" t="s">
        <v>657</v>
      </c>
      <c r="F13" s="31" t="s">
        <v>83</v>
      </c>
      <c r="G13" s="31" t="s">
        <v>178</v>
      </c>
      <c r="H13" s="31" t="s">
        <v>116</v>
      </c>
      <c r="I13" s="31" t="s">
        <v>117</v>
      </c>
      <c r="J13" s="31" t="s">
        <v>112</v>
      </c>
      <c r="K13" s="31" t="s">
        <v>661</v>
      </c>
      <c r="L13" s="31" t="s">
        <v>662</v>
      </c>
      <c r="M13" s="31" t="s">
        <v>35</v>
      </c>
    </row>
    <row r="14" ht="15.75" spans="1:13">
      <c r="A14" s="31" t="s">
        <v>9</v>
      </c>
      <c r="B14" s="31"/>
      <c r="C14" s="31" t="s">
        <v>197</v>
      </c>
      <c r="D14" s="31" t="s">
        <v>202</v>
      </c>
      <c r="E14" s="31" t="s">
        <v>198</v>
      </c>
      <c r="F14" s="31" t="s">
        <v>83</v>
      </c>
      <c r="G14" s="31" t="s">
        <v>201</v>
      </c>
      <c r="H14" s="31" t="s">
        <v>148</v>
      </c>
      <c r="I14" s="31" t="s">
        <v>149</v>
      </c>
      <c r="J14" s="31" t="s">
        <v>112</v>
      </c>
      <c r="K14" s="31" t="s">
        <v>144</v>
      </c>
      <c r="L14" s="31" t="s">
        <v>145</v>
      </c>
      <c r="M14" s="31" t="s">
        <v>146</v>
      </c>
    </row>
    <row r="15" ht="15.75" spans="1:13">
      <c r="A15" s="31" t="s">
        <v>9</v>
      </c>
      <c r="B15" s="31"/>
      <c r="C15" s="31" t="s">
        <v>204</v>
      </c>
      <c r="D15" s="31" t="s">
        <v>208</v>
      </c>
      <c r="E15" s="31" t="s">
        <v>205</v>
      </c>
      <c r="F15" s="31" t="s">
        <v>173</v>
      </c>
      <c r="G15" s="31" t="s">
        <v>160</v>
      </c>
      <c r="H15" s="31" t="s">
        <v>116</v>
      </c>
      <c r="I15" s="31" t="s">
        <v>117</v>
      </c>
      <c r="J15" s="31" t="s">
        <v>112</v>
      </c>
      <c r="K15" s="31" t="s">
        <v>161</v>
      </c>
      <c r="L15" s="31" t="s">
        <v>162</v>
      </c>
      <c r="M15" s="31" t="s">
        <v>20</v>
      </c>
    </row>
    <row r="16" ht="15.75" spans="1:13">
      <c r="A16" s="31" t="s">
        <v>9</v>
      </c>
      <c r="B16" s="31" t="s">
        <v>1502</v>
      </c>
      <c r="C16" s="31" t="s">
        <v>1503</v>
      </c>
      <c r="D16" s="31" t="s">
        <v>1504</v>
      </c>
      <c r="E16" s="31" t="s">
        <v>1505</v>
      </c>
      <c r="F16" s="31" t="s">
        <v>83</v>
      </c>
      <c r="G16" s="31" t="s">
        <v>1506</v>
      </c>
      <c r="H16" s="31" t="s">
        <v>116</v>
      </c>
      <c r="I16" s="31" t="s">
        <v>117</v>
      </c>
      <c r="J16" s="31" t="s">
        <v>112</v>
      </c>
      <c r="K16" s="31" t="s">
        <v>144</v>
      </c>
      <c r="L16" s="31" t="s">
        <v>1507</v>
      </c>
      <c r="M16" s="31" t="s">
        <v>1508</v>
      </c>
    </row>
    <row r="17" ht="15.75" spans="1:13">
      <c r="A17" s="31" t="s">
        <v>9</v>
      </c>
      <c r="B17" s="31"/>
      <c r="C17" s="31" t="s">
        <v>978</v>
      </c>
      <c r="D17" s="31" t="s">
        <v>1509</v>
      </c>
      <c r="E17" s="31" t="s">
        <v>979</v>
      </c>
      <c r="F17" s="31" t="s">
        <v>173</v>
      </c>
      <c r="G17" s="31" t="s">
        <v>963</v>
      </c>
      <c r="H17" s="31" t="s">
        <v>304</v>
      </c>
      <c r="I17" s="31" t="s">
        <v>305</v>
      </c>
      <c r="J17" s="31" t="s">
        <v>112</v>
      </c>
      <c r="K17" s="31" t="s">
        <v>113</v>
      </c>
      <c r="L17" s="31" t="s">
        <v>964</v>
      </c>
      <c r="M17" s="31" t="s">
        <v>16</v>
      </c>
    </row>
    <row r="18" ht="15.75" spans="1:13">
      <c r="A18" s="31" t="s">
        <v>9</v>
      </c>
      <c r="B18" s="31" t="s">
        <v>1510</v>
      </c>
      <c r="C18" s="31" t="s">
        <v>1511</v>
      </c>
      <c r="D18" s="31" t="s">
        <v>1512</v>
      </c>
      <c r="E18" s="31" t="s">
        <v>1513</v>
      </c>
      <c r="F18" s="31" t="s">
        <v>83</v>
      </c>
      <c r="G18" s="31" t="s">
        <v>551</v>
      </c>
      <c r="H18" s="31" t="s">
        <v>148</v>
      </c>
      <c r="I18" s="31" t="s">
        <v>149</v>
      </c>
      <c r="J18" s="31" t="s">
        <v>112</v>
      </c>
      <c r="K18" s="31" t="s">
        <v>144</v>
      </c>
      <c r="L18" s="31" t="s">
        <v>1514</v>
      </c>
      <c r="M18" s="31" t="s">
        <v>1515</v>
      </c>
    </row>
    <row r="19" ht="15.75" spans="1:13">
      <c r="A19" s="31" t="s">
        <v>9</v>
      </c>
      <c r="B19" s="31"/>
      <c r="C19" s="31" t="s">
        <v>870</v>
      </c>
      <c r="D19" s="31" t="s">
        <v>877</v>
      </c>
      <c r="E19" s="31" t="s">
        <v>871</v>
      </c>
      <c r="F19" s="31" t="s">
        <v>173</v>
      </c>
      <c r="G19" s="31" t="s">
        <v>275</v>
      </c>
      <c r="H19" s="31" t="s">
        <v>116</v>
      </c>
      <c r="I19" s="31" t="s">
        <v>117</v>
      </c>
      <c r="J19" s="31" t="s">
        <v>112</v>
      </c>
      <c r="K19" s="31" t="s">
        <v>829</v>
      </c>
      <c r="L19" s="31" t="s">
        <v>875</v>
      </c>
      <c r="M19" s="31" t="s">
        <v>876</v>
      </c>
    </row>
    <row r="20" ht="15.75" spans="1:13">
      <c r="A20" s="31" t="s">
        <v>9</v>
      </c>
      <c r="B20" s="31"/>
      <c r="C20" s="31" t="s">
        <v>213</v>
      </c>
      <c r="D20" s="31" t="s">
        <v>221</v>
      </c>
      <c r="E20" s="31" t="s">
        <v>214</v>
      </c>
      <c r="F20" s="31" t="s">
        <v>173</v>
      </c>
      <c r="G20" s="31" t="s">
        <v>220</v>
      </c>
      <c r="H20" s="31" t="s">
        <v>116</v>
      </c>
      <c r="I20" s="31" t="s">
        <v>117</v>
      </c>
      <c r="J20" s="31" t="s">
        <v>112</v>
      </c>
      <c r="K20" s="31" t="s">
        <v>113</v>
      </c>
      <c r="L20" s="31" t="s">
        <v>114</v>
      </c>
      <c r="M20" s="31" t="s">
        <v>44</v>
      </c>
    </row>
    <row r="21" ht="15.75" spans="1:13">
      <c r="A21" s="31" t="s">
        <v>9</v>
      </c>
      <c r="B21" s="31" t="s">
        <v>1496</v>
      </c>
      <c r="C21" s="31" t="s">
        <v>1516</v>
      </c>
      <c r="D21" s="31" t="s">
        <v>1517</v>
      </c>
      <c r="E21" s="31" t="s">
        <v>1518</v>
      </c>
      <c r="F21" s="31" t="s">
        <v>173</v>
      </c>
      <c r="G21" s="31" t="s">
        <v>1519</v>
      </c>
      <c r="H21" s="31" t="s">
        <v>148</v>
      </c>
      <c r="I21" s="31" t="s">
        <v>149</v>
      </c>
      <c r="J21" s="31" t="s">
        <v>112</v>
      </c>
      <c r="K21" s="31" t="s">
        <v>144</v>
      </c>
      <c r="L21" s="31" t="s">
        <v>1500</v>
      </c>
      <c r="M21" s="31" t="s">
        <v>1501</v>
      </c>
    </row>
    <row r="22" ht="15.75" spans="1:13">
      <c r="A22" s="31" t="s">
        <v>9</v>
      </c>
      <c r="B22" s="31" t="s">
        <v>1510</v>
      </c>
      <c r="C22" s="31" t="s">
        <v>1520</v>
      </c>
      <c r="D22" s="31" t="s">
        <v>1521</v>
      </c>
      <c r="E22" s="31" t="s">
        <v>1522</v>
      </c>
      <c r="F22" s="31" t="s">
        <v>173</v>
      </c>
      <c r="G22" s="31" t="s">
        <v>1523</v>
      </c>
      <c r="H22" s="31" t="s">
        <v>148</v>
      </c>
      <c r="I22" s="31" t="s">
        <v>149</v>
      </c>
      <c r="J22" s="31" t="s">
        <v>112</v>
      </c>
      <c r="K22" s="31" t="s">
        <v>144</v>
      </c>
      <c r="L22" s="31" t="s">
        <v>1524</v>
      </c>
      <c r="M22" s="31" t="s">
        <v>1525</v>
      </c>
    </row>
    <row r="23" ht="15.75" spans="1:13">
      <c r="A23" s="31" t="s">
        <v>9</v>
      </c>
      <c r="B23" s="31"/>
      <c r="C23" s="31" t="s">
        <v>223</v>
      </c>
      <c r="D23" s="31" t="s">
        <v>229</v>
      </c>
      <c r="E23" s="31" t="s">
        <v>224</v>
      </c>
      <c r="F23" s="31" t="s">
        <v>83</v>
      </c>
      <c r="G23" s="31" t="s">
        <v>228</v>
      </c>
      <c r="H23" s="31" t="s">
        <v>116</v>
      </c>
      <c r="I23" s="31" t="s">
        <v>117</v>
      </c>
      <c r="J23" s="31" t="s">
        <v>112</v>
      </c>
      <c r="K23" s="31" t="s">
        <v>161</v>
      </c>
      <c r="L23" s="31" t="s">
        <v>162</v>
      </c>
      <c r="M23" s="31" t="s">
        <v>20</v>
      </c>
    </row>
    <row r="24" ht="15.75" spans="1:13">
      <c r="A24" s="31" t="s">
        <v>9</v>
      </c>
      <c r="B24" s="32" t="s">
        <v>1502</v>
      </c>
      <c r="C24" s="31" t="s">
        <v>1526</v>
      </c>
      <c r="D24" s="31" t="s">
        <v>1527</v>
      </c>
      <c r="E24" s="31" t="s">
        <v>1528</v>
      </c>
      <c r="F24" s="31" t="s">
        <v>173</v>
      </c>
      <c r="G24" s="31" t="s">
        <v>143</v>
      </c>
      <c r="H24" s="31" t="s">
        <v>148</v>
      </c>
      <c r="I24" s="31" t="s">
        <v>149</v>
      </c>
      <c r="J24" s="31" t="s">
        <v>112</v>
      </c>
      <c r="K24" s="31" t="s">
        <v>144</v>
      </c>
      <c r="L24" s="31" t="s">
        <v>1529</v>
      </c>
      <c r="M24" s="31" t="s">
        <v>1530</v>
      </c>
    </row>
    <row r="25" ht="15.75" spans="1:13">
      <c r="A25" s="31" t="s">
        <v>9</v>
      </c>
      <c r="B25" s="31" t="s">
        <v>1510</v>
      </c>
      <c r="C25" s="31" t="s">
        <v>1531</v>
      </c>
      <c r="D25" s="31" t="s">
        <v>1532</v>
      </c>
      <c r="E25" s="31" t="s">
        <v>1533</v>
      </c>
      <c r="F25" s="31" t="s">
        <v>173</v>
      </c>
      <c r="G25" s="31" t="s">
        <v>1534</v>
      </c>
      <c r="H25" s="31" t="s">
        <v>116</v>
      </c>
      <c r="I25" s="31" t="s">
        <v>117</v>
      </c>
      <c r="J25" s="31" t="s">
        <v>112</v>
      </c>
      <c r="K25" s="31" t="s">
        <v>144</v>
      </c>
      <c r="L25" s="31" t="s">
        <v>1535</v>
      </c>
      <c r="M25" s="31" t="s">
        <v>1536</v>
      </c>
    </row>
    <row r="26" ht="15.75" spans="1:13">
      <c r="A26" s="31" t="s">
        <v>9</v>
      </c>
      <c r="B26" s="31"/>
      <c r="C26" s="31" t="s">
        <v>993</v>
      </c>
      <c r="D26" s="31" t="s">
        <v>1537</v>
      </c>
      <c r="E26" s="31" t="s">
        <v>994</v>
      </c>
      <c r="F26" s="31" t="s">
        <v>173</v>
      </c>
      <c r="G26" s="31" t="s">
        <v>963</v>
      </c>
      <c r="H26" s="31" t="s">
        <v>304</v>
      </c>
      <c r="I26" s="31" t="s">
        <v>305</v>
      </c>
      <c r="J26" s="31" t="s">
        <v>112</v>
      </c>
      <c r="K26" s="31" t="s">
        <v>113</v>
      </c>
      <c r="L26" s="31" t="s">
        <v>964</v>
      </c>
      <c r="M26" s="31" t="s">
        <v>16</v>
      </c>
    </row>
    <row r="27" ht="15.75" spans="1:13">
      <c r="A27" s="31" t="s">
        <v>9</v>
      </c>
      <c r="B27" s="31"/>
      <c r="C27" s="31" t="s">
        <v>1009</v>
      </c>
      <c r="D27" s="31" t="s">
        <v>1538</v>
      </c>
      <c r="E27" s="31" t="s">
        <v>1010</v>
      </c>
      <c r="F27" s="31" t="s">
        <v>173</v>
      </c>
      <c r="G27" s="31" t="s">
        <v>963</v>
      </c>
      <c r="H27" s="31" t="s">
        <v>304</v>
      </c>
      <c r="I27" s="31" t="s">
        <v>305</v>
      </c>
      <c r="J27" s="31" t="s">
        <v>112</v>
      </c>
      <c r="K27" s="31" t="s">
        <v>113</v>
      </c>
      <c r="L27" s="31" t="s">
        <v>964</v>
      </c>
      <c r="M27" s="31" t="s">
        <v>16</v>
      </c>
    </row>
    <row r="28" ht="15.75" spans="1:13">
      <c r="A28" s="31" t="s">
        <v>9</v>
      </c>
      <c r="B28" s="31"/>
      <c r="C28" s="31" t="s">
        <v>768</v>
      </c>
      <c r="D28" s="31" t="s">
        <v>1539</v>
      </c>
      <c r="E28" s="31" t="s">
        <v>769</v>
      </c>
      <c r="F28" s="31" t="s">
        <v>83</v>
      </c>
      <c r="G28" s="31" t="s">
        <v>143</v>
      </c>
      <c r="H28" s="31" t="s">
        <v>164</v>
      </c>
      <c r="I28" s="31" t="s">
        <v>165</v>
      </c>
      <c r="J28" s="31" t="s">
        <v>112</v>
      </c>
      <c r="K28" s="31" t="s">
        <v>113</v>
      </c>
      <c r="L28" s="31" t="s">
        <v>753</v>
      </c>
      <c r="M28" s="31" t="s">
        <v>41</v>
      </c>
    </row>
    <row r="29" ht="15.75" spans="1:13">
      <c r="A29" s="33" t="s">
        <v>9</v>
      </c>
      <c r="B29" s="33"/>
      <c r="C29" s="33" t="s">
        <v>12</v>
      </c>
      <c r="D29" s="33" t="s">
        <v>831</v>
      </c>
      <c r="E29" s="33" t="s">
        <v>11</v>
      </c>
      <c r="F29" s="33" t="s">
        <v>173</v>
      </c>
      <c r="G29" s="33" t="s">
        <v>275</v>
      </c>
      <c r="H29" s="33" t="s">
        <v>116</v>
      </c>
      <c r="I29" s="33" t="s">
        <v>117</v>
      </c>
      <c r="J29" s="33" t="s">
        <v>112</v>
      </c>
      <c r="K29" s="33" t="s">
        <v>829</v>
      </c>
      <c r="L29" s="33" t="s">
        <v>830</v>
      </c>
      <c r="M29" s="33" t="s">
        <v>13</v>
      </c>
    </row>
    <row r="30" ht="15.75" spans="1:13">
      <c r="A30" s="31" t="s">
        <v>9</v>
      </c>
      <c r="B30" s="31"/>
      <c r="C30" s="31" t="s">
        <v>938</v>
      </c>
      <c r="D30" s="31" t="s">
        <v>943</v>
      </c>
      <c r="E30" s="31" t="s">
        <v>939</v>
      </c>
      <c r="F30" s="31" t="s">
        <v>173</v>
      </c>
      <c r="G30" s="31" t="s">
        <v>275</v>
      </c>
      <c r="H30" s="31" t="s">
        <v>116</v>
      </c>
      <c r="I30" s="31" t="s">
        <v>117</v>
      </c>
      <c r="J30" s="31" t="s">
        <v>112</v>
      </c>
      <c r="K30" s="31" t="s">
        <v>829</v>
      </c>
      <c r="L30" s="31" t="s">
        <v>935</v>
      </c>
      <c r="M30" s="31" t="s">
        <v>936</v>
      </c>
    </row>
    <row r="31" ht="15.75" spans="1:13">
      <c r="A31" s="31" t="s">
        <v>9</v>
      </c>
      <c r="B31" s="31"/>
      <c r="C31" s="31" t="s">
        <v>878</v>
      </c>
      <c r="D31" s="31" t="s">
        <v>882</v>
      </c>
      <c r="E31" s="31" t="s">
        <v>879</v>
      </c>
      <c r="F31" s="31" t="s">
        <v>173</v>
      </c>
      <c r="G31" s="31" t="s">
        <v>275</v>
      </c>
      <c r="H31" s="31" t="s">
        <v>116</v>
      </c>
      <c r="I31" s="31" t="s">
        <v>117</v>
      </c>
      <c r="J31" s="31" t="s">
        <v>112</v>
      </c>
      <c r="K31" s="31" t="s">
        <v>829</v>
      </c>
      <c r="L31" s="31" t="s">
        <v>875</v>
      </c>
      <c r="M31" s="31" t="s">
        <v>876</v>
      </c>
    </row>
    <row r="32" ht="15.75" spans="1:13">
      <c r="A32" s="31" t="s">
        <v>9</v>
      </c>
      <c r="B32" s="31"/>
      <c r="C32" s="31" t="s">
        <v>772</v>
      </c>
      <c r="D32" s="31" t="s">
        <v>1540</v>
      </c>
      <c r="E32" s="31" t="s">
        <v>773</v>
      </c>
      <c r="F32" s="31" t="s">
        <v>173</v>
      </c>
      <c r="G32" s="31" t="s">
        <v>201</v>
      </c>
      <c r="H32" s="31" t="s">
        <v>116</v>
      </c>
      <c r="I32" s="31" t="s">
        <v>117</v>
      </c>
      <c r="J32" s="31" t="s">
        <v>112</v>
      </c>
      <c r="K32" s="31" t="s">
        <v>113</v>
      </c>
      <c r="L32" s="31" t="s">
        <v>753</v>
      </c>
      <c r="M32" s="31" t="s">
        <v>41</v>
      </c>
    </row>
    <row r="33" ht="15.75" spans="1:13">
      <c r="A33" s="31" t="s">
        <v>9</v>
      </c>
      <c r="B33" s="31"/>
      <c r="C33" s="31" t="s">
        <v>230</v>
      </c>
      <c r="D33" s="31" t="s">
        <v>237</v>
      </c>
      <c r="E33" s="31" t="s">
        <v>231</v>
      </c>
      <c r="F33" s="31" t="s">
        <v>173</v>
      </c>
      <c r="G33" s="31" t="s">
        <v>235</v>
      </c>
      <c r="H33" s="31" t="s">
        <v>148</v>
      </c>
      <c r="I33" s="31" t="s">
        <v>149</v>
      </c>
      <c r="J33" s="31" t="s">
        <v>112</v>
      </c>
      <c r="K33" s="31" t="s">
        <v>144</v>
      </c>
      <c r="L33" s="31" t="s">
        <v>236</v>
      </c>
      <c r="M33" s="31" t="s">
        <v>47</v>
      </c>
    </row>
    <row r="34" ht="15.75" spans="1:13">
      <c r="A34" s="31" t="s">
        <v>9</v>
      </c>
      <c r="B34" s="31"/>
      <c r="C34" s="31" t="s">
        <v>1476</v>
      </c>
      <c r="D34" s="31" t="s">
        <v>1541</v>
      </c>
      <c r="E34" s="31" t="s">
        <v>1477</v>
      </c>
      <c r="F34" s="31" t="s">
        <v>173</v>
      </c>
      <c r="G34" s="31" t="s">
        <v>963</v>
      </c>
      <c r="H34" s="31" t="s">
        <v>304</v>
      </c>
      <c r="I34" s="31" t="s">
        <v>305</v>
      </c>
      <c r="J34" s="31" t="s">
        <v>112</v>
      </c>
      <c r="K34" s="31" t="s">
        <v>113</v>
      </c>
      <c r="L34" s="31" t="s">
        <v>964</v>
      </c>
      <c r="M34" s="31" t="s">
        <v>16</v>
      </c>
    </row>
    <row r="35" ht="15.75" spans="1:13">
      <c r="A35" s="31" t="s">
        <v>9</v>
      </c>
      <c r="B35" s="31"/>
      <c r="C35" s="31" t="s">
        <v>1369</v>
      </c>
      <c r="D35" s="31" t="s">
        <v>1542</v>
      </c>
      <c r="E35" s="31" t="s">
        <v>1370</v>
      </c>
      <c r="F35" s="31" t="s">
        <v>173</v>
      </c>
      <c r="G35" s="31" t="s">
        <v>963</v>
      </c>
      <c r="H35" s="31" t="s">
        <v>304</v>
      </c>
      <c r="I35" s="31" t="s">
        <v>305</v>
      </c>
      <c r="J35" s="31" t="s">
        <v>112</v>
      </c>
      <c r="K35" s="31" t="s">
        <v>113</v>
      </c>
      <c r="L35" s="31" t="s">
        <v>964</v>
      </c>
      <c r="M35" s="31" t="s">
        <v>16</v>
      </c>
    </row>
    <row r="36" ht="15.75" spans="1:13">
      <c r="A36" s="31" t="s">
        <v>9</v>
      </c>
      <c r="B36" s="31"/>
      <c r="C36" s="31" t="s">
        <v>238</v>
      </c>
      <c r="D36" s="31" t="s">
        <v>242</v>
      </c>
      <c r="E36" s="31" t="s">
        <v>239</v>
      </c>
      <c r="F36" s="31" t="s">
        <v>173</v>
      </c>
      <c r="G36" s="31" t="s">
        <v>127</v>
      </c>
      <c r="H36" s="31" t="s">
        <v>116</v>
      </c>
      <c r="I36" s="31" t="s">
        <v>117</v>
      </c>
      <c r="J36" s="31" t="s">
        <v>112</v>
      </c>
      <c r="K36" s="31" t="s">
        <v>113</v>
      </c>
      <c r="L36" s="31" t="s">
        <v>114</v>
      </c>
      <c r="M36" s="31" t="s">
        <v>44</v>
      </c>
    </row>
    <row r="37" ht="15.75" spans="1:13">
      <c r="A37" s="31" t="s">
        <v>9</v>
      </c>
      <c r="B37" s="31"/>
      <c r="C37" s="31" t="s">
        <v>671</v>
      </c>
      <c r="D37" s="31" t="s">
        <v>676</v>
      </c>
      <c r="E37" s="31" t="s">
        <v>672</v>
      </c>
      <c r="F37" s="31" t="s">
        <v>83</v>
      </c>
      <c r="G37" s="31" t="s">
        <v>178</v>
      </c>
      <c r="H37" s="31" t="s">
        <v>116</v>
      </c>
      <c r="I37" s="31" t="s">
        <v>117</v>
      </c>
      <c r="J37" s="31" t="s">
        <v>112</v>
      </c>
      <c r="K37" s="31" t="s">
        <v>661</v>
      </c>
      <c r="L37" s="31" t="s">
        <v>662</v>
      </c>
      <c r="M37" s="31" t="s">
        <v>35</v>
      </c>
    </row>
    <row r="38" ht="15.75" spans="1:13">
      <c r="A38" s="31" t="s">
        <v>9</v>
      </c>
      <c r="B38" s="31"/>
      <c r="C38" s="31" t="s">
        <v>945</v>
      </c>
      <c r="D38" s="31" t="s">
        <v>948</v>
      </c>
      <c r="E38" s="31" t="s">
        <v>946</v>
      </c>
      <c r="F38" s="31" t="s">
        <v>173</v>
      </c>
      <c r="G38" s="31" t="s">
        <v>275</v>
      </c>
      <c r="H38" s="31" t="s">
        <v>116</v>
      </c>
      <c r="I38" s="31" t="s">
        <v>117</v>
      </c>
      <c r="J38" s="31" t="s">
        <v>112</v>
      </c>
      <c r="K38" s="31" t="s">
        <v>829</v>
      </c>
      <c r="L38" s="31" t="s">
        <v>935</v>
      </c>
      <c r="M38" s="31" t="s">
        <v>936</v>
      </c>
    </row>
    <row r="39" ht="15.75" spans="1:13">
      <c r="A39" s="31" t="s">
        <v>9</v>
      </c>
      <c r="B39" s="31" t="s">
        <v>1496</v>
      </c>
      <c r="C39" s="31" t="s">
        <v>1543</v>
      </c>
      <c r="D39" s="31" t="s">
        <v>1544</v>
      </c>
      <c r="E39" s="31" t="s">
        <v>1545</v>
      </c>
      <c r="F39" s="31" t="s">
        <v>173</v>
      </c>
      <c r="G39" s="31" t="s">
        <v>1519</v>
      </c>
      <c r="H39" s="31" t="s">
        <v>148</v>
      </c>
      <c r="I39" s="31" t="s">
        <v>149</v>
      </c>
      <c r="J39" s="31" t="s">
        <v>112</v>
      </c>
      <c r="K39" s="31" t="s">
        <v>144</v>
      </c>
      <c r="L39" s="31" t="s">
        <v>1500</v>
      </c>
      <c r="M39" s="31" t="s">
        <v>1501</v>
      </c>
    </row>
    <row r="40" ht="15.75" spans="1:13">
      <c r="A40" s="31" t="s">
        <v>9</v>
      </c>
      <c r="B40" s="31"/>
      <c r="C40" s="31" t="s">
        <v>839</v>
      </c>
      <c r="D40" s="31" t="s">
        <v>844</v>
      </c>
      <c r="E40" s="31" t="s">
        <v>840</v>
      </c>
      <c r="F40" s="31" t="s">
        <v>83</v>
      </c>
      <c r="G40" s="31" t="s">
        <v>275</v>
      </c>
      <c r="H40" s="31" t="s">
        <v>116</v>
      </c>
      <c r="I40" s="31" t="s">
        <v>117</v>
      </c>
      <c r="J40" s="31" t="s">
        <v>112</v>
      </c>
      <c r="K40" s="31" t="s">
        <v>829</v>
      </c>
      <c r="L40" s="31" t="s">
        <v>830</v>
      </c>
      <c r="M40" s="31" t="s">
        <v>13</v>
      </c>
    </row>
    <row r="41" ht="15.75" spans="1:13">
      <c r="A41" s="31" t="s">
        <v>9</v>
      </c>
      <c r="B41" s="31"/>
      <c r="C41" s="31" t="s">
        <v>775</v>
      </c>
      <c r="D41" s="31" t="s">
        <v>1546</v>
      </c>
      <c r="E41" s="31" t="s">
        <v>776</v>
      </c>
      <c r="F41" s="31" t="s">
        <v>173</v>
      </c>
      <c r="G41" s="31" t="s">
        <v>143</v>
      </c>
      <c r="H41" s="31" t="s">
        <v>116</v>
      </c>
      <c r="I41" s="31" t="s">
        <v>117</v>
      </c>
      <c r="J41" s="31" t="s">
        <v>112</v>
      </c>
      <c r="K41" s="31" t="s">
        <v>113</v>
      </c>
      <c r="L41" s="31" t="s">
        <v>753</v>
      </c>
      <c r="M41" s="31" t="s">
        <v>41</v>
      </c>
    </row>
    <row r="42" ht="15.75" spans="1:13">
      <c r="A42" s="31" t="s">
        <v>9</v>
      </c>
      <c r="B42" s="31" t="s">
        <v>1510</v>
      </c>
      <c r="C42" s="31" t="s">
        <v>1547</v>
      </c>
      <c r="D42" s="31" t="s">
        <v>1548</v>
      </c>
      <c r="E42" s="31" t="s">
        <v>1549</v>
      </c>
      <c r="F42" s="31" t="s">
        <v>173</v>
      </c>
      <c r="G42" s="31" t="s">
        <v>551</v>
      </c>
      <c r="H42" s="31" t="s">
        <v>148</v>
      </c>
      <c r="I42" s="31" t="s">
        <v>149</v>
      </c>
      <c r="J42" s="31" t="s">
        <v>112</v>
      </c>
      <c r="K42" s="31" t="s">
        <v>144</v>
      </c>
      <c r="L42" s="31" t="s">
        <v>1514</v>
      </c>
      <c r="M42" s="31" t="s">
        <v>1515</v>
      </c>
    </row>
    <row r="43" ht="15.75" spans="1:13">
      <c r="A43" s="31" t="s">
        <v>9</v>
      </c>
      <c r="B43" s="31" t="s">
        <v>1502</v>
      </c>
      <c r="C43" s="31" t="s">
        <v>1550</v>
      </c>
      <c r="D43" s="31" t="s">
        <v>1551</v>
      </c>
      <c r="E43" s="31" t="s">
        <v>1552</v>
      </c>
      <c r="F43" s="31" t="s">
        <v>173</v>
      </c>
      <c r="G43" s="31" t="s">
        <v>1506</v>
      </c>
      <c r="H43" s="31" t="s">
        <v>148</v>
      </c>
      <c r="I43" s="31" t="s">
        <v>149</v>
      </c>
      <c r="J43" s="31" t="s">
        <v>112</v>
      </c>
      <c r="K43" s="31" t="s">
        <v>144</v>
      </c>
      <c r="L43" s="31" t="s">
        <v>1529</v>
      </c>
      <c r="M43" s="31" t="s">
        <v>1530</v>
      </c>
    </row>
    <row r="44" ht="15.75" spans="1:13">
      <c r="A44" s="31" t="s">
        <v>9</v>
      </c>
      <c r="B44" s="31"/>
      <c r="C44" s="31" t="s">
        <v>243</v>
      </c>
      <c r="D44" s="31" t="s">
        <v>248</v>
      </c>
      <c r="E44" s="31" t="s">
        <v>244</v>
      </c>
      <c r="F44" s="31" t="s">
        <v>173</v>
      </c>
      <c r="G44" s="31" t="s">
        <v>111</v>
      </c>
      <c r="H44" s="31" t="s">
        <v>116</v>
      </c>
      <c r="I44" s="31" t="s">
        <v>117</v>
      </c>
      <c r="J44" s="31" t="s">
        <v>112</v>
      </c>
      <c r="K44" s="31" t="s">
        <v>113</v>
      </c>
      <c r="L44" s="31" t="s">
        <v>114</v>
      </c>
      <c r="M44" s="31" t="s">
        <v>44</v>
      </c>
    </row>
    <row r="45" ht="15.75" spans="1:13">
      <c r="A45" s="31" t="s">
        <v>9</v>
      </c>
      <c r="B45" s="31"/>
      <c r="C45" s="31" t="s">
        <v>883</v>
      </c>
      <c r="D45" s="31" t="s">
        <v>887</v>
      </c>
      <c r="E45" s="31" t="s">
        <v>884</v>
      </c>
      <c r="F45" s="31" t="s">
        <v>83</v>
      </c>
      <c r="G45" s="31" t="s">
        <v>275</v>
      </c>
      <c r="H45" s="31" t="s">
        <v>116</v>
      </c>
      <c r="I45" s="31" t="s">
        <v>117</v>
      </c>
      <c r="J45" s="31" t="s">
        <v>112</v>
      </c>
      <c r="K45" s="31" t="s">
        <v>829</v>
      </c>
      <c r="L45" s="31" t="s">
        <v>875</v>
      </c>
      <c r="M45" s="31" t="s">
        <v>876</v>
      </c>
    </row>
    <row r="46" ht="15.75" spans="1:13">
      <c r="A46" s="31" t="s">
        <v>9</v>
      </c>
      <c r="B46" s="31" t="s">
        <v>1496</v>
      </c>
      <c r="C46" s="31" t="s">
        <v>1553</v>
      </c>
      <c r="D46" s="31" t="s">
        <v>1554</v>
      </c>
      <c r="E46" s="31" t="s">
        <v>1555</v>
      </c>
      <c r="F46" s="31" t="s">
        <v>173</v>
      </c>
      <c r="G46" s="31" t="s">
        <v>1519</v>
      </c>
      <c r="H46" s="31" t="s">
        <v>148</v>
      </c>
      <c r="I46" s="31" t="s">
        <v>149</v>
      </c>
      <c r="J46" s="31" t="s">
        <v>112</v>
      </c>
      <c r="K46" s="31" t="s">
        <v>144</v>
      </c>
      <c r="L46" s="31" t="s">
        <v>1500</v>
      </c>
      <c r="M46" s="31" t="s">
        <v>1501</v>
      </c>
    </row>
    <row r="47" ht="15.75" spans="1:13">
      <c r="A47" s="31" t="s">
        <v>9</v>
      </c>
      <c r="B47" s="31"/>
      <c r="C47" s="31" t="s">
        <v>250</v>
      </c>
      <c r="D47" s="31" t="s">
        <v>260</v>
      </c>
      <c r="E47" s="31" t="s">
        <v>251</v>
      </c>
      <c r="F47" s="31" t="s">
        <v>83</v>
      </c>
      <c r="G47" s="31" t="s">
        <v>257</v>
      </c>
      <c r="H47" s="31" t="s">
        <v>261</v>
      </c>
      <c r="I47" s="31" t="s">
        <v>262</v>
      </c>
      <c r="J47" s="31" t="s">
        <v>112</v>
      </c>
      <c r="K47" s="31" t="s">
        <v>128</v>
      </c>
      <c r="L47" s="31" t="s">
        <v>258</v>
      </c>
      <c r="M47" s="31" t="s">
        <v>259</v>
      </c>
    </row>
    <row r="48" ht="15.75" spans="1:13">
      <c r="A48" s="31" t="s">
        <v>9</v>
      </c>
      <c r="B48" s="31" t="s">
        <v>1496</v>
      </c>
      <c r="C48" s="31" t="s">
        <v>1556</v>
      </c>
      <c r="D48" s="31" t="s">
        <v>1557</v>
      </c>
      <c r="E48" s="31" t="s">
        <v>1558</v>
      </c>
      <c r="F48" s="31" t="s">
        <v>173</v>
      </c>
      <c r="G48" s="31" t="s">
        <v>1519</v>
      </c>
      <c r="H48" s="31" t="s">
        <v>148</v>
      </c>
      <c r="I48" s="31" t="s">
        <v>149</v>
      </c>
      <c r="J48" s="31" t="s">
        <v>112</v>
      </c>
      <c r="K48" s="31" t="s">
        <v>144</v>
      </c>
      <c r="L48" s="31" t="s">
        <v>1500</v>
      </c>
      <c r="M48" s="31" t="s">
        <v>1501</v>
      </c>
    </row>
    <row r="49" ht="15.75" spans="1:13">
      <c r="A49" s="31" t="s">
        <v>9</v>
      </c>
      <c r="B49" s="31"/>
      <c r="C49" s="31" t="s">
        <v>263</v>
      </c>
      <c r="D49" s="31" t="s">
        <v>269</v>
      </c>
      <c r="E49" s="31" t="s">
        <v>264</v>
      </c>
      <c r="F49" s="31" t="s">
        <v>173</v>
      </c>
      <c r="G49" s="31" t="s">
        <v>268</v>
      </c>
      <c r="H49" s="31" t="s">
        <v>116</v>
      </c>
      <c r="I49" s="31" t="s">
        <v>117</v>
      </c>
      <c r="J49" s="31" t="s">
        <v>112</v>
      </c>
      <c r="K49" s="31" t="s">
        <v>113</v>
      </c>
      <c r="L49" s="31" t="s">
        <v>114</v>
      </c>
      <c r="M49" s="31" t="s">
        <v>44</v>
      </c>
    </row>
    <row r="50" ht="15.75" spans="1:13">
      <c r="A50" s="31" t="s">
        <v>9</v>
      </c>
      <c r="B50" s="31" t="s">
        <v>1510</v>
      </c>
      <c r="C50" s="31" t="s">
        <v>1559</v>
      </c>
      <c r="D50" s="31" t="s">
        <v>1560</v>
      </c>
      <c r="E50" s="31" t="s">
        <v>1561</v>
      </c>
      <c r="F50" s="31" t="s">
        <v>173</v>
      </c>
      <c r="G50" s="31" t="s">
        <v>1523</v>
      </c>
      <c r="H50" s="31" t="s">
        <v>148</v>
      </c>
      <c r="I50" s="31" t="s">
        <v>149</v>
      </c>
      <c r="J50" s="31" t="s">
        <v>112</v>
      </c>
      <c r="K50" s="31" t="s">
        <v>144</v>
      </c>
      <c r="L50" s="31" t="s">
        <v>1524</v>
      </c>
      <c r="M50" s="31" t="s">
        <v>1525</v>
      </c>
    </row>
    <row r="51" ht="15.75" spans="1:13">
      <c r="A51" s="31" t="s">
        <v>9</v>
      </c>
      <c r="B51" s="31"/>
      <c r="C51" s="31" t="s">
        <v>888</v>
      </c>
      <c r="D51" s="31" t="s">
        <v>892</v>
      </c>
      <c r="E51" s="31" t="s">
        <v>889</v>
      </c>
      <c r="F51" s="31" t="s">
        <v>83</v>
      </c>
      <c r="G51" s="31" t="s">
        <v>275</v>
      </c>
      <c r="H51" s="31" t="s">
        <v>116</v>
      </c>
      <c r="I51" s="31" t="s">
        <v>117</v>
      </c>
      <c r="J51" s="31" t="s">
        <v>112</v>
      </c>
      <c r="K51" s="31" t="s">
        <v>829</v>
      </c>
      <c r="L51" s="31" t="s">
        <v>875</v>
      </c>
      <c r="M51" s="31" t="s">
        <v>876</v>
      </c>
    </row>
    <row r="52" ht="15.75" spans="1:13">
      <c r="A52" s="31" t="s">
        <v>9</v>
      </c>
      <c r="B52" s="31"/>
      <c r="C52" s="31" t="s">
        <v>779</v>
      </c>
      <c r="D52" s="31" t="s">
        <v>1562</v>
      </c>
      <c r="E52" s="31" t="s">
        <v>780</v>
      </c>
      <c r="F52" s="31" t="s">
        <v>173</v>
      </c>
      <c r="G52" s="31" t="s">
        <v>143</v>
      </c>
      <c r="H52" s="31" t="s">
        <v>116</v>
      </c>
      <c r="I52" s="31" t="s">
        <v>117</v>
      </c>
      <c r="J52" s="31" t="s">
        <v>112</v>
      </c>
      <c r="K52" s="31" t="s">
        <v>113</v>
      </c>
      <c r="L52" s="31" t="s">
        <v>753</v>
      </c>
      <c r="M52" s="31" t="s">
        <v>41</v>
      </c>
    </row>
    <row r="53" ht="15.75" spans="1:13">
      <c r="A53" s="31" t="s">
        <v>9</v>
      </c>
      <c r="B53" s="31" t="s">
        <v>1502</v>
      </c>
      <c r="C53" s="31" t="s">
        <v>1563</v>
      </c>
      <c r="D53" s="31" t="s">
        <v>1564</v>
      </c>
      <c r="E53" s="31" t="s">
        <v>1565</v>
      </c>
      <c r="F53" s="31" t="s">
        <v>83</v>
      </c>
      <c r="G53" s="31" t="s">
        <v>1566</v>
      </c>
      <c r="H53" s="31" t="s">
        <v>148</v>
      </c>
      <c r="I53" s="31" t="s">
        <v>149</v>
      </c>
      <c r="J53" s="31" t="s">
        <v>112</v>
      </c>
      <c r="K53" s="31" t="s">
        <v>144</v>
      </c>
      <c r="L53" s="31" t="s">
        <v>1507</v>
      </c>
      <c r="M53" s="31" t="s">
        <v>1508</v>
      </c>
    </row>
    <row r="54" ht="15.75" spans="1:13">
      <c r="A54" s="31" t="s">
        <v>9</v>
      </c>
      <c r="B54" s="31"/>
      <c r="C54" s="31" t="s">
        <v>1026</v>
      </c>
      <c r="D54" s="31" t="s">
        <v>1567</v>
      </c>
      <c r="E54" s="31" t="s">
        <v>1027</v>
      </c>
      <c r="F54" s="31" t="s">
        <v>173</v>
      </c>
      <c r="G54" s="31" t="s">
        <v>963</v>
      </c>
      <c r="H54" s="31" t="s">
        <v>304</v>
      </c>
      <c r="I54" s="31" t="s">
        <v>305</v>
      </c>
      <c r="J54" s="31" t="s">
        <v>112</v>
      </c>
      <c r="K54" s="31" t="s">
        <v>113</v>
      </c>
      <c r="L54" s="31" t="s">
        <v>964</v>
      </c>
      <c r="M54" s="31" t="s">
        <v>16</v>
      </c>
    </row>
    <row r="55" ht="15.75" spans="1:13">
      <c r="A55" s="33" t="s">
        <v>9</v>
      </c>
      <c r="B55" s="33"/>
      <c r="C55" s="33" t="s">
        <v>15</v>
      </c>
      <c r="D55" s="33" t="s">
        <v>1568</v>
      </c>
      <c r="E55" s="33" t="s">
        <v>14</v>
      </c>
      <c r="F55" s="33" t="s">
        <v>173</v>
      </c>
      <c r="G55" s="33" t="s">
        <v>963</v>
      </c>
      <c r="H55" s="33" t="s">
        <v>304</v>
      </c>
      <c r="I55" s="33" t="s">
        <v>305</v>
      </c>
      <c r="J55" s="33" t="s">
        <v>112</v>
      </c>
      <c r="K55" s="33" t="s">
        <v>113</v>
      </c>
      <c r="L55" s="33" t="s">
        <v>964</v>
      </c>
      <c r="M55" s="33" t="s">
        <v>16</v>
      </c>
    </row>
    <row r="56" ht="15.75" spans="1:13">
      <c r="A56" s="31" t="s">
        <v>9</v>
      </c>
      <c r="B56" s="31"/>
      <c r="C56" s="31" t="s">
        <v>783</v>
      </c>
      <c r="D56" s="31" t="s">
        <v>1569</v>
      </c>
      <c r="E56" s="31" t="s">
        <v>784</v>
      </c>
      <c r="F56" s="31" t="s">
        <v>173</v>
      </c>
      <c r="G56" s="31" t="s">
        <v>143</v>
      </c>
      <c r="H56" s="31" t="s">
        <v>164</v>
      </c>
      <c r="I56" s="31" t="s">
        <v>165</v>
      </c>
      <c r="J56" s="31" t="s">
        <v>112</v>
      </c>
      <c r="K56" s="31" t="s">
        <v>113</v>
      </c>
      <c r="L56" s="31" t="s">
        <v>753</v>
      </c>
      <c r="M56" s="31" t="s">
        <v>41</v>
      </c>
    </row>
    <row r="57" ht="15.75" spans="1:13">
      <c r="A57" s="31" t="s">
        <v>9</v>
      </c>
      <c r="B57" s="31" t="s">
        <v>1496</v>
      </c>
      <c r="C57" s="31" t="s">
        <v>1570</v>
      </c>
      <c r="D57" s="31" t="s">
        <v>1571</v>
      </c>
      <c r="E57" s="31" t="s">
        <v>1572</v>
      </c>
      <c r="F57" s="31" t="s">
        <v>173</v>
      </c>
      <c r="G57" s="31" t="s">
        <v>1519</v>
      </c>
      <c r="H57" s="31" t="s">
        <v>148</v>
      </c>
      <c r="I57" s="31" t="s">
        <v>149</v>
      </c>
      <c r="J57" s="31" t="s">
        <v>112</v>
      </c>
      <c r="K57" s="31" t="s">
        <v>144</v>
      </c>
      <c r="L57" s="31" t="s">
        <v>1500</v>
      </c>
      <c r="M57" s="31" t="s">
        <v>1501</v>
      </c>
    </row>
    <row r="58" ht="15.75" spans="1:13">
      <c r="A58" s="31" t="s">
        <v>9</v>
      </c>
      <c r="B58" s="31"/>
      <c r="C58" s="31" t="s">
        <v>270</v>
      </c>
      <c r="D58" s="31" t="s">
        <v>278</v>
      </c>
      <c r="E58" s="31" t="s">
        <v>271</v>
      </c>
      <c r="F58" s="31" t="s">
        <v>173</v>
      </c>
      <c r="G58" s="31" t="s">
        <v>275</v>
      </c>
      <c r="H58" s="31" t="s">
        <v>116</v>
      </c>
      <c r="I58" s="31" t="s">
        <v>117</v>
      </c>
      <c r="J58" s="31" t="s">
        <v>112</v>
      </c>
      <c r="K58" s="31" t="s">
        <v>276</v>
      </c>
      <c r="L58" s="31" t="s">
        <v>277</v>
      </c>
      <c r="M58" s="31" t="s">
        <v>26</v>
      </c>
    </row>
    <row r="59" ht="15.75" spans="1:13">
      <c r="A59" s="31" t="s">
        <v>9</v>
      </c>
      <c r="B59" s="31"/>
      <c r="C59" s="31" t="s">
        <v>1042</v>
      </c>
      <c r="D59" s="31" t="s">
        <v>1573</v>
      </c>
      <c r="E59" s="31" t="s">
        <v>1043</v>
      </c>
      <c r="F59" s="31" t="s">
        <v>173</v>
      </c>
      <c r="G59" s="31" t="s">
        <v>963</v>
      </c>
      <c r="H59" s="31" t="s">
        <v>304</v>
      </c>
      <c r="I59" s="31" t="s">
        <v>305</v>
      </c>
      <c r="J59" s="31" t="s">
        <v>112</v>
      </c>
      <c r="K59" s="31" t="s">
        <v>113</v>
      </c>
      <c r="L59" s="31" t="s">
        <v>964</v>
      </c>
      <c r="M59" s="31" t="s">
        <v>16</v>
      </c>
    </row>
    <row r="60" ht="15.75" spans="1:13">
      <c r="A60" s="31" t="s">
        <v>9</v>
      </c>
      <c r="B60" s="31"/>
      <c r="C60" s="31" t="s">
        <v>1060</v>
      </c>
      <c r="D60" s="31" t="s">
        <v>1574</v>
      </c>
      <c r="E60" s="31" t="s">
        <v>1061</v>
      </c>
      <c r="F60" s="31" t="s">
        <v>173</v>
      </c>
      <c r="G60" s="31" t="s">
        <v>963</v>
      </c>
      <c r="H60" s="31" t="s">
        <v>304</v>
      </c>
      <c r="I60" s="31" t="s">
        <v>305</v>
      </c>
      <c r="J60" s="31" t="s">
        <v>112</v>
      </c>
      <c r="K60" s="31" t="s">
        <v>113</v>
      </c>
      <c r="L60" s="31" t="s">
        <v>964</v>
      </c>
      <c r="M60" s="31" t="s">
        <v>16</v>
      </c>
    </row>
    <row r="61" ht="15.75" spans="1:13">
      <c r="A61" s="31" t="s">
        <v>9</v>
      </c>
      <c r="B61" s="31" t="s">
        <v>1496</v>
      </c>
      <c r="C61" s="31" t="s">
        <v>1575</v>
      </c>
      <c r="D61" s="31" t="s">
        <v>1576</v>
      </c>
      <c r="E61" s="31" t="s">
        <v>1577</v>
      </c>
      <c r="F61" s="31" t="s">
        <v>173</v>
      </c>
      <c r="G61" s="31" t="s">
        <v>1578</v>
      </c>
      <c r="H61" s="31" t="s">
        <v>148</v>
      </c>
      <c r="I61" s="31" t="s">
        <v>149</v>
      </c>
      <c r="J61" s="31" t="s">
        <v>112</v>
      </c>
      <c r="K61" s="31" t="s">
        <v>144</v>
      </c>
      <c r="L61" s="31" t="s">
        <v>1500</v>
      </c>
      <c r="M61" s="31" t="s">
        <v>1501</v>
      </c>
    </row>
    <row r="62" ht="15.75" spans="1:13">
      <c r="A62" s="31" t="s">
        <v>9</v>
      </c>
      <c r="B62" s="31"/>
      <c r="C62" s="31" t="s">
        <v>287</v>
      </c>
      <c r="D62" s="31" t="s">
        <v>293</v>
      </c>
      <c r="E62" s="31" t="s">
        <v>288</v>
      </c>
      <c r="F62" s="31" t="s">
        <v>83</v>
      </c>
      <c r="G62" s="31" t="s">
        <v>189</v>
      </c>
      <c r="H62" s="31" t="s">
        <v>116</v>
      </c>
      <c r="I62" s="31" t="s">
        <v>117</v>
      </c>
      <c r="J62" s="31" t="s">
        <v>112</v>
      </c>
      <c r="K62" s="31" t="s">
        <v>161</v>
      </c>
      <c r="L62" s="31" t="s">
        <v>190</v>
      </c>
      <c r="M62" s="31" t="s">
        <v>23</v>
      </c>
    </row>
    <row r="63" ht="15.75" spans="1:13">
      <c r="A63" s="31" t="s">
        <v>9</v>
      </c>
      <c r="B63" s="31"/>
      <c r="C63" s="31" t="s">
        <v>893</v>
      </c>
      <c r="D63" s="31" t="s">
        <v>897</v>
      </c>
      <c r="E63" s="31" t="s">
        <v>894</v>
      </c>
      <c r="F63" s="31" t="s">
        <v>83</v>
      </c>
      <c r="G63" s="31" t="s">
        <v>275</v>
      </c>
      <c r="H63" s="31" t="s">
        <v>116</v>
      </c>
      <c r="I63" s="31" t="s">
        <v>117</v>
      </c>
      <c r="J63" s="31" t="s">
        <v>112</v>
      </c>
      <c r="K63" s="31" t="s">
        <v>829</v>
      </c>
      <c r="L63" s="31" t="s">
        <v>875</v>
      </c>
      <c r="M63" s="31" t="s">
        <v>876</v>
      </c>
    </row>
    <row r="64" ht="15.75" spans="1:13">
      <c r="A64" s="31" t="s">
        <v>9</v>
      </c>
      <c r="B64" s="31"/>
      <c r="C64" s="31" t="s">
        <v>898</v>
      </c>
      <c r="D64" s="31" t="s">
        <v>902</v>
      </c>
      <c r="E64" s="31" t="s">
        <v>899</v>
      </c>
      <c r="F64" s="31" t="s">
        <v>173</v>
      </c>
      <c r="G64" s="31" t="s">
        <v>275</v>
      </c>
      <c r="H64" s="31" t="s">
        <v>116</v>
      </c>
      <c r="I64" s="31" t="s">
        <v>117</v>
      </c>
      <c r="J64" s="31" t="s">
        <v>112</v>
      </c>
      <c r="K64" s="31" t="s">
        <v>829</v>
      </c>
      <c r="L64" s="31" t="s">
        <v>875</v>
      </c>
      <c r="M64" s="31" t="s">
        <v>876</v>
      </c>
    </row>
    <row r="65" ht="15.75" spans="1:13">
      <c r="A65" s="31" t="s">
        <v>9</v>
      </c>
      <c r="B65" s="31"/>
      <c r="C65" s="31" t="s">
        <v>298</v>
      </c>
      <c r="D65" s="31" t="s">
        <v>303</v>
      </c>
      <c r="E65" s="31" t="s">
        <v>299</v>
      </c>
      <c r="F65" s="31" t="s">
        <v>83</v>
      </c>
      <c r="G65" s="31" t="s">
        <v>268</v>
      </c>
      <c r="H65" s="31" t="s">
        <v>304</v>
      </c>
      <c r="I65" s="31" t="s">
        <v>305</v>
      </c>
      <c r="J65" s="31" t="s">
        <v>112</v>
      </c>
      <c r="K65" s="31" t="s">
        <v>113</v>
      </c>
      <c r="L65" s="31" t="s">
        <v>114</v>
      </c>
      <c r="M65" s="31" t="s">
        <v>44</v>
      </c>
    </row>
    <row r="66" ht="15.75" spans="1:13">
      <c r="A66" s="31" t="s">
        <v>9</v>
      </c>
      <c r="B66" s="31"/>
      <c r="C66" s="31" t="s">
        <v>1077</v>
      </c>
      <c r="D66" s="31" t="s">
        <v>1579</v>
      </c>
      <c r="E66" s="31" t="s">
        <v>1078</v>
      </c>
      <c r="F66" s="31" t="s">
        <v>173</v>
      </c>
      <c r="G66" s="31" t="s">
        <v>963</v>
      </c>
      <c r="H66" s="31" t="s">
        <v>304</v>
      </c>
      <c r="I66" s="31" t="s">
        <v>305</v>
      </c>
      <c r="J66" s="31" t="s">
        <v>112</v>
      </c>
      <c r="K66" s="31" t="s">
        <v>113</v>
      </c>
      <c r="L66" s="31" t="s">
        <v>964</v>
      </c>
      <c r="M66" s="31" t="s">
        <v>16</v>
      </c>
    </row>
    <row r="67" ht="15.75" spans="1:13">
      <c r="A67" s="31" t="s">
        <v>9</v>
      </c>
      <c r="B67" s="31" t="s">
        <v>1496</v>
      </c>
      <c r="C67" s="31" t="s">
        <v>1580</v>
      </c>
      <c r="D67" s="31" t="s">
        <v>1581</v>
      </c>
      <c r="E67" s="31" t="s">
        <v>1582</v>
      </c>
      <c r="F67" s="31" t="s">
        <v>173</v>
      </c>
      <c r="G67" s="31" t="s">
        <v>477</v>
      </c>
      <c r="H67" s="31" t="s">
        <v>148</v>
      </c>
      <c r="I67" s="31" t="s">
        <v>1583</v>
      </c>
      <c r="J67" s="31" t="s">
        <v>112</v>
      </c>
      <c r="K67" s="31" t="s">
        <v>144</v>
      </c>
      <c r="L67" s="31" t="s">
        <v>1500</v>
      </c>
      <c r="M67" s="31" t="s">
        <v>1501</v>
      </c>
    </row>
    <row r="68" ht="15.75" spans="1:13">
      <c r="A68" s="31" t="s">
        <v>9</v>
      </c>
      <c r="B68" s="31"/>
      <c r="C68" s="31" t="s">
        <v>1094</v>
      </c>
      <c r="D68" s="31" t="s">
        <v>1584</v>
      </c>
      <c r="E68" s="31" t="s">
        <v>1095</v>
      </c>
      <c r="F68" s="31" t="s">
        <v>173</v>
      </c>
      <c r="G68" s="31" t="s">
        <v>963</v>
      </c>
      <c r="H68" s="31" t="s">
        <v>304</v>
      </c>
      <c r="I68" s="31" t="s">
        <v>305</v>
      </c>
      <c r="J68" s="31" t="s">
        <v>112</v>
      </c>
      <c r="K68" s="31" t="s">
        <v>113</v>
      </c>
      <c r="L68" s="31" t="s">
        <v>964</v>
      </c>
      <c r="M68" s="31" t="s">
        <v>16</v>
      </c>
    </row>
    <row r="69" ht="15.75" spans="1:13">
      <c r="A69" s="31" t="s">
        <v>9</v>
      </c>
      <c r="B69" s="31"/>
      <c r="C69" s="31" t="s">
        <v>306</v>
      </c>
      <c r="D69" s="31" t="s">
        <v>310</v>
      </c>
      <c r="E69" s="31" t="s">
        <v>307</v>
      </c>
      <c r="F69" s="31" t="s">
        <v>83</v>
      </c>
      <c r="G69" s="31" t="s">
        <v>189</v>
      </c>
      <c r="H69" s="31" t="s">
        <v>116</v>
      </c>
      <c r="I69" s="31" t="s">
        <v>117</v>
      </c>
      <c r="J69" s="31" t="s">
        <v>112</v>
      </c>
      <c r="K69" s="31" t="s">
        <v>161</v>
      </c>
      <c r="L69" s="31" t="s">
        <v>190</v>
      </c>
      <c r="M69" s="31" t="s">
        <v>23</v>
      </c>
    </row>
    <row r="70" ht="15.75" spans="1:13">
      <c r="A70" s="31" t="s">
        <v>9</v>
      </c>
      <c r="B70" s="31"/>
      <c r="C70" s="31" t="s">
        <v>1107</v>
      </c>
      <c r="D70" s="31" t="s">
        <v>1585</v>
      </c>
      <c r="E70" s="31" t="s">
        <v>1108</v>
      </c>
      <c r="F70" s="31" t="s">
        <v>173</v>
      </c>
      <c r="G70" s="31" t="s">
        <v>963</v>
      </c>
      <c r="H70" s="31" t="s">
        <v>304</v>
      </c>
      <c r="I70" s="31" t="s">
        <v>305</v>
      </c>
      <c r="J70" s="31" t="s">
        <v>112</v>
      </c>
      <c r="K70" s="31" t="s">
        <v>113</v>
      </c>
      <c r="L70" s="31" t="s">
        <v>964</v>
      </c>
      <c r="M70" s="31" t="s">
        <v>16</v>
      </c>
    </row>
    <row r="71" ht="15.75" spans="1:13">
      <c r="A71" s="31" t="s">
        <v>9</v>
      </c>
      <c r="B71" s="31"/>
      <c r="C71" s="31" t="s">
        <v>311</v>
      </c>
      <c r="D71" s="31" t="s">
        <v>315</v>
      </c>
      <c r="E71" s="31" t="s">
        <v>312</v>
      </c>
      <c r="F71" s="31" t="s">
        <v>173</v>
      </c>
      <c r="G71" s="31" t="s">
        <v>111</v>
      </c>
      <c r="H71" s="31" t="s">
        <v>116</v>
      </c>
      <c r="I71" s="31" t="s">
        <v>117</v>
      </c>
      <c r="J71" s="31" t="s">
        <v>112</v>
      </c>
      <c r="K71" s="31" t="s">
        <v>161</v>
      </c>
      <c r="L71" s="31" t="s">
        <v>190</v>
      </c>
      <c r="M71" s="31" t="s">
        <v>23</v>
      </c>
    </row>
    <row r="72" ht="15.75" spans="1:13">
      <c r="A72" s="31" t="s">
        <v>9</v>
      </c>
      <c r="B72" s="31"/>
      <c r="C72" s="31" t="s">
        <v>317</v>
      </c>
      <c r="D72" s="31" t="s">
        <v>320</v>
      </c>
      <c r="E72" s="31" t="s">
        <v>318</v>
      </c>
      <c r="F72" s="31" t="s">
        <v>83</v>
      </c>
      <c r="G72" s="31" t="s">
        <v>189</v>
      </c>
      <c r="H72" s="31" t="s">
        <v>116</v>
      </c>
      <c r="I72" s="31" t="s">
        <v>117</v>
      </c>
      <c r="J72" s="31" t="s">
        <v>112</v>
      </c>
      <c r="K72" s="31" t="s">
        <v>161</v>
      </c>
      <c r="L72" s="31" t="s">
        <v>190</v>
      </c>
      <c r="M72" s="31" t="s">
        <v>23</v>
      </c>
    </row>
    <row r="73" ht="15.75" spans="1:13">
      <c r="A73" s="31" t="s">
        <v>9</v>
      </c>
      <c r="B73" s="31" t="s">
        <v>1510</v>
      </c>
      <c r="C73" s="31" t="s">
        <v>1586</v>
      </c>
      <c r="D73" s="31" t="s">
        <v>1587</v>
      </c>
      <c r="E73" s="31" t="s">
        <v>1588</v>
      </c>
      <c r="F73" s="31" t="s">
        <v>173</v>
      </c>
      <c r="G73" s="31" t="s">
        <v>551</v>
      </c>
      <c r="H73" s="31" t="s">
        <v>148</v>
      </c>
      <c r="I73" s="31" t="s">
        <v>149</v>
      </c>
      <c r="J73" s="31" t="s">
        <v>112</v>
      </c>
      <c r="K73" s="31" t="s">
        <v>144</v>
      </c>
      <c r="L73" s="31" t="s">
        <v>1514</v>
      </c>
      <c r="M73" s="31" t="s">
        <v>1515</v>
      </c>
    </row>
    <row r="74" ht="15.75" spans="1:13">
      <c r="A74" s="31" t="s">
        <v>9</v>
      </c>
      <c r="B74" s="31"/>
      <c r="C74" s="31" t="s">
        <v>683</v>
      </c>
      <c r="D74" s="31" t="s">
        <v>688</v>
      </c>
      <c r="E74" s="31" t="s">
        <v>684</v>
      </c>
      <c r="F74" s="31" t="s">
        <v>173</v>
      </c>
      <c r="G74" s="31" t="s">
        <v>178</v>
      </c>
      <c r="H74" s="31" t="s">
        <v>116</v>
      </c>
      <c r="I74" s="31" t="s">
        <v>117</v>
      </c>
      <c r="J74" s="31" t="s">
        <v>112</v>
      </c>
      <c r="K74" s="31" t="s">
        <v>661</v>
      </c>
      <c r="L74" s="31" t="s">
        <v>662</v>
      </c>
      <c r="M74" s="31" t="s">
        <v>35</v>
      </c>
    </row>
    <row r="75" ht="15.75" spans="1:13">
      <c r="A75" s="31" t="s">
        <v>9</v>
      </c>
      <c r="B75" s="31"/>
      <c r="C75" s="31" t="s">
        <v>321</v>
      </c>
      <c r="D75" s="31" t="s">
        <v>327</v>
      </c>
      <c r="E75" s="31" t="s">
        <v>322</v>
      </c>
      <c r="F75" s="31" t="s">
        <v>173</v>
      </c>
      <c r="G75" s="31" t="s">
        <v>178</v>
      </c>
      <c r="H75" s="31" t="s">
        <v>116</v>
      </c>
      <c r="I75" s="31" t="s">
        <v>117</v>
      </c>
      <c r="J75" s="31" t="s">
        <v>112</v>
      </c>
      <c r="K75" s="31" t="s">
        <v>128</v>
      </c>
      <c r="L75" s="31" t="s">
        <v>326</v>
      </c>
      <c r="M75" s="31" t="s">
        <v>29</v>
      </c>
    </row>
    <row r="76" ht="15.75" spans="1:13">
      <c r="A76" s="31" t="s">
        <v>9</v>
      </c>
      <c r="B76" s="31"/>
      <c r="C76" s="31" t="s">
        <v>329</v>
      </c>
      <c r="D76" s="31" t="s">
        <v>337</v>
      </c>
      <c r="E76" s="31" t="s">
        <v>330</v>
      </c>
      <c r="F76" s="31" t="s">
        <v>83</v>
      </c>
      <c r="G76" s="31" t="s">
        <v>178</v>
      </c>
      <c r="H76" s="31" t="s">
        <v>116</v>
      </c>
      <c r="I76" s="31" t="s">
        <v>117</v>
      </c>
      <c r="J76" s="31" t="s">
        <v>112</v>
      </c>
      <c r="K76" s="31" t="s">
        <v>334</v>
      </c>
      <c r="L76" s="31" t="s">
        <v>335</v>
      </c>
      <c r="M76" s="31" t="s">
        <v>38</v>
      </c>
    </row>
    <row r="77" ht="15.75" spans="1:13">
      <c r="A77" s="31" t="s">
        <v>9</v>
      </c>
      <c r="B77" s="31" t="s">
        <v>1496</v>
      </c>
      <c r="C77" s="31" t="s">
        <v>1589</v>
      </c>
      <c r="D77" s="31" t="s">
        <v>1590</v>
      </c>
      <c r="E77" s="31" t="s">
        <v>1591</v>
      </c>
      <c r="F77" s="31" t="s">
        <v>173</v>
      </c>
      <c r="G77" s="31" t="s">
        <v>1578</v>
      </c>
      <c r="H77" s="31" t="s">
        <v>148</v>
      </c>
      <c r="I77" s="31" t="s">
        <v>149</v>
      </c>
      <c r="J77" s="31" t="s">
        <v>112</v>
      </c>
      <c r="K77" s="31" t="s">
        <v>144</v>
      </c>
      <c r="L77" s="31" t="s">
        <v>1500</v>
      </c>
      <c r="M77" s="31" t="s">
        <v>1501</v>
      </c>
    </row>
    <row r="78" ht="15.75" spans="1:13">
      <c r="A78" s="31" t="s">
        <v>9</v>
      </c>
      <c r="B78" s="31"/>
      <c r="C78" s="31" t="s">
        <v>338</v>
      </c>
      <c r="D78" s="31" t="s">
        <v>343</v>
      </c>
      <c r="E78" s="31" t="s">
        <v>1592</v>
      </c>
      <c r="F78" s="31" t="s">
        <v>173</v>
      </c>
      <c r="G78" s="31" t="s">
        <v>340</v>
      </c>
      <c r="H78" s="31" t="s">
        <v>148</v>
      </c>
      <c r="I78" s="31" t="s">
        <v>149</v>
      </c>
      <c r="J78" s="31" t="s">
        <v>112</v>
      </c>
      <c r="K78" s="31" t="s">
        <v>144</v>
      </c>
      <c r="L78" s="31" t="s">
        <v>341</v>
      </c>
      <c r="M78" s="31" t="s">
        <v>342</v>
      </c>
    </row>
    <row r="79" ht="15.75" spans="1:13">
      <c r="A79" s="31" t="s">
        <v>9</v>
      </c>
      <c r="B79" s="31"/>
      <c r="C79" s="31" t="s">
        <v>787</v>
      </c>
      <c r="D79" s="31" t="s">
        <v>1593</v>
      </c>
      <c r="E79" s="31" t="s">
        <v>788</v>
      </c>
      <c r="F79" s="31" t="s">
        <v>173</v>
      </c>
      <c r="G79" s="31" t="s">
        <v>143</v>
      </c>
      <c r="H79" s="31" t="s">
        <v>116</v>
      </c>
      <c r="I79" s="31" t="s">
        <v>117</v>
      </c>
      <c r="J79" s="31" t="s">
        <v>112</v>
      </c>
      <c r="K79" s="31" t="s">
        <v>113</v>
      </c>
      <c r="L79" s="31" t="s">
        <v>753</v>
      </c>
      <c r="M79" s="31" t="s">
        <v>41</v>
      </c>
    </row>
    <row r="80" ht="15.75" spans="1:13">
      <c r="A80" s="31" t="s">
        <v>9</v>
      </c>
      <c r="B80" s="31"/>
      <c r="C80" s="31" t="s">
        <v>344</v>
      </c>
      <c r="D80" s="31" t="s">
        <v>348</v>
      </c>
      <c r="E80" s="31" t="s">
        <v>345</v>
      </c>
      <c r="F80" s="31" t="s">
        <v>83</v>
      </c>
      <c r="G80" s="31" t="s">
        <v>160</v>
      </c>
      <c r="H80" s="31" t="s">
        <v>164</v>
      </c>
      <c r="I80" s="31" t="s">
        <v>165</v>
      </c>
      <c r="J80" s="31" t="s">
        <v>112</v>
      </c>
      <c r="K80" s="31" t="s">
        <v>161</v>
      </c>
      <c r="L80" s="31" t="s">
        <v>162</v>
      </c>
      <c r="M80" s="31" t="s">
        <v>20</v>
      </c>
    </row>
    <row r="81" ht="15.75" spans="1:13">
      <c r="A81" s="31" t="s">
        <v>9</v>
      </c>
      <c r="B81" s="31"/>
      <c r="C81" s="31" t="s">
        <v>349</v>
      </c>
      <c r="D81" s="31" t="s">
        <v>353</v>
      </c>
      <c r="E81" s="31" t="s">
        <v>350</v>
      </c>
      <c r="F81" s="31" t="s">
        <v>173</v>
      </c>
      <c r="G81" s="31" t="s">
        <v>189</v>
      </c>
      <c r="H81" s="31" t="s">
        <v>116</v>
      </c>
      <c r="I81" s="31" t="s">
        <v>117</v>
      </c>
      <c r="J81" s="31" t="s">
        <v>112</v>
      </c>
      <c r="K81" s="31" t="s">
        <v>161</v>
      </c>
      <c r="L81" s="31" t="s">
        <v>190</v>
      </c>
      <c r="M81" s="31" t="s">
        <v>23</v>
      </c>
    </row>
    <row r="82" ht="15.75" spans="1:13">
      <c r="A82" s="31" t="s">
        <v>9</v>
      </c>
      <c r="B82" s="31"/>
      <c r="C82" s="31" t="s">
        <v>791</v>
      </c>
      <c r="D82" s="31" t="s">
        <v>1594</v>
      </c>
      <c r="E82" s="31" t="s">
        <v>792</v>
      </c>
      <c r="F82" s="31" t="s">
        <v>173</v>
      </c>
      <c r="G82" s="31" t="s">
        <v>143</v>
      </c>
      <c r="H82" s="31" t="s">
        <v>116</v>
      </c>
      <c r="I82" s="31" t="s">
        <v>117</v>
      </c>
      <c r="J82" s="31" t="s">
        <v>112</v>
      </c>
      <c r="K82" s="31" t="s">
        <v>113</v>
      </c>
      <c r="L82" s="31" t="s">
        <v>753</v>
      </c>
      <c r="M82" s="31" t="s">
        <v>41</v>
      </c>
    </row>
    <row r="83" ht="15.75" spans="1:13">
      <c r="A83" s="31" t="s">
        <v>9</v>
      </c>
      <c r="B83" s="31"/>
      <c r="C83" s="31" t="s">
        <v>356</v>
      </c>
      <c r="D83" s="31" t="s">
        <v>361</v>
      </c>
      <c r="E83" s="31" t="s">
        <v>357</v>
      </c>
      <c r="F83" s="31" t="s">
        <v>173</v>
      </c>
      <c r="G83" s="31" t="s">
        <v>340</v>
      </c>
      <c r="H83" s="31" t="s">
        <v>148</v>
      </c>
      <c r="I83" s="31" t="s">
        <v>149</v>
      </c>
      <c r="J83" s="31" t="s">
        <v>112</v>
      </c>
      <c r="K83" s="31" t="s">
        <v>144</v>
      </c>
      <c r="L83" s="31" t="s">
        <v>341</v>
      </c>
      <c r="M83" s="31" t="s">
        <v>342</v>
      </c>
    </row>
    <row r="84" ht="15.75" spans="1:13">
      <c r="A84" s="31" t="s">
        <v>9</v>
      </c>
      <c r="B84" s="31"/>
      <c r="C84" s="31" t="s">
        <v>362</v>
      </c>
      <c r="D84" s="31" t="s">
        <v>366</v>
      </c>
      <c r="E84" s="31" t="s">
        <v>363</v>
      </c>
      <c r="F84" s="31" t="s">
        <v>173</v>
      </c>
      <c r="G84" s="31" t="s">
        <v>268</v>
      </c>
      <c r="H84" s="31" t="s">
        <v>304</v>
      </c>
      <c r="I84" s="31" t="s">
        <v>305</v>
      </c>
      <c r="J84" s="31" t="s">
        <v>112</v>
      </c>
      <c r="K84" s="31" t="s">
        <v>113</v>
      </c>
      <c r="L84" s="31" t="s">
        <v>114</v>
      </c>
      <c r="M84" s="31" t="s">
        <v>44</v>
      </c>
    </row>
    <row r="85" ht="15.75" spans="1:13">
      <c r="A85" s="31" t="s">
        <v>9</v>
      </c>
      <c r="B85" s="31"/>
      <c r="C85" s="31" t="s">
        <v>367</v>
      </c>
      <c r="D85" s="31" t="s">
        <v>371</v>
      </c>
      <c r="E85" s="31" t="s">
        <v>368</v>
      </c>
      <c r="F85" s="31" t="s">
        <v>173</v>
      </c>
      <c r="G85" s="31" t="s">
        <v>189</v>
      </c>
      <c r="H85" s="31" t="s">
        <v>116</v>
      </c>
      <c r="I85" s="31" t="s">
        <v>117</v>
      </c>
      <c r="J85" s="31" t="s">
        <v>112</v>
      </c>
      <c r="K85" s="31" t="s">
        <v>161</v>
      </c>
      <c r="L85" s="31" t="s">
        <v>190</v>
      </c>
      <c r="M85" s="31" t="s">
        <v>23</v>
      </c>
    </row>
    <row r="86" ht="15.75" spans="1:13">
      <c r="A86" s="31" t="s">
        <v>9</v>
      </c>
      <c r="B86" s="31"/>
      <c r="C86" s="31" t="s">
        <v>372</v>
      </c>
      <c r="D86" s="31" t="s">
        <v>376</v>
      </c>
      <c r="E86" s="31" t="s">
        <v>373</v>
      </c>
      <c r="F86" s="31" t="s">
        <v>173</v>
      </c>
      <c r="G86" s="31" t="s">
        <v>275</v>
      </c>
      <c r="H86" s="31" t="s">
        <v>116</v>
      </c>
      <c r="I86" s="31" t="s">
        <v>117</v>
      </c>
      <c r="J86" s="31" t="s">
        <v>112</v>
      </c>
      <c r="K86" s="31" t="s">
        <v>276</v>
      </c>
      <c r="L86" s="31" t="s">
        <v>277</v>
      </c>
      <c r="M86" s="31" t="s">
        <v>26</v>
      </c>
    </row>
    <row r="87" ht="15.75" spans="1:13">
      <c r="A87" s="33" t="s">
        <v>9</v>
      </c>
      <c r="B87" s="33"/>
      <c r="C87" s="33" t="s">
        <v>22</v>
      </c>
      <c r="D87" s="33" t="s">
        <v>380</v>
      </c>
      <c r="E87" s="33" t="s">
        <v>21</v>
      </c>
      <c r="F87" s="33" t="s">
        <v>173</v>
      </c>
      <c r="G87" s="33" t="s">
        <v>111</v>
      </c>
      <c r="H87" s="33" t="s">
        <v>116</v>
      </c>
      <c r="I87" s="33" t="s">
        <v>117</v>
      </c>
      <c r="J87" s="33" t="s">
        <v>112</v>
      </c>
      <c r="K87" s="33" t="s">
        <v>161</v>
      </c>
      <c r="L87" s="33" t="s">
        <v>190</v>
      </c>
      <c r="M87" s="33" t="s">
        <v>23</v>
      </c>
    </row>
    <row r="88" ht="15.75" spans="1:13">
      <c r="A88" s="31" t="s">
        <v>9</v>
      </c>
      <c r="B88" s="31"/>
      <c r="C88" s="31" t="s">
        <v>384</v>
      </c>
      <c r="D88" s="31" t="s">
        <v>388</v>
      </c>
      <c r="E88" s="31" t="s">
        <v>385</v>
      </c>
      <c r="F88" s="31" t="s">
        <v>83</v>
      </c>
      <c r="G88" s="31" t="s">
        <v>257</v>
      </c>
      <c r="H88" s="31" t="s">
        <v>389</v>
      </c>
      <c r="I88" s="31" t="s">
        <v>390</v>
      </c>
      <c r="J88" s="31" t="s">
        <v>112</v>
      </c>
      <c r="K88" s="31" t="s">
        <v>128</v>
      </c>
      <c r="L88" s="31" t="s">
        <v>258</v>
      </c>
      <c r="M88" s="31" t="s">
        <v>259</v>
      </c>
    </row>
    <row r="89" ht="15.75" spans="1:13">
      <c r="A89" s="31" t="s">
        <v>9</v>
      </c>
      <c r="B89" s="32" t="s">
        <v>1502</v>
      </c>
      <c r="C89" s="31" t="s">
        <v>1595</v>
      </c>
      <c r="D89" s="31" t="s">
        <v>1596</v>
      </c>
      <c r="E89" s="31" t="s">
        <v>1597</v>
      </c>
      <c r="F89" s="31" t="s">
        <v>173</v>
      </c>
      <c r="G89" s="31" t="s">
        <v>143</v>
      </c>
      <c r="H89" s="31" t="s">
        <v>148</v>
      </c>
      <c r="I89" s="31" t="s">
        <v>149</v>
      </c>
      <c r="J89" s="31" t="s">
        <v>112</v>
      </c>
      <c r="K89" s="31" t="s">
        <v>144</v>
      </c>
      <c r="L89" s="31" t="s">
        <v>1529</v>
      </c>
      <c r="M89" s="31" t="s">
        <v>1530</v>
      </c>
    </row>
    <row r="90" ht="15.75" spans="1:13">
      <c r="A90" s="31" t="s">
        <v>9</v>
      </c>
      <c r="B90" s="31" t="s">
        <v>1510</v>
      </c>
      <c r="C90" s="31" t="s">
        <v>1598</v>
      </c>
      <c r="D90" s="31" t="s">
        <v>1599</v>
      </c>
      <c r="E90" s="31" t="s">
        <v>1600</v>
      </c>
      <c r="F90" s="31" t="s">
        <v>83</v>
      </c>
      <c r="G90" s="31" t="s">
        <v>1523</v>
      </c>
      <c r="H90" s="31" t="s">
        <v>148</v>
      </c>
      <c r="I90" s="31" t="s">
        <v>149</v>
      </c>
      <c r="J90" s="31" t="s">
        <v>112</v>
      </c>
      <c r="K90" s="31" t="s">
        <v>144</v>
      </c>
      <c r="L90" s="31" t="s">
        <v>1524</v>
      </c>
      <c r="M90" s="31" t="s">
        <v>1525</v>
      </c>
    </row>
    <row r="91" ht="15.75" spans="1:13">
      <c r="A91" s="33" t="s">
        <v>9</v>
      </c>
      <c r="B91" s="33"/>
      <c r="C91" s="33" t="s">
        <v>19</v>
      </c>
      <c r="D91" s="33" t="s">
        <v>394</v>
      </c>
      <c r="E91" s="33" t="s">
        <v>18</v>
      </c>
      <c r="F91" s="33" t="s">
        <v>173</v>
      </c>
      <c r="G91" s="33" t="s">
        <v>160</v>
      </c>
      <c r="H91" s="33" t="s">
        <v>116</v>
      </c>
      <c r="I91" s="33" t="s">
        <v>117</v>
      </c>
      <c r="J91" s="33" t="s">
        <v>112</v>
      </c>
      <c r="K91" s="33" t="s">
        <v>161</v>
      </c>
      <c r="L91" s="33" t="s">
        <v>162</v>
      </c>
      <c r="M91" s="33" t="s">
        <v>20</v>
      </c>
    </row>
    <row r="92" ht="15.75" spans="1:13">
      <c r="A92" s="31" t="s">
        <v>9</v>
      </c>
      <c r="B92" s="31"/>
      <c r="C92" s="31" t="s">
        <v>845</v>
      </c>
      <c r="D92" s="31" t="s">
        <v>849</v>
      </c>
      <c r="E92" s="31" t="s">
        <v>846</v>
      </c>
      <c r="F92" s="31" t="s">
        <v>173</v>
      </c>
      <c r="G92" s="31" t="s">
        <v>275</v>
      </c>
      <c r="H92" s="31" t="s">
        <v>116</v>
      </c>
      <c r="I92" s="31" t="s">
        <v>117</v>
      </c>
      <c r="J92" s="31" t="s">
        <v>112</v>
      </c>
      <c r="K92" s="31" t="s">
        <v>829</v>
      </c>
      <c r="L92" s="31" t="s">
        <v>830</v>
      </c>
      <c r="M92" s="31" t="s">
        <v>13</v>
      </c>
    </row>
    <row r="93" ht="15.75" spans="1:13">
      <c r="A93" s="31" t="s">
        <v>9</v>
      </c>
      <c r="B93" s="31"/>
      <c r="C93" s="31" t="s">
        <v>395</v>
      </c>
      <c r="D93" s="31" t="s">
        <v>403</v>
      </c>
      <c r="E93" s="31" t="s">
        <v>396</v>
      </c>
      <c r="F93" s="31" t="s">
        <v>173</v>
      </c>
      <c r="G93" s="31" t="s">
        <v>400</v>
      </c>
      <c r="H93" s="31" t="s">
        <v>116</v>
      </c>
      <c r="I93" s="31" t="s">
        <v>117</v>
      </c>
      <c r="J93" s="31" t="s">
        <v>112</v>
      </c>
      <c r="K93" s="31" t="s">
        <v>161</v>
      </c>
      <c r="L93" s="31" t="s">
        <v>401</v>
      </c>
      <c r="M93" s="31" t="s">
        <v>402</v>
      </c>
    </row>
    <row r="94" ht="15.75" spans="1:13">
      <c r="A94" s="31" t="s">
        <v>9</v>
      </c>
      <c r="B94" s="32" t="s">
        <v>1496</v>
      </c>
      <c r="C94" s="31" t="s">
        <v>1601</v>
      </c>
      <c r="D94" s="31" t="s">
        <v>1602</v>
      </c>
      <c r="E94" s="31" t="s">
        <v>1603</v>
      </c>
      <c r="F94" s="31" t="s">
        <v>83</v>
      </c>
      <c r="G94" s="31" t="s">
        <v>1604</v>
      </c>
      <c r="H94" s="31" t="s">
        <v>116</v>
      </c>
      <c r="I94" s="31" t="s">
        <v>117</v>
      </c>
      <c r="J94" s="31" t="s">
        <v>112</v>
      </c>
      <c r="K94" s="31" t="s">
        <v>144</v>
      </c>
      <c r="L94" s="31" t="s">
        <v>1500</v>
      </c>
      <c r="M94" s="31" t="s">
        <v>1501</v>
      </c>
    </row>
    <row r="95" ht="15.75" spans="1:13">
      <c r="A95" s="31" t="s">
        <v>9</v>
      </c>
      <c r="B95" s="31"/>
      <c r="C95" s="31" t="s">
        <v>404</v>
      </c>
      <c r="D95" s="31" t="s">
        <v>407</v>
      </c>
      <c r="E95" s="31" t="s">
        <v>405</v>
      </c>
      <c r="F95" s="31" t="s">
        <v>173</v>
      </c>
      <c r="G95" s="31" t="s">
        <v>340</v>
      </c>
      <c r="H95" s="31" t="s">
        <v>148</v>
      </c>
      <c r="I95" s="31" t="s">
        <v>149</v>
      </c>
      <c r="J95" s="31" t="s">
        <v>112</v>
      </c>
      <c r="K95" s="31" t="s">
        <v>144</v>
      </c>
      <c r="L95" s="31" t="s">
        <v>341</v>
      </c>
      <c r="M95" s="31" t="s">
        <v>342</v>
      </c>
    </row>
    <row r="96" ht="15.75" spans="1:13">
      <c r="A96" s="31" t="s">
        <v>9</v>
      </c>
      <c r="B96" s="31"/>
      <c r="C96" s="31" t="s">
        <v>795</v>
      </c>
      <c r="D96" s="31" t="s">
        <v>1605</v>
      </c>
      <c r="E96" s="31" t="s">
        <v>796</v>
      </c>
      <c r="F96" s="31" t="s">
        <v>83</v>
      </c>
      <c r="G96" s="31" t="s">
        <v>143</v>
      </c>
      <c r="H96" s="31" t="s">
        <v>116</v>
      </c>
      <c r="I96" s="31" t="s">
        <v>117</v>
      </c>
      <c r="J96" s="31" t="s">
        <v>112</v>
      </c>
      <c r="K96" s="31" t="s">
        <v>113</v>
      </c>
      <c r="L96" s="31" t="s">
        <v>753</v>
      </c>
      <c r="M96" s="31" t="s">
        <v>41</v>
      </c>
    </row>
    <row r="97" ht="15.75" spans="1:13">
      <c r="A97" s="31" t="s">
        <v>9</v>
      </c>
      <c r="B97" s="31"/>
      <c r="C97" s="31" t="s">
        <v>408</v>
      </c>
      <c r="D97" s="31" t="s">
        <v>413</v>
      </c>
      <c r="E97" s="31" t="s">
        <v>409</v>
      </c>
      <c r="F97" s="31" t="s">
        <v>173</v>
      </c>
      <c r="G97" s="31" t="s">
        <v>178</v>
      </c>
      <c r="H97" s="31" t="s">
        <v>116</v>
      </c>
      <c r="I97" s="31" t="s">
        <v>117</v>
      </c>
      <c r="J97" s="31" t="s">
        <v>112</v>
      </c>
      <c r="K97" s="31" t="s">
        <v>128</v>
      </c>
      <c r="L97" s="31" t="s">
        <v>326</v>
      </c>
      <c r="M97" s="31" t="s">
        <v>29</v>
      </c>
    </row>
    <row r="98" ht="15.75" spans="1:13">
      <c r="A98" s="31" t="s">
        <v>9</v>
      </c>
      <c r="B98" s="31"/>
      <c r="C98" s="31" t="s">
        <v>415</v>
      </c>
      <c r="D98" s="31" t="s">
        <v>420</v>
      </c>
      <c r="E98" s="31" t="s">
        <v>416</v>
      </c>
      <c r="F98" s="31" t="s">
        <v>173</v>
      </c>
      <c r="G98" s="31" t="s">
        <v>178</v>
      </c>
      <c r="H98" s="31" t="s">
        <v>116</v>
      </c>
      <c r="I98" s="31" t="s">
        <v>117</v>
      </c>
      <c r="J98" s="31" t="s">
        <v>112</v>
      </c>
      <c r="K98" s="31" t="s">
        <v>161</v>
      </c>
      <c r="L98" s="31" t="s">
        <v>190</v>
      </c>
      <c r="M98" s="31" t="s">
        <v>23</v>
      </c>
    </row>
    <row r="99" ht="15.75" spans="1:13">
      <c r="A99" s="31" t="s">
        <v>9</v>
      </c>
      <c r="B99" s="31" t="s">
        <v>1510</v>
      </c>
      <c r="C99" s="31" t="s">
        <v>1606</v>
      </c>
      <c r="D99" s="31" t="s">
        <v>1607</v>
      </c>
      <c r="E99" s="31" t="s">
        <v>1608</v>
      </c>
      <c r="F99" s="31" t="s">
        <v>173</v>
      </c>
      <c r="G99" s="31" t="s">
        <v>1609</v>
      </c>
      <c r="H99" s="31" t="s">
        <v>116</v>
      </c>
      <c r="I99" s="31" t="s">
        <v>1610</v>
      </c>
      <c r="J99" s="31" t="s">
        <v>112</v>
      </c>
      <c r="K99" s="31" t="s">
        <v>144</v>
      </c>
      <c r="L99" s="31" t="s">
        <v>1514</v>
      </c>
      <c r="M99" s="31" t="s">
        <v>1515</v>
      </c>
    </row>
    <row r="100" ht="15.75" spans="1:13">
      <c r="A100" s="31" t="s">
        <v>9</v>
      </c>
      <c r="B100" s="31"/>
      <c r="C100" s="31" t="s">
        <v>1121</v>
      </c>
      <c r="D100" s="31" t="s">
        <v>1611</v>
      </c>
      <c r="E100" s="31" t="s">
        <v>1122</v>
      </c>
      <c r="F100" s="31" t="s">
        <v>173</v>
      </c>
      <c r="G100" s="31" t="s">
        <v>963</v>
      </c>
      <c r="H100" s="31" t="s">
        <v>304</v>
      </c>
      <c r="I100" s="31" t="s">
        <v>305</v>
      </c>
      <c r="J100" s="31" t="s">
        <v>112</v>
      </c>
      <c r="K100" s="31" t="s">
        <v>113</v>
      </c>
      <c r="L100" s="31" t="s">
        <v>964</v>
      </c>
      <c r="M100" s="31" t="s">
        <v>16</v>
      </c>
    </row>
    <row r="101" ht="15.75" spans="1:13">
      <c r="A101" s="31" t="s">
        <v>9</v>
      </c>
      <c r="B101" s="31" t="s">
        <v>1496</v>
      </c>
      <c r="C101" s="31" t="s">
        <v>1612</v>
      </c>
      <c r="D101" s="31" t="s">
        <v>1613</v>
      </c>
      <c r="E101" s="31" t="s">
        <v>1614</v>
      </c>
      <c r="F101" s="31" t="s">
        <v>173</v>
      </c>
      <c r="G101" s="31" t="s">
        <v>1519</v>
      </c>
      <c r="H101" s="31" t="s">
        <v>148</v>
      </c>
      <c r="I101" s="31" t="s">
        <v>149</v>
      </c>
      <c r="J101" s="31" t="s">
        <v>112</v>
      </c>
      <c r="K101" s="31" t="s">
        <v>144</v>
      </c>
      <c r="L101" s="31" t="s">
        <v>1500</v>
      </c>
      <c r="M101" s="31" t="s">
        <v>1501</v>
      </c>
    </row>
    <row r="102" ht="15.75" spans="1:13">
      <c r="A102" s="31" t="s">
        <v>9</v>
      </c>
      <c r="B102" s="31"/>
      <c r="C102" s="31" t="s">
        <v>422</v>
      </c>
      <c r="D102" s="31" t="s">
        <v>427</v>
      </c>
      <c r="E102" s="31" t="s">
        <v>423</v>
      </c>
      <c r="F102" s="31" t="s">
        <v>83</v>
      </c>
      <c r="G102" s="31" t="s">
        <v>160</v>
      </c>
      <c r="H102" s="31" t="s">
        <v>116</v>
      </c>
      <c r="I102" s="31" t="s">
        <v>117</v>
      </c>
      <c r="J102" s="31" t="s">
        <v>112</v>
      </c>
      <c r="K102" s="31" t="s">
        <v>161</v>
      </c>
      <c r="L102" s="31" t="s">
        <v>162</v>
      </c>
      <c r="M102" s="31" t="s">
        <v>20</v>
      </c>
    </row>
    <row r="103" ht="15.75" spans="1:13">
      <c r="A103" s="33" t="s">
        <v>9</v>
      </c>
      <c r="B103" s="33"/>
      <c r="C103" s="33" t="s">
        <v>43</v>
      </c>
      <c r="D103" s="33" t="s">
        <v>433</v>
      </c>
      <c r="E103" s="33" t="s">
        <v>42</v>
      </c>
      <c r="F103" s="33" t="s">
        <v>83</v>
      </c>
      <c r="G103" s="33" t="s">
        <v>111</v>
      </c>
      <c r="H103" s="33" t="s">
        <v>116</v>
      </c>
      <c r="I103" s="33" t="s">
        <v>117</v>
      </c>
      <c r="J103" s="33" t="s">
        <v>112</v>
      </c>
      <c r="K103" s="33" t="s">
        <v>113</v>
      </c>
      <c r="L103" s="33" t="s">
        <v>114</v>
      </c>
      <c r="M103" s="33" t="s">
        <v>44</v>
      </c>
    </row>
    <row r="104" ht="15.75" spans="1:13">
      <c r="A104" s="31" t="s">
        <v>9</v>
      </c>
      <c r="B104" s="31" t="s">
        <v>1510</v>
      </c>
      <c r="C104" s="31" t="s">
        <v>1615</v>
      </c>
      <c r="D104" s="31" t="s">
        <v>1616</v>
      </c>
      <c r="E104" s="31" t="s">
        <v>1617</v>
      </c>
      <c r="F104" s="31" t="s">
        <v>83</v>
      </c>
      <c r="G104" s="31" t="s">
        <v>1618</v>
      </c>
      <c r="H104" s="31" t="s">
        <v>148</v>
      </c>
      <c r="I104" s="31" t="s">
        <v>149</v>
      </c>
      <c r="J104" s="31" t="s">
        <v>112</v>
      </c>
      <c r="K104" s="31" t="s">
        <v>144</v>
      </c>
      <c r="L104" s="31" t="s">
        <v>1524</v>
      </c>
      <c r="M104" s="31" t="s">
        <v>1525</v>
      </c>
    </row>
    <row r="105" ht="15.75" spans="1:13">
      <c r="A105" s="31" t="s">
        <v>9</v>
      </c>
      <c r="B105" s="31"/>
      <c r="C105" s="31" t="s">
        <v>799</v>
      </c>
      <c r="D105" s="31" t="s">
        <v>1619</v>
      </c>
      <c r="E105" s="31" t="s">
        <v>800</v>
      </c>
      <c r="F105" s="31" t="s">
        <v>173</v>
      </c>
      <c r="G105" s="31" t="s">
        <v>143</v>
      </c>
      <c r="H105" s="31" t="s">
        <v>116</v>
      </c>
      <c r="I105" s="31" t="s">
        <v>117</v>
      </c>
      <c r="J105" s="31" t="s">
        <v>112</v>
      </c>
      <c r="K105" s="31" t="s">
        <v>113</v>
      </c>
      <c r="L105" s="31" t="s">
        <v>753</v>
      </c>
      <c r="M105" s="31" t="s">
        <v>41</v>
      </c>
    </row>
    <row r="106" ht="15.75" spans="1:13">
      <c r="A106" s="33" t="s">
        <v>9</v>
      </c>
      <c r="B106" s="33"/>
      <c r="C106" s="33" t="s">
        <v>28</v>
      </c>
      <c r="D106" s="33" t="s">
        <v>437</v>
      </c>
      <c r="E106" s="33" t="s">
        <v>27</v>
      </c>
      <c r="F106" s="33" t="s">
        <v>83</v>
      </c>
      <c r="G106" s="33" t="s">
        <v>178</v>
      </c>
      <c r="H106" s="33" t="s">
        <v>116</v>
      </c>
      <c r="I106" s="33" t="s">
        <v>117</v>
      </c>
      <c r="J106" s="33" t="s">
        <v>112</v>
      </c>
      <c r="K106" s="33" t="s">
        <v>128</v>
      </c>
      <c r="L106" s="33" t="s">
        <v>326</v>
      </c>
      <c r="M106" s="33" t="s">
        <v>29</v>
      </c>
    </row>
    <row r="107" ht="15.75" spans="1:13">
      <c r="A107" s="31" t="s">
        <v>9</v>
      </c>
      <c r="B107" s="31"/>
      <c r="C107" s="31" t="s">
        <v>1620</v>
      </c>
      <c r="D107" s="31" t="s">
        <v>445</v>
      </c>
      <c r="E107" s="31" t="s">
        <v>1621</v>
      </c>
      <c r="F107" s="31" t="s">
        <v>173</v>
      </c>
      <c r="G107" s="31" t="s">
        <v>444</v>
      </c>
      <c r="H107" s="31" t="s">
        <v>116</v>
      </c>
      <c r="I107" s="31" t="s">
        <v>117</v>
      </c>
      <c r="J107" s="31" t="s">
        <v>112</v>
      </c>
      <c r="K107" s="31" t="s">
        <v>334</v>
      </c>
      <c r="L107" s="31" t="s">
        <v>335</v>
      </c>
      <c r="M107" s="31" t="s">
        <v>38</v>
      </c>
    </row>
    <row r="108" ht="15.75" spans="1:13">
      <c r="A108" s="33" t="s">
        <v>9</v>
      </c>
      <c r="B108" s="33"/>
      <c r="C108" s="33" t="s">
        <v>46</v>
      </c>
      <c r="D108" s="33" t="s">
        <v>450</v>
      </c>
      <c r="E108" s="33" t="s">
        <v>45</v>
      </c>
      <c r="F108" s="33" t="s">
        <v>173</v>
      </c>
      <c r="G108" s="33" t="s">
        <v>449</v>
      </c>
      <c r="H108" s="33" t="s">
        <v>148</v>
      </c>
      <c r="I108" s="33" t="s">
        <v>149</v>
      </c>
      <c r="J108" s="33" t="s">
        <v>112</v>
      </c>
      <c r="K108" s="33" t="s">
        <v>144</v>
      </c>
      <c r="L108" s="33" t="s">
        <v>236</v>
      </c>
      <c r="M108" s="33" t="s">
        <v>47</v>
      </c>
    </row>
    <row r="109" ht="15.75" spans="1:13">
      <c r="A109" s="31" t="s">
        <v>9</v>
      </c>
      <c r="B109" s="31" t="s">
        <v>1510</v>
      </c>
      <c r="C109" s="31" t="s">
        <v>1622</v>
      </c>
      <c r="D109" s="31" t="s">
        <v>1623</v>
      </c>
      <c r="E109" s="31" t="s">
        <v>1624</v>
      </c>
      <c r="F109" s="31" t="s">
        <v>173</v>
      </c>
      <c r="G109" s="31" t="s">
        <v>1625</v>
      </c>
      <c r="H109" s="31" t="s">
        <v>148</v>
      </c>
      <c r="I109" s="31" t="s">
        <v>149</v>
      </c>
      <c r="J109" s="31" t="s">
        <v>112</v>
      </c>
      <c r="K109" s="31" t="s">
        <v>144</v>
      </c>
      <c r="L109" s="31" t="s">
        <v>1514</v>
      </c>
      <c r="M109" s="31" t="s">
        <v>1515</v>
      </c>
    </row>
    <row r="110" ht="15.75" spans="1:13">
      <c r="A110" s="31" t="s">
        <v>9</v>
      </c>
      <c r="B110" s="31" t="s">
        <v>1510</v>
      </c>
      <c r="C110" s="31" t="s">
        <v>1626</v>
      </c>
      <c r="D110" s="31" t="s">
        <v>1627</v>
      </c>
      <c r="E110" s="31" t="s">
        <v>1628</v>
      </c>
      <c r="F110" s="31" t="s">
        <v>173</v>
      </c>
      <c r="G110" s="31" t="s">
        <v>1625</v>
      </c>
      <c r="H110" s="31" t="s">
        <v>148</v>
      </c>
      <c r="I110" s="31" t="s">
        <v>149</v>
      </c>
      <c r="J110" s="31" t="s">
        <v>112</v>
      </c>
      <c r="K110" s="31" t="s">
        <v>144</v>
      </c>
      <c r="L110" s="31" t="s">
        <v>1514</v>
      </c>
      <c r="M110" s="31" t="s">
        <v>1515</v>
      </c>
    </row>
    <row r="111" ht="15.75" spans="1:13">
      <c r="A111" s="31" t="s">
        <v>9</v>
      </c>
      <c r="B111" s="31"/>
      <c r="C111" s="31" t="s">
        <v>1137</v>
      </c>
      <c r="D111" s="31" t="s">
        <v>1629</v>
      </c>
      <c r="E111" s="31" t="s">
        <v>1138</v>
      </c>
      <c r="F111" s="31" t="s">
        <v>173</v>
      </c>
      <c r="G111" s="31" t="s">
        <v>963</v>
      </c>
      <c r="H111" s="31" t="s">
        <v>304</v>
      </c>
      <c r="I111" s="31" t="s">
        <v>305</v>
      </c>
      <c r="J111" s="31" t="s">
        <v>112</v>
      </c>
      <c r="K111" s="31" t="s">
        <v>113</v>
      </c>
      <c r="L111" s="31" t="s">
        <v>964</v>
      </c>
      <c r="M111" s="31" t="s">
        <v>16</v>
      </c>
    </row>
    <row r="112" ht="15.75" spans="1:13">
      <c r="A112" s="31" t="s">
        <v>9</v>
      </c>
      <c r="B112" s="31" t="s">
        <v>1510</v>
      </c>
      <c r="C112" s="31" t="s">
        <v>1630</v>
      </c>
      <c r="D112" s="31" t="s">
        <v>1631</v>
      </c>
      <c r="E112" s="31" t="s">
        <v>1632</v>
      </c>
      <c r="F112" s="31" t="s">
        <v>173</v>
      </c>
      <c r="G112" s="31" t="s">
        <v>1633</v>
      </c>
      <c r="H112" s="31" t="s">
        <v>148</v>
      </c>
      <c r="I112" s="31" t="s">
        <v>149</v>
      </c>
      <c r="J112" s="31" t="s">
        <v>112</v>
      </c>
      <c r="K112" s="31" t="s">
        <v>144</v>
      </c>
      <c r="L112" s="31" t="s">
        <v>1514</v>
      </c>
      <c r="M112" s="31" t="s">
        <v>1515</v>
      </c>
    </row>
    <row r="113" ht="15.75" spans="1:13">
      <c r="A113" s="31" t="s">
        <v>9</v>
      </c>
      <c r="B113" s="32" t="s">
        <v>1502</v>
      </c>
      <c r="C113" s="31" t="s">
        <v>1634</v>
      </c>
      <c r="D113" s="31" t="s">
        <v>1635</v>
      </c>
      <c r="E113" s="31" t="s">
        <v>1636</v>
      </c>
      <c r="F113" s="31" t="s">
        <v>173</v>
      </c>
      <c r="G113" s="31" t="s">
        <v>143</v>
      </c>
      <c r="H113" s="31" t="s">
        <v>148</v>
      </c>
      <c r="I113" s="31" t="s">
        <v>149</v>
      </c>
      <c r="J113" s="31" t="s">
        <v>112</v>
      </c>
      <c r="K113" s="31" t="s">
        <v>144</v>
      </c>
      <c r="L113" s="31" t="s">
        <v>1529</v>
      </c>
      <c r="M113" s="31" t="s">
        <v>1530</v>
      </c>
    </row>
    <row r="114" ht="15.75" spans="1:13">
      <c r="A114" s="31" t="s">
        <v>9</v>
      </c>
      <c r="B114" s="31"/>
      <c r="C114" s="31" t="s">
        <v>803</v>
      </c>
      <c r="D114" s="31" t="s">
        <v>1637</v>
      </c>
      <c r="E114" s="31" t="s">
        <v>804</v>
      </c>
      <c r="F114" s="31" t="s">
        <v>83</v>
      </c>
      <c r="G114" s="31" t="s">
        <v>143</v>
      </c>
      <c r="H114" s="31" t="s">
        <v>116</v>
      </c>
      <c r="I114" s="31" t="s">
        <v>117</v>
      </c>
      <c r="J114" s="31" t="s">
        <v>112</v>
      </c>
      <c r="K114" s="31" t="s">
        <v>113</v>
      </c>
      <c r="L114" s="31" t="s">
        <v>753</v>
      </c>
      <c r="M114" s="31" t="s">
        <v>41</v>
      </c>
    </row>
    <row r="115" ht="15.75" spans="1:13">
      <c r="A115" s="31" t="s">
        <v>9</v>
      </c>
      <c r="B115" s="31"/>
      <c r="C115" s="31" t="s">
        <v>451</v>
      </c>
      <c r="D115" s="31" t="s">
        <v>456</v>
      </c>
      <c r="E115" s="31" t="s">
        <v>452</v>
      </c>
      <c r="F115" s="31" t="s">
        <v>83</v>
      </c>
      <c r="G115" s="31" t="s">
        <v>178</v>
      </c>
      <c r="H115" s="31" t="s">
        <v>116</v>
      </c>
      <c r="I115" s="31" t="s">
        <v>117</v>
      </c>
      <c r="J115" s="31" t="s">
        <v>112</v>
      </c>
      <c r="K115" s="31" t="s">
        <v>334</v>
      </c>
      <c r="L115" s="31" t="s">
        <v>335</v>
      </c>
      <c r="M115" s="31" t="s">
        <v>38</v>
      </c>
    </row>
    <row r="116" ht="15.75" spans="1:13">
      <c r="A116" s="31" t="s">
        <v>9</v>
      </c>
      <c r="B116" s="31" t="s">
        <v>1496</v>
      </c>
      <c r="C116" s="31" t="s">
        <v>1638</v>
      </c>
      <c r="D116" s="31" t="s">
        <v>1639</v>
      </c>
      <c r="E116" s="31" t="s">
        <v>1640</v>
      </c>
      <c r="F116" s="31" t="s">
        <v>173</v>
      </c>
      <c r="G116" s="31" t="s">
        <v>1578</v>
      </c>
      <c r="H116" s="31" t="s">
        <v>148</v>
      </c>
      <c r="I116" s="31" t="s">
        <v>149</v>
      </c>
      <c r="J116" s="31" t="s">
        <v>112</v>
      </c>
      <c r="K116" s="31" t="s">
        <v>144</v>
      </c>
      <c r="L116" s="31" t="s">
        <v>1500</v>
      </c>
      <c r="M116" s="31" t="s">
        <v>1501</v>
      </c>
    </row>
    <row r="117" ht="15.75" spans="1:13">
      <c r="A117" s="31" t="s">
        <v>9</v>
      </c>
      <c r="B117" s="31"/>
      <c r="C117" s="31" t="s">
        <v>1463</v>
      </c>
      <c r="D117" s="31" t="s">
        <v>1641</v>
      </c>
      <c r="E117" s="31" t="s">
        <v>1464</v>
      </c>
      <c r="F117" s="31" t="s">
        <v>173</v>
      </c>
      <c r="G117" s="31" t="s">
        <v>963</v>
      </c>
      <c r="H117" s="31" t="s">
        <v>304</v>
      </c>
      <c r="I117" s="31" t="s">
        <v>305</v>
      </c>
      <c r="J117" s="31" t="s">
        <v>112</v>
      </c>
      <c r="K117" s="31" t="s">
        <v>113</v>
      </c>
      <c r="L117" s="31" t="s">
        <v>964</v>
      </c>
      <c r="M117" s="31" t="s">
        <v>16</v>
      </c>
    </row>
    <row r="118" ht="15.75" spans="1:13">
      <c r="A118" s="31" t="s">
        <v>9</v>
      </c>
      <c r="B118" s="31" t="s">
        <v>1510</v>
      </c>
      <c r="C118" s="31" t="s">
        <v>1642</v>
      </c>
      <c r="D118" s="31" t="s">
        <v>1643</v>
      </c>
      <c r="E118" s="31" t="s">
        <v>1644</v>
      </c>
      <c r="F118" s="31" t="s">
        <v>173</v>
      </c>
      <c r="G118" s="31" t="s">
        <v>1645</v>
      </c>
      <c r="H118" s="31" t="s">
        <v>148</v>
      </c>
      <c r="I118" s="31" t="s">
        <v>1583</v>
      </c>
      <c r="J118" s="31" t="s">
        <v>112</v>
      </c>
      <c r="K118" s="31" t="s">
        <v>144</v>
      </c>
      <c r="L118" s="31" t="s">
        <v>1535</v>
      </c>
      <c r="M118" s="31" t="s">
        <v>1536</v>
      </c>
    </row>
    <row r="119" ht="15.75" spans="1:13">
      <c r="A119" s="31" t="s">
        <v>9</v>
      </c>
      <c r="B119" s="31"/>
      <c r="C119" s="31" t="s">
        <v>458</v>
      </c>
      <c r="D119" s="31" t="s">
        <v>462</v>
      </c>
      <c r="E119" s="31" t="s">
        <v>459</v>
      </c>
      <c r="F119" s="31" t="s">
        <v>83</v>
      </c>
      <c r="G119" s="31" t="s">
        <v>178</v>
      </c>
      <c r="H119" s="31" t="s">
        <v>116</v>
      </c>
      <c r="I119" s="31" t="s">
        <v>117</v>
      </c>
      <c r="J119" s="31" t="s">
        <v>112</v>
      </c>
      <c r="K119" s="31" t="s">
        <v>334</v>
      </c>
      <c r="L119" s="31" t="s">
        <v>335</v>
      </c>
      <c r="M119" s="31" t="s">
        <v>38</v>
      </c>
    </row>
    <row r="120" ht="15.75" spans="1:13">
      <c r="A120" s="33" t="s">
        <v>9</v>
      </c>
      <c r="B120" s="33"/>
      <c r="C120" s="33" t="s">
        <v>40</v>
      </c>
      <c r="D120" s="33" t="s">
        <v>754</v>
      </c>
      <c r="E120" s="33" t="s">
        <v>39</v>
      </c>
      <c r="F120" s="33" t="s">
        <v>83</v>
      </c>
      <c r="G120" s="33" t="s">
        <v>143</v>
      </c>
      <c r="H120" s="33" t="s">
        <v>116</v>
      </c>
      <c r="I120" s="33" t="s">
        <v>117</v>
      </c>
      <c r="J120" s="33" t="s">
        <v>112</v>
      </c>
      <c r="K120" s="33" t="s">
        <v>113</v>
      </c>
      <c r="L120" s="33" t="s">
        <v>753</v>
      </c>
      <c r="M120" s="33" t="s">
        <v>41</v>
      </c>
    </row>
    <row r="121" ht="15.75" spans="1:13">
      <c r="A121" s="31" t="s">
        <v>9</v>
      </c>
      <c r="B121" s="31"/>
      <c r="C121" s="31" t="s">
        <v>904</v>
      </c>
      <c r="D121" s="31" t="s">
        <v>908</v>
      </c>
      <c r="E121" s="31" t="s">
        <v>905</v>
      </c>
      <c r="F121" s="31" t="s">
        <v>173</v>
      </c>
      <c r="G121" s="31" t="s">
        <v>275</v>
      </c>
      <c r="H121" s="31" t="s">
        <v>116</v>
      </c>
      <c r="I121" s="31" t="s">
        <v>117</v>
      </c>
      <c r="J121" s="31" t="s">
        <v>112</v>
      </c>
      <c r="K121" s="31" t="s">
        <v>829</v>
      </c>
      <c r="L121" s="31" t="s">
        <v>875</v>
      </c>
      <c r="M121" s="31" t="s">
        <v>876</v>
      </c>
    </row>
    <row r="122" ht="15.75" spans="1:13">
      <c r="A122" s="31" t="s">
        <v>9</v>
      </c>
      <c r="B122" s="31" t="s">
        <v>1502</v>
      </c>
      <c r="C122" s="31" t="s">
        <v>1646</v>
      </c>
      <c r="D122" s="31" t="s">
        <v>1647</v>
      </c>
      <c r="E122" s="31" t="s">
        <v>1648</v>
      </c>
      <c r="F122" s="31" t="s">
        <v>173</v>
      </c>
      <c r="G122" s="31" t="s">
        <v>1566</v>
      </c>
      <c r="H122" s="31" t="s">
        <v>148</v>
      </c>
      <c r="I122" s="31" t="s">
        <v>149</v>
      </c>
      <c r="J122" s="31" t="s">
        <v>112</v>
      </c>
      <c r="K122" s="31" t="s">
        <v>144</v>
      </c>
      <c r="L122" s="31" t="s">
        <v>1507</v>
      </c>
      <c r="M122" s="31" t="s">
        <v>1508</v>
      </c>
    </row>
    <row r="123" ht="15.75" spans="1:13">
      <c r="A123" s="31" t="s">
        <v>9</v>
      </c>
      <c r="B123" s="31"/>
      <c r="C123" s="31" t="s">
        <v>1155</v>
      </c>
      <c r="D123" s="31" t="s">
        <v>1649</v>
      </c>
      <c r="E123" s="31" t="s">
        <v>1156</v>
      </c>
      <c r="F123" s="31" t="s">
        <v>173</v>
      </c>
      <c r="G123" s="31" t="s">
        <v>963</v>
      </c>
      <c r="H123" s="31" t="s">
        <v>304</v>
      </c>
      <c r="I123" s="31" t="s">
        <v>305</v>
      </c>
      <c r="J123" s="31" t="s">
        <v>112</v>
      </c>
      <c r="K123" s="31" t="s">
        <v>113</v>
      </c>
      <c r="L123" s="31" t="s">
        <v>964</v>
      </c>
      <c r="M123" s="31" t="s">
        <v>16</v>
      </c>
    </row>
    <row r="124" ht="15.75" spans="1:13">
      <c r="A124" s="31" t="s">
        <v>9</v>
      </c>
      <c r="B124" s="31"/>
      <c r="C124" s="31" t="s">
        <v>1414</v>
      </c>
      <c r="D124" s="31" t="s">
        <v>1650</v>
      </c>
      <c r="E124" s="31" t="s">
        <v>1415</v>
      </c>
      <c r="F124" s="31" t="s">
        <v>173</v>
      </c>
      <c r="G124" s="31" t="s">
        <v>963</v>
      </c>
      <c r="H124" s="31" t="s">
        <v>304</v>
      </c>
      <c r="I124" s="31" t="s">
        <v>305</v>
      </c>
      <c r="J124" s="31" t="s">
        <v>112</v>
      </c>
      <c r="K124" s="31" t="s">
        <v>113</v>
      </c>
      <c r="L124" s="31" t="s">
        <v>964</v>
      </c>
      <c r="M124" s="31" t="s">
        <v>16</v>
      </c>
    </row>
    <row r="125" ht="15.75" spans="1:13">
      <c r="A125" s="31" t="s">
        <v>9</v>
      </c>
      <c r="B125" s="31" t="s">
        <v>1502</v>
      </c>
      <c r="C125" s="31" t="s">
        <v>1651</v>
      </c>
      <c r="D125" s="31" t="s">
        <v>1652</v>
      </c>
      <c r="E125" s="31" t="s">
        <v>1653</v>
      </c>
      <c r="F125" s="31" t="s">
        <v>83</v>
      </c>
      <c r="G125" s="31" t="s">
        <v>1506</v>
      </c>
      <c r="H125" s="31" t="s">
        <v>148</v>
      </c>
      <c r="I125" s="31" t="s">
        <v>149</v>
      </c>
      <c r="J125" s="31" t="s">
        <v>112</v>
      </c>
      <c r="K125" s="31" t="s">
        <v>144</v>
      </c>
      <c r="L125" s="31" t="s">
        <v>1507</v>
      </c>
      <c r="M125" s="31" t="s">
        <v>1508</v>
      </c>
    </row>
    <row r="126" ht="15.75" spans="1:13">
      <c r="A126" s="31" t="s">
        <v>9</v>
      </c>
      <c r="B126" s="31"/>
      <c r="C126" s="31" t="s">
        <v>807</v>
      </c>
      <c r="D126" s="31" t="s">
        <v>1654</v>
      </c>
      <c r="E126" s="31" t="s">
        <v>808</v>
      </c>
      <c r="F126" s="31" t="s">
        <v>173</v>
      </c>
      <c r="G126" s="31" t="s">
        <v>143</v>
      </c>
      <c r="H126" s="31" t="s">
        <v>116</v>
      </c>
      <c r="I126" s="31" t="s">
        <v>117</v>
      </c>
      <c r="J126" s="31" t="s">
        <v>112</v>
      </c>
      <c r="K126" s="31" t="s">
        <v>113</v>
      </c>
      <c r="L126" s="31" t="s">
        <v>753</v>
      </c>
      <c r="M126" s="31" t="s">
        <v>41</v>
      </c>
    </row>
    <row r="127" ht="15.75" spans="1:13">
      <c r="A127" s="31" t="s">
        <v>9</v>
      </c>
      <c r="B127" s="31"/>
      <c r="C127" s="31" t="s">
        <v>1169</v>
      </c>
      <c r="D127" s="31" t="s">
        <v>1655</v>
      </c>
      <c r="E127" s="31" t="s">
        <v>1170</v>
      </c>
      <c r="F127" s="31" t="s">
        <v>83</v>
      </c>
      <c r="G127" s="31" t="s">
        <v>963</v>
      </c>
      <c r="H127" s="31" t="s">
        <v>304</v>
      </c>
      <c r="I127" s="31" t="s">
        <v>305</v>
      </c>
      <c r="J127" s="31" t="s">
        <v>112</v>
      </c>
      <c r="K127" s="31" t="s">
        <v>113</v>
      </c>
      <c r="L127" s="31" t="s">
        <v>964</v>
      </c>
      <c r="M127" s="31" t="s">
        <v>16</v>
      </c>
    </row>
    <row r="128" ht="15.75" spans="1:13">
      <c r="A128" s="31" t="s">
        <v>9</v>
      </c>
      <c r="B128" s="31"/>
      <c r="C128" s="31" t="s">
        <v>463</v>
      </c>
      <c r="D128" s="31" t="s">
        <v>470</v>
      </c>
      <c r="E128" s="31" t="s">
        <v>464</v>
      </c>
      <c r="F128" s="31" t="s">
        <v>173</v>
      </c>
      <c r="G128" s="31" t="s">
        <v>178</v>
      </c>
      <c r="H128" s="31" t="s">
        <v>116</v>
      </c>
      <c r="I128" s="31" t="s">
        <v>117</v>
      </c>
      <c r="J128" s="31" t="s">
        <v>112</v>
      </c>
      <c r="K128" s="31" t="s">
        <v>468</v>
      </c>
      <c r="L128" s="31" t="s">
        <v>469</v>
      </c>
      <c r="M128" s="31" t="s">
        <v>32</v>
      </c>
    </row>
    <row r="129" ht="15.75" spans="1:13">
      <c r="A129" s="31" t="s">
        <v>9</v>
      </c>
      <c r="B129" s="31" t="s">
        <v>1502</v>
      </c>
      <c r="C129" s="31" t="s">
        <v>1656</v>
      </c>
      <c r="D129" s="31" t="s">
        <v>1657</v>
      </c>
      <c r="E129" s="31" t="s">
        <v>1658</v>
      </c>
      <c r="F129" s="31" t="s">
        <v>83</v>
      </c>
      <c r="G129" s="31" t="s">
        <v>1659</v>
      </c>
      <c r="H129" s="31" t="s">
        <v>148</v>
      </c>
      <c r="I129" s="31" t="s">
        <v>149</v>
      </c>
      <c r="J129" s="31" t="s">
        <v>112</v>
      </c>
      <c r="K129" s="31" t="s">
        <v>144</v>
      </c>
      <c r="L129" s="31" t="s">
        <v>1507</v>
      </c>
      <c r="M129" s="31" t="s">
        <v>1508</v>
      </c>
    </row>
    <row r="130" ht="15.75" spans="1:13">
      <c r="A130" s="31" t="s">
        <v>9</v>
      </c>
      <c r="B130" s="32" t="s">
        <v>1502</v>
      </c>
      <c r="C130" s="31" t="s">
        <v>1660</v>
      </c>
      <c r="D130" s="31" t="s">
        <v>1661</v>
      </c>
      <c r="E130" s="31" t="s">
        <v>1662</v>
      </c>
      <c r="F130" s="31" t="s">
        <v>173</v>
      </c>
      <c r="G130" s="31" t="s">
        <v>143</v>
      </c>
      <c r="H130" s="31" t="s">
        <v>148</v>
      </c>
      <c r="I130" s="31" t="s">
        <v>149</v>
      </c>
      <c r="J130" s="31" t="s">
        <v>112</v>
      </c>
      <c r="K130" s="31" t="s">
        <v>144</v>
      </c>
      <c r="L130" s="31" t="s">
        <v>1529</v>
      </c>
      <c r="M130" s="31" t="s">
        <v>1530</v>
      </c>
    </row>
    <row r="131" ht="15.75" spans="1:13">
      <c r="A131" s="31" t="s">
        <v>9</v>
      </c>
      <c r="B131" s="31" t="s">
        <v>1502</v>
      </c>
      <c r="C131" s="31" t="s">
        <v>1663</v>
      </c>
      <c r="D131" s="31" t="s">
        <v>1664</v>
      </c>
      <c r="E131" s="31" t="s">
        <v>1665</v>
      </c>
      <c r="F131" s="31" t="s">
        <v>173</v>
      </c>
      <c r="G131" s="31" t="s">
        <v>1506</v>
      </c>
      <c r="H131" s="31" t="s">
        <v>148</v>
      </c>
      <c r="I131" s="31" t="s">
        <v>149</v>
      </c>
      <c r="J131" s="31" t="s">
        <v>112</v>
      </c>
      <c r="K131" s="31" t="s">
        <v>144</v>
      </c>
      <c r="L131" s="31" t="s">
        <v>1507</v>
      </c>
      <c r="M131" s="31" t="s">
        <v>1508</v>
      </c>
    </row>
    <row r="132" ht="15.75" spans="1:13">
      <c r="A132" s="31" t="s">
        <v>9</v>
      </c>
      <c r="B132" s="31"/>
      <c r="C132" s="31" t="s">
        <v>471</v>
      </c>
      <c r="D132" s="31" t="s">
        <v>478</v>
      </c>
      <c r="E132" s="31" t="s">
        <v>472</v>
      </c>
      <c r="F132" s="31" t="s">
        <v>83</v>
      </c>
      <c r="G132" s="31" t="s">
        <v>477</v>
      </c>
      <c r="H132" s="31" t="s">
        <v>164</v>
      </c>
      <c r="I132" s="31" t="s">
        <v>165</v>
      </c>
      <c r="J132" s="31" t="s">
        <v>112</v>
      </c>
      <c r="K132" s="31" t="s">
        <v>161</v>
      </c>
      <c r="L132" s="31" t="s">
        <v>190</v>
      </c>
      <c r="M132" s="31" t="s">
        <v>23</v>
      </c>
    </row>
    <row r="133" ht="15.75" spans="1:13">
      <c r="A133" s="31" t="s">
        <v>9</v>
      </c>
      <c r="B133" s="31"/>
      <c r="C133" s="31" t="s">
        <v>1185</v>
      </c>
      <c r="D133" s="31" t="s">
        <v>1666</v>
      </c>
      <c r="E133" s="31" t="s">
        <v>1186</v>
      </c>
      <c r="F133" s="31" t="s">
        <v>173</v>
      </c>
      <c r="G133" s="31" t="s">
        <v>963</v>
      </c>
      <c r="H133" s="31" t="s">
        <v>304</v>
      </c>
      <c r="I133" s="31" t="s">
        <v>305</v>
      </c>
      <c r="J133" s="31" t="s">
        <v>112</v>
      </c>
      <c r="K133" s="31" t="s">
        <v>113</v>
      </c>
      <c r="L133" s="31" t="s">
        <v>964</v>
      </c>
      <c r="M133" s="31" t="s">
        <v>16</v>
      </c>
    </row>
    <row r="134" ht="15.75" spans="1:13">
      <c r="A134" s="31" t="s">
        <v>9</v>
      </c>
      <c r="B134" s="31"/>
      <c r="C134" s="31" t="s">
        <v>481</v>
      </c>
      <c r="D134" s="31" t="s">
        <v>485</v>
      </c>
      <c r="E134" s="31" t="s">
        <v>482</v>
      </c>
      <c r="F134" s="31" t="s">
        <v>83</v>
      </c>
      <c r="G134" s="31" t="s">
        <v>178</v>
      </c>
      <c r="H134" s="31" t="s">
        <v>116</v>
      </c>
      <c r="I134" s="31" t="s">
        <v>117</v>
      </c>
      <c r="J134" s="31" t="s">
        <v>112</v>
      </c>
      <c r="K134" s="31" t="s">
        <v>161</v>
      </c>
      <c r="L134" s="31" t="s">
        <v>190</v>
      </c>
      <c r="M134" s="31" t="s">
        <v>23</v>
      </c>
    </row>
    <row r="135" ht="15.75" spans="1:13">
      <c r="A135" s="31" t="s">
        <v>9</v>
      </c>
      <c r="B135" s="31"/>
      <c r="C135" s="31" t="s">
        <v>1197</v>
      </c>
      <c r="D135" s="31" t="s">
        <v>1667</v>
      </c>
      <c r="E135" s="31" t="s">
        <v>1198</v>
      </c>
      <c r="F135" s="31" t="s">
        <v>173</v>
      </c>
      <c r="G135" s="31" t="s">
        <v>963</v>
      </c>
      <c r="H135" s="31" t="s">
        <v>304</v>
      </c>
      <c r="I135" s="31" t="s">
        <v>305</v>
      </c>
      <c r="J135" s="31" t="s">
        <v>112</v>
      </c>
      <c r="K135" s="31" t="s">
        <v>113</v>
      </c>
      <c r="L135" s="31" t="s">
        <v>964</v>
      </c>
      <c r="M135" s="31" t="s">
        <v>16</v>
      </c>
    </row>
    <row r="136" ht="15.75" spans="1:13">
      <c r="A136" s="31" t="s">
        <v>9</v>
      </c>
      <c r="B136" s="31"/>
      <c r="C136" s="31" t="s">
        <v>811</v>
      </c>
      <c r="D136" s="31" t="s">
        <v>1668</v>
      </c>
      <c r="E136" s="31" t="s">
        <v>812</v>
      </c>
      <c r="F136" s="31" t="s">
        <v>83</v>
      </c>
      <c r="G136" s="31" t="s">
        <v>143</v>
      </c>
      <c r="H136" s="31" t="s">
        <v>116</v>
      </c>
      <c r="I136" s="31" t="s">
        <v>117</v>
      </c>
      <c r="J136" s="31" t="s">
        <v>112</v>
      </c>
      <c r="K136" s="31" t="s">
        <v>113</v>
      </c>
      <c r="L136" s="31" t="s">
        <v>753</v>
      </c>
      <c r="M136" s="31" t="s">
        <v>41</v>
      </c>
    </row>
    <row r="137" ht="15.75" spans="1:13">
      <c r="A137" s="31" t="s">
        <v>9</v>
      </c>
      <c r="B137" s="31"/>
      <c r="C137" s="31" t="s">
        <v>486</v>
      </c>
      <c r="D137" s="31" t="s">
        <v>490</v>
      </c>
      <c r="E137" s="31" t="s">
        <v>487</v>
      </c>
      <c r="F137" s="31" t="s">
        <v>83</v>
      </c>
      <c r="G137" s="31" t="s">
        <v>257</v>
      </c>
      <c r="H137" s="31" t="s">
        <v>491</v>
      </c>
      <c r="I137" s="31" t="s">
        <v>492</v>
      </c>
      <c r="J137" s="31" t="s">
        <v>112</v>
      </c>
      <c r="K137" s="31" t="s">
        <v>128</v>
      </c>
      <c r="L137" s="31" t="s">
        <v>258</v>
      </c>
      <c r="M137" s="31" t="s">
        <v>259</v>
      </c>
    </row>
    <row r="138" ht="15.75" spans="1:13">
      <c r="A138" s="31" t="s">
        <v>9</v>
      </c>
      <c r="B138" s="31"/>
      <c r="C138" s="31" t="s">
        <v>493</v>
      </c>
      <c r="D138" s="31" t="s">
        <v>496</v>
      </c>
      <c r="E138" s="31" t="s">
        <v>494</v>
      </c>
      <c r="F138" s="31" t="s">
        <v>83</v>
      </c>
      <c r="G138" s="31" t="s">
        <v>111</v>
      </c>
      <c r="H138" s="31" t="s">
        <v>116</v>
      </c>
      <c r="I138" s="31" t="s">
        <v>117</v>
      </c>
      <c r="J138" s="31" t="s">
        <v>112</v>
      </c>
      <c r="K138" s="31" t="s">
        <v>113</v>
      </c>
      <c r="L138" s="31" t="s">
        <v>114</v>
      </c>
      <c r="M138" s="31" t="s">
        <v>44</v>
      </c>
    </row>
    <row r="139" ht="15.75" spans="1:13">
      <c r="A139" s="31" t="s">
        <v>9</v>
      </c>
      <c r="B139" s="31"/>
      <c r="C139" s="31" t="s">
        <v>498</v>
      </c>
      <c r="D139" s="31" t="s">
        <v>503</v>
      </c>
      <c r="E139" s="31" t="s">
        <v>499</v>
      </c>
      <c r="F139" s="31" t="s">
        <v>173</v>
      </c>
      <c r="G139" s="31" t="s">
        <v>257</v>
      </c>
      <c r="H139" s="31" t="s">
        <v>116</v>
      </c>
      <c r="I139" s="31" t="s">
        <v>117</v>
      </c>
      <c r="J139" s="31" t="s">
        <v>112</v>
      </c>
      <c r="K139" s="31" t="s">
        <v>128</v>
      </c>
      <c r="L139" s="31" t="s">
        <v>258</v>
      </c>
      <c r="M139" s="31" t="s">
        <v>259</v>
      </c>
    </row>
    <row r="140" ht="15.75" spans="1:13">
      <c r="A140" s="31" t="s">
        <v>9</v>
      </c>
      <c r="B140" s="31"/>
      <c r="C140" s="31" t="s">
        <v>1669</v>
      </c>
      <c r="D140" s="31" t="s">
        <v>1670</v>
      </c>
      <c r="E140" s="31" t="s">
        <v>10</v>
      </c>
      <c r="F140" s="31" t="s">
        <v>173</v>
      </c>
      <c r="G140" s="31" t="s">
        <v>1671</v>
      </c>
      <c r="H140" s="31" t="s">
        <v>116</v>
      </c>
      <c r="I140" s="31" t="s">
        <v>117</v>
      </c>
      <c r="J140" s="31" t="s">
        <v>112</v>
      </c>
      <c r="K140" s="31" t="s">
        <v>113</v>
      </c>
      <c r="L140" s="31" t="s">
        <v>277</v>
      </c>
      <c r="M140" s="31" t="s">
        <v>1672</v>
      </c>
    </row>
    <row r="141" ht="15.75" spans="1:13">
      <c r="A141" s="31" t="s">
        <v>9</v>
      </c>
      <c r="B141" s="31"/>
      <c r="C141" s="31" t="s">
        <v>504</v>
      </c>
      <c r="D141" s="31" t="s">
        <v>508</v>
      </c>
      <c r="E141" s="31" t="s">
        <v>505</v>
      </c>
      <c r="F141" s="31" t="s">
        <v>173</v>
      </c>
      <c r="G141" s="31" t="s">
        <v>178</v>
      </c>
      <c r="H141" s="31" t="s">
        <v>116</v>
      </c>
      <c r="I141" s="31" t="s">
        <v>117</v>
      </c>
      <c r="J141" s="31" t="s">
        <v>112</v>
      </c>
      <c r="K141" s="31" t="s">
        <v>334</v>
      </c>
      <c r="L141" s="31" t="s">
        <v>335</v>
      </c>
      <c r="M141" s="31" t="s">
        <v>38</v>
      </c>
    </row>
    <row r="142" ht="15.75" spans="1:13">
      <c r="A142" s="31" t="s">
        <v>9</v>
      </c>
      <c r="B142" s="31"/>
      <c r="C142" s="31" t="s">
        <v>509</v>
      </c>
      <c r="D142" s="31" t="s">
        <v>513</v>
      </c>
      <c r="E142" s="31" t="s">
        <v>510</v>
      </c>
      <c r="F142" s="31" t="s">
        <v>173</v>
      </c>
      <c r="G142" s="31" t="s">
        <v>512</v>
      </c>
      <c r="H142" s="31" t="s">
        <v>148</v>
      </c>
      <c r="I142" s="31" t="s">
        <v>149</v>
      </c>
      <c r="J142" s="31" t="s">
        <v>112</v>
      </c>
      <c r="K142" s="31" t="s">
        <v>144</v>
      </c>
      <c r="L142" s="31" t="s">
        <v>341</v>
      </c>
      <c r="M142" s="31" t="s">
        <v>342</v>
      </c>
    </row>
    <row r="143" ht="15.75" spans="1:13">
      <c r="A143" s="31" t="s">
        <v>9</v>
      </c>
      <c r="B143" s="31"/>
      <c r="C143" s="31" t="s">
        <v>514</v>
      </c>
      <c r="D143" s="31" t="s">
        <v>518</v>
      </c>
      <c r="E143" s="31" t="s">
        <v>515</v>
      </c>
      <c r="F143" s="31" t="s">
        <v>83</v>
      </c>
      <c r="G143" s="31" t="s">
        <v>257</v>
      </c>
      <c r="H143" s="31" t="s">
        <v>519</v>
      </c>
      <c r="I143" s="31" t="s">
        <v>520</v>
      </c>
      <c r="J143" s="31" t="s">
        <v>112</v>
      </c>
      <c r="K143" s="31" t="s">
        <v>128</v>
      </c>
      <c r="L143" s="31" t="s">
        <v>258</v>
      </c>
      <c r="M143" s="31" t="s">
        <v>259</v>
      </c>
    </row>
    <row r="144" ht="15.75" spans="1:13">
      <c r="A144" s="31" t="s">
        <v>9</v>
      </c>
      <c r="B144" s="31"/>
      <c r="C144" s="31" t="s">
        <v>1212</v>
      </c>
      <c r="D144" s="31" t="s">
        <v>1673</v>
      </c>
      <c r="E144" s="31" t="s">
        <v>1213</v>
      </c>
      <c r="F144" s="31" t="s">
        <v>173</v>
      </c>
      <c r="G144" s="31" t="s">
        <v>963</v>
      </c>
      <c r="H144" s="31" t="s">
        <v>304</v>
      </c>
      <c r="I144" s="31" t="s">
        <v>305</v>
      </c>
      <c r="J144" s="31" t="s">
        <v>112</v>
      </c>
      <c r="K144" s="31" t="s">
        <v>113</v>
      </c>
      <c r="L144" s="31" t="s">
        <v>964</v>
      </c>
      <c r="M144" s="31" t="s">
        <v>16</v>
      </c>
    </row>
    <row r="145" ht="15.75" spans="1:13">
      <c r="A145" s="33" t="s">
        <v>9</v>
      </c>
      <c r="B145" s="33"/>
      <c r="C145" s="33" t="s">
        <v>34</v>
      </c>
      <c r="D145" s="33" t="s">
        <v>696</v>
      </c>
      <c r="E145" s="33" t="s">
        <v>33</v>
      </c>
      <c r="F145" s="33" t="s">
        <v>83</v>
      </c>
      <c r="G145" s="33" t="s">
        <v>178</v>
      </c>
      <c r="H145" s="33" t="s">
        <v>116</v>
      </c>
      <c r="I145" s="33" t="s">
        <v>117</v>
      </c>
      <c r="J145" s="33" t="s">
        <v>112</v>
      </c>
      <c r="K145" s="33" t="s">
        <v>661</v>
      </c>
      <c r="L145" s="33" t="s">
        <v>662</v>
      </c>
      <c r="M145" s="33" t="s">
        <v>35</v>
      </c>
    </row>
    <row r="146" ht="15.75" spans="1:13">
      <c r="A146" s="31" t="s">
        <v>9</v>
      </c>
      <c r="B146" s="31"/>
      <c r="C146" s="31" t="s">
        <v>1224</v>
      </c>
      <c r="D146" s="31" t="s">
        <v>1674</v>
      </c>
      <c r="E146" s="31" t="s">
        <v>1225</v>
      </c>
      <c r="F146" s="31" t="s">
        <v>173</v>
      </c>
      <c r="G146" s="31" t="s">
        <v>963</v>
      </c>
      <c r="H146" s="31" t="s">
        <v>304</v>
      </c>
      <c r="I146" s="31" t="s">
        <v>305</v>
      </c>
      <c r="J146" s="31" t="s">
        <v>112</v>
      </c>
      <c r="K146" s="31" t="s">
        <v>113</v>
      </c>
      <c r="L146" s="31" t="s">
        <v>964</v>
      </c>
      <c r="M146" s="31" t="s">
        <v>16</v>
      </c>
    </row>
    <row r="147" ht="15.75" spans="1:13">
      <c r="A147" s="31" t="s">
        <v>9</v>
      </c>
      <c r="B147" s="31"/>
      <c r="C147" s="31" t="s">
        <v>521</v>
      </c>
      <c r="D147" s="31" t="s">
        <v>525</v>
      </c>
      <c r="E147" s="31" t="s">
        <v>522</v>
      </c>
      <c r="F147" s="31" t="s">
        <v>173</v>
      </c>
      <c r="G147" s="31" t="s">
        <v>275</v>
      </c>
      <c r="H147" s="31" t="s">
        <v>116</v>
      </c>
      <c r="I147" s="31" t="s">
        <v>117</v>
      </c>
      <c r="J147" s="31" t="s">
        <v>112</v>
      </c>
      <c r="K147" s="31" t="s">
        <v>276</v>
      </c>
      <c r="L147" s="31" t="s">
        <v>277</v>
      </c>
      <c r="M147" s="31" t="s">
        <v>26</v>
      </c>
    </row>
    <row r="148" ht="15.75" spans="1:13">
      <c r="A148" s="31" t="s">
        <v>9</v>
      </c>
      <c r="B148" s="31" t="s">
        <v>1510</v>
      </c>
      <c r="C148" s="31" t="s">
        <v>1675</v>
      </c>
      <c r="D148" s="31" t="s">
        <v>1676</v>
      </c>
      <c r="E148" s="31" t="s">
        <v>1677</v>
      </c>
      <c r="F148" s="31" t="s">
        <v>173</v>
      </c>
      <c r="G148" s="31" t="s">
        <v>1678</v>
      </c>
      <c r="H148" s="31" t="s">
        <v>148</v>
      </c>
      <c r="I148" s="31" t="s">
        <v>149</v>
      </c>
      <c r="J148" s="31" t="s">
        <v>112</v>
      </c>
      <c r="K148" s="31" t="s">
        <v>144</v>
      </c>
      <c r="L148" s="31" t="s">
        <v>1514</v>
      </c>
      <c r="M148" s="31" t="s">
        <v>1515</v>
      </c>
    </row>
    <row r="149" ht="15.75" spans="1:13">
      <c r="A149" s="31" t="s">
        <v>9</v>
      </c>
      <c r="B149" s="31"/>
      <c r="C149" s="31" t="s">
        <v>526</v>
      </c>
      <c r="D149" s="31" t="s">
        <v>532</v>
      </c>
      <c r="E149" s="31" t="s">
        <v>527</v>
      </c>
      <c r="F149" s="31" t="s">
        <v>83</v>
      </c>
      <c r="G149" s="31" t="s">
        <v>160</v>
      </c>
      <c r="H149" s="31" t="s">
        <v>116</v>
      </c>
      <c r="I149" s="31" t="s">
        <v>117</v>
      </c>
      <c r="J149" s="31" t="s">
        <v>112</v>
      </c>
      <c r="K149" s="31" t="s">
        <v>161</v>
      </c>
      <c r="L149" s="31" t="s">
        <v>162</v>
      </c>
      <c r="M149" s="31" t="s">
        <v>20</v>
      </c>
    </row>
    <row r="150" ht="15.75" spans="1:13">
      <c r="A150" s="31" t="s">
        <v>9</v>
      </c>
      <c r="B150" s="31"/>
      <c r="C150" s="31" t="s">
        <v>815</v>
      </c>
      <c r="D150" s="31" t="s">
        <v>1679</v>
      </c>
      <c r="E150" s="31" t="s">
        <v>816</v>
      </c>
      <c r="F150" s="31" t="s">
        <v>173</v>
      </c>
      <c r="G150" s="31" t="s">
        <v>143</v>
      </c>
      <c r="H150" s="31" t="s">
        <v>116</v>
      </c>
      <c r="I150" s="31" t="s">
        <v>117</v>
      </c>
      <c r="J150" s="31" t="s">
        <v>112</v>
      </c>
      <c r="K150" s="31" t="s">
        <v>113</v>
      </c>
      <c r="L150" s="31" t="s">
        <v>753</v>
      </c>
      <c r="M150" s="31" t="s">
        <v>41</v>
      </c>
    </row>
    <row r="151" ht="15.75" spans="1:13">
      <c r="A151" s="31" t="s">
        <v>9</v>
      </c>
      <c r="B151" s="31" t="s">
        <v>1502</v>
      </c>
      <c r="C151" s="31" t="s">
        <v>1680</v>
      </c>
      <c r="D151" s="31" t="s">
        <v>1681</v>
      </c>
      <c r="E151" s="31" t="s">
        <v>1682</v>
      </c>
      <c r="F151" s="31" t="s">
        <v>83</v>
      </c>
      <c r="G151" s="31" t="s">
        <v>1659</v>
      </c>
      <c r="H151" s="31" t="s">
        <v>148</v>
      </c>
      <c r="I151" s="31" t="s">
        <v>149</v>
      </c>
      <c r="J151" s="31" t="s">
        <v>112</v>
      </c>
      <c r="K151" s="31" t="s">
        <v>144</v>
      </c>
      <c r="L151" s="31" t="s">
        <v>1529</v>
      </c>
      <c r="M151" s="31" t="s">
        <v>1530</v>
      </c>
    </row>
    <row r="152" ht="15.75" spans="1:13">
      <c r="A152" s="31" t="s">
        <v>9</v>
      </c>
      <c r="B152" s="31" t="s">
        <v>1496</v>
      </c>
      <c r="C152" s="31" t="s">
        <v>1683</v>
      </c>
      <c r="D152" s="31" t="s">
        <v>1684</v>
      </c>
      <c r="E152" s="31" t="s">
        <v>1685</v>
      </c>
      <c r="F152" s="31" t="s">
        <v>173</v>
      </c>
      <c r="G152" s="31" t="s">
        <v>1578</v>
      </c>
      <c r="H152" s="31" t="s">
        <v>148</v>
      </c>
      <c r="I152" s="31" t="s">
        <v>149</v>
      </c>
      <c r="J152" s="31" t="s">
        <v>112</v>
      </c>
      <c r="K152" s="31" t="s">
        <v>144</v>
      </c>
      <c r="L152" s="31" t="s">
        <v>1500</v>
      </c>
      <c r="M152" s="31" t="s">
        <v>1501</v>
      </c>
    </row>
    <row r="153" ht="15.75" spans="1:13">
      <c r="A153" s="31" t="s">
        <v>9</v>
      </c>
      <c r="B153" s="31" t="s">
        <v>1502</v>
      </c>
      <c r="C153" s="31" t="s">
        <v>1686</v>
      </c>
      <c r="D153" s="31" t="s">
        <v>1687</v>
      </c>
      <c r="E153" s="31" t="s">
        <v>1688</v>
      </c>
      <c r="F153" s="31" t="s">
        <v>173</v>
      </c>
      <c r="G153" s="31" t="s">
        <v>1566</v>
      </c>
      <c r="H153" s="31" t="s">
        <v>148</v>
      </c>
      <c r="I153" s="31" t="s">
        <v>149</v>
      </c>
      <c r="J153" s="31" t="s">
        <v>112</v>
      </c>
      <c r="K153" s="31" t="s">
        <v>144</v>
      </c>
      <c r="L153" s="31" t="s">
        <v>1507</v>
      </c>
      <c r="M153" s="31" t="s">
        <v>1508</v>
      </c>
    </row>
    <row r="154" ht="15.75" spans="1:13">
      <c r="A154" s="31" t="s">
        <v>9</v>
      </c>
      <c r="B154" s="31"/>
      <c r="C154" s="31" t="s">
        <v>533</v>
      </c>
      <c r="D154" s="31" t="s">
        <v>537</v>
      </c>
      <c r="E154" s="31" t="s">
        <v>534</v>
      </c>
      <c r="F154" s="31" t="s">
        <v>173</v>
      </c>
      <c r="G154" s="31" t="s">
        <v>127</v>
      </c>
      <c r="H154" s="31" t="s">
        <v>116</v>
      </c>
      <c r="I154" s="31" t="s">
        <v>117</v>
      </c>
      <c r="J154" s="31" t="s">
        <v>112</v>
      </c>
      <c r="K154" s="31" t="s">
        <v>113</v>
      </c>
      <c r="L154" s="31" t="s">
        <v>114</v>
      </c>
      <c r="M154" s="31" t="s">
        <v>44</v>
      </c>
    </row>
    <row r="155" ht="15.75" spans="1:13">
      <c r="A155" s="33" t="s">
        <v>9</v>
      </c>
      <c r="B155" s="33"/>
      <c r="C155" s="33" t="s">
        <v>37</v>
      </c>
      <c r="D155" s="33" t="s">
        <v>541</v>
      </c>
      <c r="E155" s="33" t="s">
        <v>36</v>
      </c>
      <c r="F155" s="33" t="s">
        <v>173</v>
      </c>
      <c r="G155" s="33" t="s">
        <v>178</v>
      </c>
      <c r="H155" s="33" t="s">
        <v>116</v>
      </c>
      <c r="I155" s="33" t="s">
        <v>117</v>
      </c>
      <c r="J155" s="33" t="s">
        <v>112</v>
      </c>
      <c r="K155" s="33" t="s">
        <v>334</v>
      </c>
      <c r="L155" s="33" t="s">
        <v>335</v>
      </c>
      <c r="M155" s="33" t="s">
        <v>38</v>
      </c>
    </row>
    <row r="156" ht="15.75" spans="1:13">
      <c r="A156" s="31" t="s">
        <v>9</v>
      </c>
      <c r="B156" s="31"/>
      <c r="C156" s="31" t="s">
        <v>542</v>
      </c>
      <c r="D156" s="31" t="s">
        <v>545</v>
      </c>
      <c r="E156" s="31" t="s">
        <v>543</v>
      </c>
      <c r="F156" s="31" t="s">
        <v>173</v>
      </c>
      <c r="G156" s="31" t="s">
        <v>275</v>
      </c>
      <c r="H156" s="31" t="s">
        <v>116</v>
      </c>
      <c r="I156" s="31" t="s">
        <v>117</v>
      </c>
      <c r="J156" s="31" t="s">
        <v>112</v>
      </c>
      <c r="K156" s="31" t="s">
        <v>276</v>
      </c>
      <c r="L156" s="31" t="s">
        <v>277</v>
      </c>
      <c r="M156" s="31" t="s">
        <v>26</v>
      </c>
    </row>
    <row r="157" ht="15.75" spans="1:13">
      <c r="A157" s="31" t="s">
        <v>9</v>
      </c>
      <c r="B157" s="31"/>
      <c r="C157" s="31" t="s">
        <v>1236</v>
      </c>
      <c r="D157" s="31" t="s">
        <v>1689</v>
      </c>
      <c r="E157" s="31" t="s">
        <v>1237</v>
      </c>
      <c r="F157" s="31" t="s">
        <v>173</v>
      </c>
      <c r="G157" s="31" t="s">
        <v>963</v>
      </c>
      <c r="H157" s="31" t="s">
        <v>304</v>
      </c>
      <c r="I157" s="31" t="s">
        <v>305</v>
      </c>
      <c r="J157" s="31" t="s">
        <v>112</v>
      </c>
      <c r="K157" s="31" t="s">
        <v>113</v>
      </c>
      <c r="L157" s="31" t="s">
        <v>964</v>
      </c>
      <c r="M157" s="31" t="s">
        <v>16</v>
      </c>
    </row>
    <row r="158" ht="15.75" spans="1:13">
      <c r="A158" s="31" t="s">
        <v>9</v>
      </c>
      <c r="B158" s="31"/>
      <c r="C158" s="31" t="s">
        <v>546</v>
      </c>
      <c r="D158" s="31" t="s">
        <v>552</v>
      </c>
      <c r="E158" s="31" t="s">
        <v>547</v>
      </c>
      <c r="F158" s="31" t="s">
        <v>173</v>
      </c>
      <c r="G158" s="31" t="s">
        <v>551</v>
      </c>
      <c r="H158" s="31" t="s">
        <v>116</v>
      </c>
      <c r="I158" s="31" t="s">
        <v>117</v>
      </c>
      <c r="J158" s="31" t="s">
        <v>112</v>
      </c>
      <c r="K158" s="31" t="s">
        <v>161</v>
      </c>
      <c r="L158" s="31" t="s">
        <v>401</v>
      </c>
      <c r="M158" s="31" t="s">
        <v>402</v>
      </c>
    </row>
    <row r="159" ht="15.75" spans="1:13">
      <c r="A159" s="31" t="s">
        <v>9</v>
      </c>
      <c r="B159" s="31"/>
      <c r="C159" s="31" t="s">
        <v>553</v>
      </c>
      <c r="D159" s="31" t="s">
        <v>557</v>
      </c>
      <c r="E159" s="31" t="s">
        <v>554</v>
      </c>
      <c r="F159" s="31" t="s">
        <v>173</v>
      </c>
      <c r="G159" s="31" t="s">
        <v>178</v>
      </c>
      <c r="H159" s="31" t="s">
        <v>116</v>
      </c>
      <c r="I159" s="31" t="s">
        <v>117</v>
      </c>
      <c r="J159" s="31" t="s">
        <v>112</v>
      </c>
      <c r="K159" s="31" t="s">
        <v>161</v>
      </c>
      <c r="L159" s="31" t="s">
        <v>179</v>
      </c>
      <c r="M159" s="31" t="s">
        <v>180</v>
      </c>
    </row>
    <row r="160" ht="15.75" spans="1:13">
      <c r="A160" s="31" t="s">
        <v>9</v>
      </c>
      <c r="B160" s="31" t="s">
        <v>1502</v>
      </c>
      <c r="C160" s="31" t="s">
        <v>1690</v>
      </c>
      <c r="D160" s="31" t="s">
        <v>1691</v>
      </c>
      <c r="E160" s="31" t="s">
        <v>1692</v>
      </c>
      <c r="F160" s="31" t="s">
        <v>173</v>
      </c>
      <c r="G160" s="31" t="s">
        <v>1506</v>
      </c>
      <c r="H160" s="31" t="s">
        <v>148</v>
      </c>
      <c r="I160" s="31" t="s">
        <v>149</v>
      </c>
      <c r="J160" s="31" t="s">
        <v>112</v>
      </c>
      <c r="K160" s="31" t="s">
        <v>144</v>
      </c>
      <c r="L160" s="31" t="s">
        <v>1507</v>
      </c>
      <c r="M160" s="31" t="s">
        <v>1508</v>
      </c>
    </row>
    <row r="161" ht="15.75" spans="1:13">
      <c r="A161" s="31" t="s">
        <v>9</v>
      </c>
      <c r="B161" s="31" t="s">
        <v>1496</v>
      </c>
      <c r="C161" s="31" t="s">
        <v>1693</v>
      </c>
      <c r="D161" s="31" t="s">
        <v>1694</v>
      </c>
      <c r="E161" s="31" t="s">
        <v>1695</v>
      </c>
      <c r="F161" s="31" t="s">
        <v>173</v>
      </c>
      <c r="G161" s="31" t="s">
        <v>1519</v>
      </c>
      <c r="H161" s="31" t="s">
        <v>148</v>
      </c>
      <c r="I161" s="31" t="s">
        <v>149</v>
      </c>
      <c r="J161" s="31" t="s">
        <v>112</v>
      </c>
      <c r="K161" s="31" t="s">
        <v>144</v>
      </c>
      <c r="L161" s="31" t="s">
        <v>1500</v>
      </c>
      <c r="M161" s="31" t="s">
        <v>1501</v>
      </c>
    </row>
    <row r="162" ht="15.75" spans="1:13">
      <c r="A162" s="31" t="s">
        <v>9</v>
      </c>
      <c r="B162" s="31"/>
      <c r="C162" s="31" t="s">
        <v>708</v>
      </c>
      <c r="D162" s="31" t="s">
        <v>713</v>
      </c>
      <c r="E162" s="31" t="s">
        <v>709</v>
      </c>
      <c r="F162" s="31" t="s">
        <v>83</v>
      </c>
      <c r="G162" s="31" t="s">
        <v>178</v>
      </c>
      <c r="H162" s="31" t="s">
        <v>116</v>
      </c>
      <c r="I162" s="31" t="s">
        <v>117</v>
      </c>
      <c r="J162" s="31" t="s">
        <v>112</v>
      </c>
      <c r="K162" s="31" t="s">
        <v>661</v>
      </c>
      <c r="L162" s="31" t="s">
        <v>662</v>
      </c>
      <c r="M162" s="31" t="s">
        <v>35</v>
      </c>
    </row>
    <row r="163" ht="15.75" spans="1:13">
      <c r="A163" s="31" t="s">
        <v>9</v>
      </c>
      <c r="B163" s="31"/>
      <c r="C163" s="31" t="s">
        <v>558</v>
      </c>
      <c r="D163" s="31" t="s">
        <v>562</v>
      </c>
      <c r="E163" s="31" t="s">
        <v>559</v>
      </c>
      <c r="F163" s="31" t="s">
        <v>173</v>
      </c>
      <c r="G163" s="31" t="s">
        <v>235</v>
      </c>
      <c r="H163" s="31" t="s">
        <v>148</v>
      </c>
      <c r="I163" s="31" t="s">
        <v>149</v>
      </c>
      <c r="J163" s="31" t="s">
        <v>112</v>
      </c>
      <c r="K163" s="31" t="s">
        <v>144</v>
      </c>
      <c r="L163" s="31" t="s">
        <v>236</v>
      </c>
      <c r="M163" s="31" t="s">
        <v>47</v>
      </c>
    </row>
    <row r="164" ht="15.75" spans="1:13">
      <c r="A164" s="31" t="s">
        <v>9</v>
      </c>
      <c r="B164" s="31" t="s">
        <v>1496</v>
      </c>
      <c r="C164" s="31" t="s">
        <v>1696</v>
      </c>
      <c r="D164" s="31" t="s">
        <v>1697</v>
      </c>
      <c r="E164" s="31" t="s">
        <v>1698</v>
      </c>
      <c r="F164" s="31" t="s">
        <v>173</v>
      </c>
      <c r="G164" s="31" t="s">
        <v>1578</v>
      </c>
      <c r="H164" s="31" t="s">
        <v>148</v>
      </c>
      <c r="I164" s="31" t="s">
        <v>149</v>
      </c>
      <c r="J164" s="31" t="s">
        <v>112</v>
      </c>
      <c r="K164" s="31" t="s">
        <v>144</v>
      </c>
      <c r="L164" s="31" t="s">
        <v>1500</v>
      </c>
      <c r="M164" s="31" t="s">
        <v>1501</v>
      </c>
    </row>
    <row r="165" ht="15.75" spans="1:13">
      <c r="A165" s="31" t="s">
        <v>9</v>
      </c>
      <c r="B165" s="31"/>
      <c r="C165" s="31" t="s">
        <v>949</v>
      </c>
      <c r="D165" s="31" t="s">
        <v>953</v>
      </c>
      <c r="E165" s="31" t="s">
        <v>950</v>
      </c>
      <c r="F165" s="31" t="s">
        <v>83</v>
      </c>
      <c r="G165" s="31" t="s">
        <v>275</v>
      </c>
      <c r="H165" s="31" t="s">
        <v>116</v>
      </c>
      <c r="I165" s="31" t="s">
        <v>117</v>
      </c>
      <c r="J165" s="31" t="s">
        <v>112</v>
      </c>
      <c r="K165" s="31" t="s">
        <v>829</v>
      </c>
      <c r="L165" s="31" t="s">
        <v>935</v>
      </c>
      <c r="M165" s="31" t="s">
        <v>936</v>
      </c>
    </row>
    <row r="166" ht="15.75" spans="1:13">
      <c r="A166" s="31" t="s">
        <v>9</v>
      </c>
      <c r="B166" s="31"/>
      <c r="C166" s="31" t="s">
        <v>1248</v>
      </c>
      <c r="D166" s="31" t="s">
        <v>1699</v>
      </c>
      <c r="E166" s="31" t="s">
        <v>1249</v>
      </c>
      <c r="F166" s="31" t="s">
        <v>83</v>
      </c>
      <c r="G166" s="31" t="s">
        <v>963</v>
      </c>
      <c r="H166" s="31" t="s">
        <v>304</v>
      </c>
      <c r="I166" s="31" t="s">
        <v>305</v>
      </c>
      <c r="J166" s="31" t="s">
        <v>112</v>
      </c>
      <c r="K166" s="31" t="s">
        <v>113</v>
      </c>
      <c r="L166" s="31" t="s">
        <v>964</v>
      </c>
      <c r="M166" s="31" t="s">
        <v>16</v>
      </c>
    </row>
    <row r="167" ht="15.75" spans="1:13">
      <c r="A167" s="31" t="s">
        <v>9</v>
      </c>
      <c r="B167" s="31" t="s">
        <v>1502</v>
      </c>
      <c r="C167" s="31" t="s">
        <v>1700</v>
      </c>
      <c r="D167" s="31" t="s">
        <v>1701</v>
      </c>
      <c r="E167" s="31" t="s">
        <v>1702</v>
      </c>
      <c r="F167" s="31" t="s">
        <v>173</v>
      </c>
      <c r="G167" s="31" t="s">
        <v>1506</v>
      </c>
      <c r="H167" s="31" t="s">
        <v>148</v>
      </c>
      <c r="I167" s="31" t="s">
        <v>149</v>
      </c>
      <c r="J167" s="31" t="s">
        <v>112</v>
      </c>
      <c r="K167" s="31" t="s">
        <v>144</v>
      </c>
      <c r="L167" s="31" t="s">
        <v>1507</v>
      </c>
      <c r="M167" s="31" t="s">
        <v>1508</v>
      </c>
    </row>
    <row r="168" ht="15.75" spans="1:13">
      <c r="A168" s="31" t="s">
        <v>9</v>
      </c>
      <c r="B168" s="31"/>
      <c r="C168" s="31" t="s">
        <v>564</v>
      </c>
      <c r="D168" s="31" t="s">
        <v>568</v>
      </c>
      <c r="E168" s="31" t="s">
        <v>565</v>
      </c>
      <c r="F168" s="31" t="s">
        <v>83</v>
      </c>
      <c r="G168" s="31" t="s">
        <v>143</v>
      </c>
      <c r="H168" s="31" t="s">
        <v>148</v>
      </c>
      <c r="I168" s="31" t="s">
        <v>149</v>
      </c>
      <c r="J168" s="31" t="s">
        <v>112</v>
      </c>
      <c r="K168" s="31" t="s">
        <v>144</v>
      </c>
      <c r="L168" s="31" t="s">
        <v>145</v>
      </c>
      <c r="M168" s="31" t="s">
        <v>146</v>
      </c>
    </row>
    <row r="169" ht="15.75" spans="1:13">
      <c r="A169" s="31" t="s">
        <v>9</v>
      </c>
      <c r="B169" s="31" t="s">
        <v>1502</v>
      </c>
      <c r="C169" s="31" t="s">
        <v>1703</v>
      </c>
      <c r="D169" s="31" t="s">
        <v>1704</v>
      </c>
      <c r="E169" s="31" t="s">
        <v>1705</v>
      </c>
      <c r="F169" s="31" t="s">
        <v>173</v>
      </c>
      <c r="G169" s="31" t="s">
        <v>1566</v>
      </c>
      <c r="H169" s="31" t="s">
        <v>148</v>
      </c>
      <c r="I169" s="31" t="s">
        <v>149</v>
      </c>
      <c r="J169" s="31" t="s">
        <v>112</v>
      </c>
      <c r="K169" s="31" t="s">
        <v>144</v>
      </c>
      <c r="L169" s="31" t="s">
        <v>1529</v>
      </c>
      <c r="M169" s="31" t="s">
        <v>1530</v>
      </c>
    </row>
    <row r="170" ht="15.75" spans="1:13">
      <c r="A170" s="31" t="s">
        <v>9</v>
      </c>
      <c r="B170" s="31"/>
      <c r="C170" s="31" t="s">
        <v>1264</v>
      </c>
      <c r="D170" s="31" t="s">
        <v>1706</v>
      </c>
      <c r="E170" s="31" t="s">
        <v>1265</v>
      </c>
      <c r="F170" s="31" t="s">
        <v>173</v>
      </c>
      <c r="G170" s="31" t="s">
        <v>963</v>
      </c>
      <c r="H170" s="31" t="s">
        <v>304</v>
      </c>
      <c r="I170" s="31" t="s">
        <v>305</v>
      </c>
      <c r="J170" s="31" t="s">
        <v>112</v>
      </c>
      <c r="K170" s="31" t="s">
        <v>113</v>
      </c>
      <c r="L170" s="31" t="s">
        <v>964</v>
      </c>
      <c r="M170" s="31" t="s">
        <v>16</v>
      </c>
    </row>
    <row r="171" ht="15.75" spans="1:13">
      <c r="A171" s="31" t="s">
        <v>9</v>
      </c>
      <c r="B171" s="31"/>
      <c r="C171" s="31" t="s">
        <v>569</v>
      </c>
      <c r="D171" s="31" t="s">
        <v>573</v>
      </c>
      <c r="E171" s="31" t="s">
        <v>570</v>
      </c>
      <c r="F171" s="31" t="s">
        <v>83</v>
      </c>
      <c r="G171" s="31" t="s">
        <v>160</v>
      </c>
      <c r="H171" s="31" t="s">
        <v>116</v>
      </c>
      <c r="I171" s="31" t="s">
        <v>117</v>
      </c>
      <c r="J171" s="31" t="s">
        <v>112</v>
      </c>
      <c r="K171" s="31" t="s">
        <v>161</v>
      </c>
      <c r="L171" s="31" t="s">
        <v>162</v>
      </c>
      <c r="M171" s="31" t="s">
        <v>20</v>
      </c>
    </row>
    <row r="172" ht="15.75" spans="1:13">
      <c r="A172" s="31" t="s">
        <v>9</v>
      </c>
      <c r="B172" s="31"/>
      <c r="C172" s="31" t="s">
        <v>1276</v>
      </c>
      <c r="D172" s="31" t="s">
        <v>1707</v>
      </c>
      <c r="E172" s="31" t="s">
        <v>1277</v>
      </c>
      <c r="F172" s="31" t="s">
        <v>173</v>
      </c>
      <c r="G172" s="31" t="s">
        <v>963</v>
      </c>
      <c r="H172" s="31" t="s">
        <v>304</v>
      </c>
      <c r="I172" s="31" t="s">
        <v>305</v>
      </c>
      <c r="J172" s="31" t="s">
        <v>112</v>
      </c>
      <c r="K172" s="31" t="s">
        <v>113</v>
      </c>
      <c r="L172" s="31" t="s">
        <v>964</v>
      </c>
      <c r="M172" s="31" t="s">
        <v>16</v>
      </c>
    </row>
    <row r="173" ht="15.75" spans="1:13">
      <c r="A173" s="31" t="s">
        <v>9</v>
      </c>
      <c r="B173" s="31"/>
      <c r="C173" s="31" t="s">
        <v>910</v>
      </c>
      <c r="D173" s="31" t="s">
        <v>914</v>
      </c>
      <c r="E173" s="31" t="s">
        <v>911</v>
      </c>
      <c r="F173" s="31" t="s">
        <v>83</v>
      </c>
      <c r="G173" s="31" t="s">
        <v>178</v>
      </c>
      <c r="H173" s="31" t="s">
        <v>116</v>
      </c>
      <c r="I173" s="31" t="s">
        <v>117</v>
      </c>
      <c r="J173" s="31" t="s">
        <v>112</v>
      </c>
      <c r="K173" s="31" t="s">
        <v>829</v>
      </c>
      <c r="L173" s="31" t="s">
        <v>875</v>
      </c>
      <c r="M173" s="31" t="s">
        <v>876</v>
      </c>
    </row>
    <row r="174" ht="15.75" spans="1:13">
      <c r="A174" s="31" t="s">
        <v>9</v>
      </c>
      <c r="B174" s="31"/>
      <c r="C174" s="31" t="s">
        <v>574</v>
      </c>
      <c r="D174" s="31" t="s">
        <v>578</v>
      </c>
      <c r="E174" s="31" t="s">
        <v>575</v>
      </c>
      <c r="F174" s="31" t="s">
        <v>83</v>
      </c>
      <c r="G174" s="31" t="s">
        <v>268</v>
      </c>
      <c r="H174" s="31" t="s">
        <v>116</v>
      </c>
      <c r="I174" s="31" t="s">
        <v>117</v>
      </c>
      <c r="J174" s="31" t="s">
        <v>112</v>
      </c>
      <c r="K174" s="31" t="s">
        <v>113</v>
      </c>
      <c r="L174" s="31" t="s">
        <v>114</v>
      </c>
      <c r="M174" s="31" t="s">
        <v>44</v>
      </c>
    </row>
    <row r="175" ht="15.75" spans="1:13">
      <c r="A175" s="31" t="s">
        <v>9</v>
      </c>
      <c r="B175" s="31"/>
      <c r="C175" s="31" t="s">
        <v>819</v>
      </c>
      <c r="D175" s="31" t="s">
        <v>1708</v>
      </c>
      <c r="E175" s="31" t="s">
        <v>820</v>
      </c>
      <c r="F175" s="31" t="s">
        <v>83</v>
      </c>
      <c r="G175" s="31" t="s">
        <v>143</v>
      </c>
      <c r="H175" s="31" t="s">
        <v>1709</v>
      </c>
      <c r="I175" s="31" t="s">
        <v>1710</v>
      </c>
      <c r="J175" s="31" t="s">
        <v>112</v>
      </c>
      <c r="K175" s="31" t="s">
        <v>113</v>
      </c>
      <c r="L175" s="31" t="s">
        <v>753</v>
      </c>
      <c r="M175" s="31" t="s">
        <v>41</v>
      </c>
    </row>
    <row r="176" ht="15.75" spans="1:13">
      <c r="A176" s="31" t="s">
        <v>9</v>
      </c>
      <c r="B176" s="31"/>
      <c r="C176" s="31" t="s">
        <v>579</v>
      </c>
      <c r="D176" s="31" t="s">
        <v>582</v>
      </c>
      <c r="E176" s="31" t="s">
        <v>580</v>
      </c>
      <c r="F176" s="31" t="s">
        <v>173</v>
      </c>
      <c r="G176" s="31" t="s">
        <v>340</v>
      </c>
      <c r="H176" s="31" t="s">
        <v>148</v>
      </c>
      <c r="I176" s="31" t="s">
        <v>149</v>
      </c>
      <c r="J176" s="31" t="s">
        <v>112</v>
      </c>
      <c r="K176" s="31" t="s">
        <v>144</v>
      </c>
      <c r="L176" s="31" t="s">
        <v>341</v>
      </c>
      <c r="M176" s="31" t="s">
        <v>342</v>
      </c>
    </row>
    <row r="177" ht="15.75" spans="1:13">
      <c r="A177" s="31" t="s">
        <v>9</v>
      </c>
      <c r="B177" s="31"/>
      <c r="C177" s="31" t="s">
        <v>823</v>
      </c>
      <c r="D177" s="31" t="s">
        <v>1711</v>
      </c>
      <c r="E177" s="31" t="s">
        <v>824</v>
      </c>
      <c r="F177" s="31" t="s">
        <v>173</v>
      </c>
      <c r="G177" s="31" t="s">
        <v>143</v>
      </c>
      <c r="H177" s="31" t="s">
        <v>116</v>
      </c>
      <c r="I177" s="31" t="s">
        <v>117</v>
      </c>
      <c r="J177" s="31" t="s">
        <v>112</v>
      </c>
      <c r="K177" s="31" t="s">
        <v>113</v>
      </c>
      <c r="L177" s="31" t="s">
        <v>753</v>
      </c>
      <c r="M177" s="31" t="s">
        <v>41</v>
      </c>
    </row>
    <row r="178" ht="15.75" spans="1:13">
      <c r="A178" s="31" t="s">
        <v>9</v>
      </c>
      <c r="B178" s="31"/>
      <c r="C178" s="31" t="s">
        <v>583</v>
      </c>
      <c r="D178" s="31" t="s">
        <v>587</v>
      </c>
      <c r="E178" s="31" t="s">
        <v>584</v>
      </c>
      <c r="F178" s="31" t="s">
        <v>83</v>
      </c>
      <c r="G178" s="31" t="s">
        <v>257</v>
      </c>
      <c r="H178" s="31" t="s">
        <v>588</v>
      </c>
      <c r="I178" s="31" t="s">
        <v>262</v>
      </c>
      <c r="J178" s="31" t="s">
        <v>112</v>
      </c>
      <c r="K178" s="31" t="s">
        <v>128</v>
      </c>
      <c r="L178" s="31" t="s">
        <v>258</v>
      </c>
      <c r="M178" s="31" t="s">
        <v>259</v>
      </c>
    </row>
    <row r="179" ht="15.75" spans="1:13">
      <c r="A179" s="31" t="s">
        <v>9</v>
      </c>
      <c r="B179" s="31"/>
      <c r="C179" s="31" t="s">
        <v>1292</v>
      </c>
      <c r="D179" s="31" t="s">
        <v>1712</v>
      </c>
      <c r="E179" s="31" t="s">
        <v>1293</v>
      </c>
      <c r="F179" s="31" t="s">
        <v>173</v>
      </c>
      <c r="G179" s="31" t="s">
        <v>963</v>
      </c>
      <c r="H179" s="31" t="s">
        <v>304</v>
      </c>
      <c r="I179" s="31" t="s">
        <v>305</v>
      </c>
      <c r="J179" s="31" t="s">
        <v>112</v>
      </c>
      <c r="K179" s="31" t="s">
        <v>113</v>
      </c>
      <c r="L179" s="31" t="s">
        <v>964</v>
      </c>
      <c r="M179" s="31" t="s">
        <v>16</v>
      </c>
    </row>
    <row r="180" ht="15.75" spans="1:13">
      <c r="A180" s="31" t="s">
        <v>9</v>
      </c>
      <c r="B180" s="31"/>
      <c r="C180" s="31" t="s">
        <v>720</v>
      </c>
      <c r="D180" s="31" t="s">
        <v>725</v>
      </c>
      <c r="E180" s="31" t="s">
        <v>721</v>
      </c>
      <c r="F180" s="31" t="s">
        <v>173</v>
      </c>
      <c r="G180" s="31" t="s">
        <v>178</v>
      </c>
      <c r="H180" s="31" t="s">
        <v>116</v>
      </c>
      <c r="I180" s="31" t="s">
        <v>117</v>
      </c>
      <c r="J180" s="31" t="s">
        <v>112</v>
      </c>
      <c r="K180" s="31" t="s">
        <v>661</v>
      </c>
      <c r="L180" s="31" t="s">
        <v>662</v>
      </c>
      <c r="M180" s="31" t="s">
        <v>35</v>
      </c>
    </row>
    <row r="181" ht="15.75" spans="1:13">
      <c r="A181" s="31" t="s">
        <v>9</v>
      </c>
      <c r="B181" s="31"/>
      <c r="C181" s="31" t="s">
        <v>589</v>
      </c>
      <c r="D181" s="31" t="s">
        <v>593</v>
      </c>
      <c r="E181" s="31" t="s">
        <v>590</v>
      </c>
      <c r="F181" s="31" t="s">
        <v>173</v>
      </c>
      <c r="G181" s="31" t="s">
        <v>189</v>
      </c>
      <c r="H181" s="31" t="s">
        <v>116</v>
      </c>
      <c r="I181" s="31" t="s">
        <v>117</v>
      </c>
      <c r="J181" s="31" t="s">
        <v>112</v>
      </c>
      <c r="K181" s="31" t="s">
        <v>161</v>
      </c>
      <c r="L181" s="31" t="s">
        <v>190</v>
      </c>
      <c r="M181" s="31" t="s">
        <v>23</v>
      </c>
    </row>
    <row r="182" ht="15.75" spans="1:13">
      <c r="A182" s="31" t="s">
        <v>9</v>
      </c>
      <c r="B182" s="31"/>
      <c r="C182" s="31" t="s">
        <v>594</v>
      </c>
      <c r="D182" s="31" t="s">
        <v>599</v>
      </c>
      <c r="E182" s="31" t="s">
        <v>595</v>
      </c>
      <c r="F182" s="31" t="s">
        <v>83</v>
      </c>
      <c r="G182" s="31" t="s">
        <v>257</v>
      </c>
      <c r="H182" s="31" t="s">
        <v>600</v>
      </c>
      <c r="I182" s="31" t="s">
        <v>601</v>
      </c>
      <c r="J182" s="31" t="s">
        <v>112</v>
      </c>
      <c r="K182" s="31" t="s">
        <v>128</v>
      </c>
      <c r="L182" s="31" t="s">
        <v>258</v>
      </c>
      <c r="M182" s="31" t="s">
        <v>259</v>
      </c>
    </row>
    <row r="183" ht="15.75" spans="1:13">
      <c r="A183" s="33" t="s">
        <v>9</v>
      </c>
      <c r="B183" s="33"/>
      <c r="C183" s="33" t="s">
        <v>25</v>
      </c>
      <c r="D183" s="33" t="s">
        <v>604</v>
      </c>
      <c r="E183" s="33" t="s">
        <v>24</v>
      </c>
      <c r="F183" s="33" t="s">
        <v>173</v>
      </c>
      <c r="G183" s="33" t="s">
        <v>275</v>
      </c>
      <c r="H183" s="33" t="s">
        <v>116</v>
      </c>
      <c r="I183" s="33" t="s">
        <v>117</v>
      </c>
      <c r="J183" s="33" t="s">
        <v>112</v>
      </c>
      <c r="K183" s="33" t="s">
        <v>276</v>
      </c>
      <c r="L183" s="33" t="s">
        <v>277</v>
      </c>
      <c r="M183" s="33" t="s">
        <v>26</v>
      </c>
    </row>
    <row r="184" ht="15.75" spans="1:13">
      <c r="A184" s="31" t="s">
        <v>9</v>
      </c>
      <c r="B184" s="31" t="s">
        <v>1502</v>
      </c>
      <c r="C184" s="31" t="s">
        <v>1713</v>
      </c>
      <c r="D184" s="31" t="s">
        <v>1714</v>
      </c>
      <c r="E184" s="31" t="s">
        <v>1715</v>
      </c>
      <c r="F184" s="31" t="s">
        <v>173</v>
      </c>
      <c r="G184" s="31" t="s">
        <v>1506</v>
      </c>
      <c r="H184" s="31" t="s">
        <v>148</v>
      </c>
      <c r="I184" s="31" t="s">
        <v>149</v>
      </c>
      <c r="J184" s="31" t="s">
        <v>112</v>
      </c>
      <c r="K184" s="31" t="s">
        <v>144</v>
      </c>
      <c r="L184" s="31" t="s">
        <v>1507</v>
      </c>
      <c r="M184" s="31" t="s">
        <v>1508</v>
      </c>
    </row>
    <row r="185" ht="15.75" spans="1:13">
      <c r="A185" s="31" t="s">
        <v>9</v>
      </c>
      <c r="B185" s="31"/>
      <c r="C185" s="31" t="s">
        <v>1305</v>
      </c>
      <c r="D185" s="31" t="s">
        <v>1716</v>
      </c>
      <c r="E185" s="31" t="s">
        <v>1306</v>
      </c>
      <c r="F185" s="31" t="s">
        <v>173</v>
      </c>
      <c r="G185" s="31" t="s">
        <v>963</v>
      </c>
      <c r="H185" s="31" t="s">
        <v>304</v>
      </c>
      <c r="I185" s="31" t="s">
        <v>305</v>
      </c>
      <c r="J185" s="31" t="s">
        <v>112</v>
      </c>
      <c r="K185" s="31" t="s">
        <v>113</v>
      </c>
      <c r="L185" s="31" t="s">
        <v>964</v>
      </c>
      <c r="M185" s="31" t="s">
        <v>16</v>
      </c>
    </row>
    <row r="186" ht="15.75" spans="1:13">
      <c r="A186" s="31" t="s">
        <v>9</v>
      </c>
      <c r="B186" s="31"/>
      <c r="C186" s="31" t="s">
        <v>606</v>
      </c>
      <c r="D186" s="31" t="s">
        <v>610</v>
      </c>
      <c r="E186" s="31" t="s">
        <v>607</v>
      </c>
      <c r="F186" s="31" t="s">
        <v>173</v>
      </c>
      <c r="G186" s="31" t="s">
        <v>477</v>
      </c>
      <c r="H186" s="31" t="s">
        <v>116</v>
      </c>
      <c r="I186" s="31" t="s">
        <v>117</v>
      </c>
      <c r="J186" s="31" t="s">
        <v>112</v>
      </c>
      <c r="K186" s="31" t="s">
        <v>161</v>
      </c>
      <c r="L186" s="31" t="s">
        <v>190</v>
      </c>
      <c r="M186" s="31" t="s">
        <v>23</v>
      </c>
    </row>
    <row r="187" ht="15.75" spans="1:13">
      <c r="A187" s="31" t="s">
        <v>9</v>
      </c>
      <c r="B187" s="31"/>
      <c r="C187" s="31" t="s">
        <v>611</v>
      </c>
      <c r="D187" s="31" t="s">
        <v>614</v>
      </c>
      <c r="E187" s="31" t="s">
        <v>612</v>
      </c>
      <c r="F187" s="31" t="s">
        <v>173</v>
      </c>
      <c r="G187" s="31" t="s">
        <v>275</v>
      </c>
      <c r="H187" s="31" t="s">
        <v>116</v>
      </c>
      <c r="I187" s="31" t="s">
        <v>117</v>
      </c>
      <c r="J187" s="31" t="s">
        <v>112</v>
      </c>
      <c r="K187" s="31" t="s">
        <v>276</v>
      </c>
      <c r="L187" s="31" t="s">
        <v>277</v>
      </c>
      <c r="M187" s="31" t="s">
        <v>26</v>
      </c>
    </row>
    <row r="188" ht="15.75" spans="1:13">
      <c r="A188" s="31" t="s">
        <v>9</v>
      </c>
      <c r="B188" s="31"/>
      <c r="C188" s="31" t="s">
        <v>1437</v>
      </c>
      <c r="D188" s="31" t="s">
        <v>1717</v>
      </c>
      <c r="E188" s="31" t="s">
        <v>1438</v>
      </c>
      <c r="F188" s="31" t="s">
        <v>83</v>
      </c>
      <c r="G188" s="31" t="s">
        <v>963</v>
      </c>
      <c r="H188" s="31" t="s">
        <v>304</v>
      </c>
      <c r="I188" s="31" t="s">
        <v>305</v>
      </c>
      <c r="J188" s="31" t="s">
        <v>112</v>
      </c>
      <c r="K188" s="31" t="s">
        <v>113</v>
      </c>
      <c r="L188" s="31" t="s">
        <v>964</v>
      </c>
      <c r="M188" s="31" t="s">
        <v>16</v>
      </c>
    </row>
    <row r="189" ht="15.75" spans="1:13">
      <c r="A189" s="31" t="s">
        <v>9</v>
      </c>
      <c r="B189" s="31" t="s">
        <v>1510</v>
      </c>
      <c r="C189" s="31" t="s">
        <v>1718</v>
      </c>
      <c r="D189" s="31" t="s">
        <v>1719</v>
      </c>
      <c r="E189" s="31" t="s">
        <v>1720</v>
      </c>
      <c r="F189" s="31" t="s">
        <v>173</v>
      </c>
      <c r="G189" s="31" t="s">
        <v>1523</v>
      </c>
      <c r="H189" s="31" t="s">
        <v>148</v>
      </c>
      <c r="I189" s="31" t="s">
        <v>149</v>
      </c>
      <c r="J189" s="31" t="s">
        <v>112</v>
      </c>
      <c r="K189" s="31" t="s">
        <v>144</v>
      </c>
      <c r="L189" s="31" t="s">
        <v>1524</v>
      </c>
      <c r="M189" s="31" t="s">
        <v>1525</v>
      </c>
    </row>
    <row r="190" ht="15.75" spans="1:13">
      <c r="A190" s="31" t="s">
        <v>9</v>
      </c>
      <c r="B190" s="31"/>
      <c r="C190" s="31" t="s">
        <v>1320</v>
      </c>
      <c r="D190" s="31" t="s">
        <v>1721</v>
      </c>
      <c r="E190" s="31" t="s">
        <v>1321</v>
      </c>
      <c r="F190" s="31" t="s">
        <v>173</v>
      </c>
      <c r="G190" s="31" t="s">
        <v>963</v>
      </c>
      <c r="H190" s="31" t="s">
        <v>304</v>
      </c>
      <c r="I190" s="31" t="s">
        <v>305</v>
      </c>
      <c r="J190" s="31" t="s">
        <v>112</v>
      </c>
      <c r="K190" s="31" t="s">
        <v>113</v>
      </c>
      <c r="L190" s="31" t="s">
        <v>964</v>
      </c>
      <c r="M190" s="31" t="s">
        <v>16</v>
      </c>
    </row>
    <row r="191" ht="15.75" spans="1:13">
      <c r="A191" s="31" t="s">
        <v>9</v>
      </c>
      <c r="B191" s="31" t="s">
        <v>1502</v>
      </c>
      <c r="C191" s="31" t="s">
        <v>1722</v>
      </c>
      <c r="D191" s="31" t="s">
        <v>1723</v>
      </c>
      <c r="E191" s="31" t="s">
        <v>1724</v>
      </c>
      <c r="F191" s="31" t="s">
        <v>83</v>
      </c>
      <c r="G191" s="31" t="s">
        <v>1506</v>
      </c>
      <c r="H191" s="31" t="s">
        <v>148</v>
      </c>
      <c r="I191" s="31" t="s">
        <v>149</v>
      </c>
      <c r="J191" s="31" t="s">
        <v>112</v>
      </c>
      <c r="K191" s="31" t="s">
        <v>144</v>
      </c>
      <c r="L191" s="31" t="s">
        <v>1507</v>
      </c>
      <c r="M191" s="31" t="s">
        <v>1508</v>
      </c>
    </row>
    <row r="192" ht="15.75" spans="1:13">
      <c r="A192" s="31" t="s">
        <v>9</v>
      </c>
      <c r="B192" s="31"/>
      <c r="C192" s="31" t="s">
        <v>615</v>
      </c>
      <c r="D192" s="31" t="s">
        <v>620</v>
      </c>
      <c r="E192" s="31" t="s">
        <v>616</v>
      </c>
      <c r="F192" s="31" t="s">
        <v>83</v>
      </c>
      <c r="G192" s="31" t="s">
        <v>619</v>
      </c>
      <c r="H192" s="31" t="s">
        <v>148</v>
      </c>
      <c r="I192" s="31" t="s">
        <v>149</v>
      </c>
      <c r="J192" s="31" t="s">
        <v>112</v>
      </c>
      <c r="K192" s="31" t="s">
        <v>144</v>
      </c>
      <c r="L192" s="31" t="s">
        <v>145</v>
      </c>
      <c r="M192" s="31" t="s">
        <v>146</v>
      </c>
    </row>
    <row r="193" ht="15.75" spans="1:13">
      <c r="A193" s="31" t="s">
        <v>9</v>
      </c>
      <c r="B193" s="31"/>
      <c r="C193" s="31" t="s">
        <v>954</v>
      </c>
      <c r="D193" s="31" t="s">
        <v>957</v>
      </c>
      <c r="E193" s="31" t="s">
        <v>955</v>
      </c>
      <c r="F193" s="31" t="s">
        <v>83</v>
      </c>
      <c r="G193" s="31" t="s">
        <v>275</v>
      </c>
      <c r="H193" s="31" t="s">
        <v>116</v>
      </c>
      <c r="I193" s="31" t="s">
        <v>117</v>
      </c>
      <c r="J193" s="31" t="s">
        <v>112</v>
      </c>
      <c r="K193" s="31" t="s">
        <v>829</v>
      </c>
      <c r="L193" s="31" t="s">
        <v>935</v>
      </c>
      <c r="M193" s="31" t="s">
        <v>936</v>
      </c>
    </row>
    <row r="194" ht="15.75" spans="1:13">
      <c r="A194" s="31" t="s">
        <v>9</v>
      </c>
      <c r="B194" s="31"/>
      <c r="C194" s="31" t="s">
        <v>733</v>
      </c>
      <c r="D194" s="31" t="s">
        <v>737</v>
      </c>
      <c r="E194" s="31" t="s">
        <v>734</v>
      </c>
      <c r="F194" s="31" t="s">
        <v>173</v>
      </c>
      <c r="G194" s="31" t="s">
        <v>178</v>
      </c>
      <c r="H194" s="31" t="s">
        <v>304</v>
      </c>
      <c r="I194" s="31" t="s">
        <v>738</v>
      </c>
      <c r="J194" s="31" t="s">
        <v>112</v>
      </c>
      <c r="K194" s="31" t="s">
        <v>661</v>
      </c>
      <c r="L194" s="31" t="s">
        <v>662</v>
      </c>
      <c r="M194" s="31" t="s">
        <v>35</v>
      </c>
    </row>
    <row r="195" ht="15.75" spans="1:13">
      <c r="A195" s="31" t="s">
        <v>9</v>
      </c>
      <c r="B195" s="32" t="s">
        <v>1502</v>
      </c>
      <c r="C195" s="31" t="s">
        <v>1725</v>
      </c>
      <c r="D195" s="31" t="s">
        <v>1726</v>
      </c>
      <c r="E195" s="31" t="s">
        <v>1727</v>
      </c>
      <c r="F195" s="31" t="s">
        <v>173</v>
      </c>
      <c r="G195" s="31" t="s">
        <v>143</v>
      </c>
      <c r="H195" s="31" t="s">
        <v>148</v>
      </c>
      <c r="I195" s="31" t="s">
        <v>149</v>
      </c>
      <c r="J195" s="31" t="s">
        <v>112</v>
      </c>
      <c r="K195" s="31" t="s">
        <v>144</v>
      </c>
      <c r="L195" s="31" t="s">
        <v>1529</v>
      </c>
      <c r="M195" s="31" t="s">
        <v>1530</v>
      </c>
    </row>
    <row r="196" ht="15.75" spans="1:13">
      <c r="A196" s="31" t="s">
        <v>9</v>
      </c>
      <c r="B196" s="31"/>
      <c r="C196" s="31" t="s">
        <v>1336</v>
      </c>
      <c r="D196" s="31" t="s">
        <v>1728</v>
      </c>
      <c r="E196" s="31" t="s">
        <v>1337</v>
      </c>
      <c r="F196" s="31" t="s">
        <v>173</v>
      </c>
      <c r="G196" s="31" t="s">
        <v>963</v>
      </c>
      <c r="H196" s="31" t="s">
        <v>304</v>
      </c>
      <c r="I196" s="31" t="s">
        <v>305</v>
      </c>
      <c r="J196" s="31" t="s">
        <v>112</v>
      </c>
      <c r="K196" s="31" t="s">
        <v>113</v>
      </c>
      <c r="L196" s="31" t="s">
        <v>964</v>
      </c>
      <c r="M196" s="31" t="s">
        <v>16</v>
      </c>
    </row>
    <row r="197" ht="15.75" spans="1:13">
      <c r="A197" s="31" t="s">
        <v>9</v>
      </c>
      <c r="B197" s="31"/>
      <c r="C197" s="31" t="s">
        <v>850</v>
      </c>
      <c r="D197" s="31" t="s">
        <v>854</v>
      </c>
      <c r="E197" s="31" t="s">
        <v>851</v>
      </c>
      <c r="F197" s="31" t="s">
        <v>83</v>
      </c>
      <c r="G197" s="31" t="s">
        <v>143</v>
      </c>
      <c r="H197" s="31" t="s">
        <v>855</v>
      </c>
      <c r="I197" s="31" t="s">
        <v>856</v>
      </c>
      <c r="J197" s="31" t="s">
        <v>112</v>
      </c>
      <c r="K197" s="31" t="s">
        <v>829</v>
      </c>
      <c r="L197" s="31" t="s">
        <v>830</v>
      </c>
      <c r="M197" s="31" t="s">
        <v>13</v>
      </c>
    </row>
    <row r="198" ht="15.75" spans="1:13">
      <c r="A198" s="31" t="s">
        <v>9</v>
      </c>
      <c r="B198" s="31"/>
      <c r="C198" s="31" t="s">
        <v>1349</v>
      </c>
      <c r="D198" s="31" t="s">
        <v>1729</v>
      </c>
      <c r="E198" s="31" t="s">
        <v>1350</v>
      </c>
      <c r="F198" s="31" t="s">
        <v>173</v>
      </c>
      <c r="G198" s="31" t="s">
        <v>963</v>
      </c>
      <c r="H198" s="31" t="s">
        <v>304</v>
      </c>
      <c r="I198" s="31" t="s">
        <v>305</v>
      </c>
      <c r="J198" s="31" t="s">
        <v>112</v>
      </c>
      <c r="K198" s="31" t="s">
        <v>113</v>
      </c>
      <c r="L198" s="31" t="s">
        <v>964</v>
      </c>
      <c r="M198" s="31" t="s">
        <v>16</v>
      </c>
    </row>
    <row r="199" ht="15.75" spans="1:13">
      <c r="A199" s="31" t="s">
        <v>9</v>
      </c>
      <c r="B199" s="31"/>
      <c r="C199" s="31" t="s">
        <v>621</v>
      </c>
      <c r="D199" s="31" t="s">
        <v>625</v>
      </c>
      <c r="E199" s="31" t="s">
        <v>622</v>
      </c>
      <c r="F199" s="31" t="s">
        <v>173</v>
      </c>
      <c r="G199" s="31" t="s">
        <v>235</v>
      </c>
      <c r="H199" s="31" t="s">
        <v>148</v>
      </c>
      <c r="I199" s="31" t="s">
        <v>149</v>
      </c>
      <c r="J199" s="31" t="s">
        <v>112</v>
      </c>
      <c r="K199" s="31" t="s">
        <v>144</v>
      </c>
      <c r="L199" s="31" t="s">
        <v>236</v>
      </c>
      <c r="M199" s="31" t="s">
        <v>47</v>
      </c>
    </row>
    <row r="200" ht="15.75" spans="1:13">
      <c r="A200" s="31" t="s">
        <v>9</v>
      </c>
      <c r="B200" s="31" t="s">
        <v>1496</v>
      </c>
      <c r="C200" s="31" t="s">
        <v>1730</v>
      </c>
      <c r="D200" s="31" t="s">
        <v>1731</v>
      </c>
      <c r="E200" s="31" t="s">
        <v>1732</v>
      </c>
      <c r="F200" s="31" t="s">
        <v>173</v>
      </c>
      <c r="G200" s="31" t="s">
        <v>1578</v>
      </c>
      <c r="H200" s="31" t="s">
        <v>148</v>
      </c>
      <c r="I200" s="31" t="s">
        <v>149</v>
      </c>
      <c r="J200" s="31" t="s">
        <v>112</v>
      </c>
      <c r="K200" s="31" t="s">
        <v>144</v>
      </c>
      <c r="L200" s="31" t="s">
        <v>1500</v>
      </c>
      <c r="M200" s="31" t="s">
        <v>1501</v>
      </c>
    </row>
    <row r="201" ht="15.75" spans="1:13">
      <c r="A201" s="31" t="s">
        <v>9</v>
      </c>
      <c r="B201" s="31" t="s">
        <v>1496</v>
      </c>
      <c r="C201" s="31" t="s">
        <v>1733</v>
      </c>
      <c r="D201" s="31" t="s">
        <v>1734</v>
      </c>
      <c r="E201" s="31" t="s">
        <v>1735</v>
      </c>
      <c r="F201" s="31" t="s">
        <v>173</v>
      </c>
      <c r="G201" s="31" t="s">
        <v>1578</v>
      </c>
      <c r="H201" s="31" t="s">
        <v>148</v>
      </c>
      <c r="I201" s="31" t="s">
        <v>149</v>
      </c>
      <c r="J201" s="31" t="s">
        <v>112</v>
      </c>
      <c r="K201" s="31" t="s">
        <v>144</v>
      </c>
      <c r="L201" s="31" t="s">
        <v>1500</v>
      </c>
      <c r="M201" s="31" t="s">
        <v>1501</v>
      </c>
    </row>
    <row r="202" ht="15.75" spans="1:13">
      <c r="A202" s="31" t="s">
        <v>9</v>
      </c>
      <c r="B202" s="31"/>
      <c r="C202" s="31" t="s">
        <v>626</v>
      </c>
      <c r="D202" s="31" t="s">
        <v>630</v>
      </c>
      <c r="E202" s="31" t="s">
        <v>627</v>
      </c>
      <c r="F202" s="31" t="s">
        <v>173</v>
      </c>
      <c r="G202" s="31" t="s">
        <v>143</v>
      </c>
      <c r="H202" s="31" t="s">
        <v>148</v>
      </c>
      <c r="I202" s="31" t="s">
        <v>149</v>
      </c>
      <c r="J202" s="31" t="s">
        <v>112</v>
      </c>
      <c r="K202" s="31" t="s">
        <v>144</v>
      </c>
      <c r="L202" s="31" t="s">
        <v>145</v>
      </c>
      <c r="M202" s="31" t="s">
        <v>146</v>
      </c>
    </row>
    <row r="203" ht="15.75" spans="1:13">
      <c r="A203" s="31" t="s">
        <v>9</v>
      </c>
      <c r="B203" s="31"/>
      <c r="C203" s="31" t="s">
        <v>631</v>
      </c>
      <c r="D203" s="31" t="s">
        <v>635</v>
      </c>
      <c r="E203" s="31" t="s">
        <v>632</v>
      </c>
      <c r="F203" s="31" t="s">
        <v>83</v>
      </c>
      <c r="G203" s="31" t="s">
        <v>143</v>
      </c>
      <c r="H203" s="31" t="s">
        <v>148</v>
      </c>
      <c r="I203" s="31" t="s">
        <v>149</v>
      </c>
      <c r="J203" s="31" t="s">
        <v>112</v>
      </c>
      <c r="K203" s="31" t="s">
        <v>144</v>
      </c>
      <c r="L203" s="31" t="s">
        <v>145</v>
      </c>
      <c r="M203" s="31" t="s">
        <v>146</v>
      </c>
    </row>
    <row r="204" ht="15.75" spans="1:13">
      <c r="A204" s="33" t="s">
        <v>9</v>
      </c>
      <c r="B204" s="33"/>
      <c r="C204" s="33" t="s">
        <v>31</v>
      </c>
      <c r="D204" s="33" t="s">
        <v>639</v>
      </c>
      <c r="E204" s="33" t="s">
        <v>30</v>
      </c>
      <c r="F204" s="33" t="s">
        <v>173</v>
      </c>
      <c r="G204" s="33" t="s">
        <v>178</v>
      </c>
      <c r="H204" s="33" t="s">
        <v>116</v>
      </c>
      <c r="I204" s="33" t="s">
        <v>117</v>
      </c>
      <c r="J204" s="33" t="s">
        <v>112</v>
      </c>
      <c r="K204" s="33" t="s">
        <v>468</v>
      </c>
      <c r="L204" s="33" t="s">
        <v>469</v>
      </c>
      <c r="M204" s="33" t="s">
        <v>32</v>
      </c>
    </row>
    <row r="205" ht="15.75" spans="1:13">
      <c r="A205" s="31" t="s">
        <v>9</v>
      </c>
      <c r="B205" s="31" t="s">
        <v>1510</v>
      </c>
      <c r="C205" s="31" t="s">
        <v>1736</v>
      </c>
      <c r="D205" s="31" t="s">
        <v>1737</v>
      </c>
      <c r="E205" s="31" t="s">
        <v>1738</v>
      </c>
      <c r="F205" s="31" t="s">
        <v>173</v>
      </c>
      <c r="G205" s="31" t="s">
        <v>1625</v>
      </c>
      <c r="H205" s="31" t="s">
        <v>148</v>
      </c>
      <c r="I205" s="31" t="s">
        <v>149</v>
      </c>
      <c r="J205" s="31" t="s">
        <v>112</v>
      </c>
      <c r="K205" s="31" t="s">
        <v>144</v>
      </c>
      <c r="L205" s="31" t="s">
        <v>1514</v>
      </c>
      <c r="M205" s="31" t="s">
        <v>1515</v>
      </c>
    </row>
    <row r="206" ht="15.75" spans="1:13">
      <c r="A206" s="31" t="s">
        <v>9</v>
      </c>
      <c r="B206" s="31" t="s">
        <v>1510</v>
      </c>
      <c r="C206" s="31" t="s">
        <v>1739</v>
      </c>
      <c r="D206" s="31" t="s">
        <v>1740</v>
      </c>
      <c r="E206" s="31" t="s">
        <v>1741</v>
      </c>
      <c r="F206" s="31" t="s">
        <v>173</v>
      </c>
      <c r="G206" s="31" t="s">
        <v>551</v>
      </c>
      <c r="H206" s="31" t="s">
        <v>148</v>
      </c>
      <c r="I206" s="31" t="s">
        <v>149</v>
      </c>
      <c r="J206" s="31" t="s">
        <v>112</v>
      </c>
      <c r="K206" s="31" t="s">
        <v>144</v>
      </c>
      <c r="L206" s="31" t="s">
        <v>1514</v>
      </c>
      <c r="M206" s="31" t="s">
        <v>1515</v>
      </c>
    </row>
    <row r="207" ht="15.75" spans="1:13">
      <c r="A207" s="31" t="s">
        <v>9</v>
      </c>
      <c r="B207" s="31"/>
      <c r="C207" s="31" t="s">
        <v>641</v>
      </c>
      <c r="D207" s="31" t="s">
        <v>645</v>
      </c>
      <c r="E207" s="31" t="s">
        <v>642</v>
      </c>
      <c r="F207" s="31" t="s">
        <v>83</v>
      </c>
      <c r="G207" s="31" t="s">
        <v>160</v>
      </c>
      <c r="H207" s="31" t="s">
        <v>116</v>
      </c>
      <c r="I207" s="31" t="s">
        <v>117</v>
      </c>
      <c r="J207" s="31" t="s">
        <v>112</v>
      </c>
      <c r="K207" s="31" t="s">
        <v>161</v>
      </c>
      <c r="L207" s="31" t="s">
        <v>162</v>
      </c>
      <c r="M207" s="31" t="s">
        <v>20</v>
      </c>
    </row>
    <row r="208" ht="15.75" spans="1:13">
      <c r="A208" s="31" t="s">
        <v>9</v>
      </c>
      <c r="B208" s="31"/>
      <c r="C208" s="31" t="s">
        <v>646</v>
      </c>
      <c r="D208" s="31" t="s">
        <v>650</v>
      </c>
      <c r="E208" s="31" t="s">
        <v>647</v>
      </c>
      <c r="F208" s="31" t="s">
        <v>173</v>
      </c>
      <c r="G208" s="31" t="s">
        <v>160</v>
      </c>
      <c r="H208" s="31" t="s">
        <v>116</v>
      </c>
      <c r="I208" s="31" t="s">
        <v>117</v>
      </c>
      <c r="J208" s="31" t="s">
        <v>112</v>
      </c>
      <c r="K208" s="31" t="s">
        <v>161</v>
      </c>
      <c r="L208" s="31" t="s">
        <v>162</v>
      </c>
      <c r="M208" s="31" t="s">
        <v>20</v>
      </c>
    </row>
    <row r="209" ht="15.75" spans="1:13">
      <c r="A209" s="31" t="s">
        <v>9</v>
      </c>
      <c r="B209" s="31"/>
      <c r="C209" s="31" t="s">
        <v>651</v>
      </c>
      <c r="D209" s="31" t="s">
        <v>655</v>
      </c>
      <c r="E209" s="31" t="s">
        <v>652</v>
      </c>
      <c r="F209" s="31" t="s">
        <v>173</v>
      </c>
      <c r="G209" s="31" t="s">
        <v>275</v>
      </c>
      <c r="H209" s="31" t="s">
        <v>116</v>
      </c>
      <c r="I209" s="31" t="s">
        <v>117</v>
      </c>
      <c r="J209" s="31" t="s">
        <v>112</v>
      </c>
      <c r="K209" s="31" t="s">
        <v>276</v>
      </c>
      <c r="L209" s="31" t="s">
        <v>277</v>
      </c>
      <c r="M209" s="31" t="s">
        <v>26</v>
      </c>
    </row>
    <row r="210" ht="15.75" spans="1:13">
      <c r="A210" s="31" t="s">
        <v>9</v>
      </c>
      <c r="B210" s="31"/>
      <c r="C210" s="31" t="s">
        <v>915</v>
      </c>
      <c r="D210" s="31" t="s">
        <v>919</v>
      </c>
      <c r="E210" s="31" t="s">
        <v>916</v>
      </c>
      <c r="F210" s="31" t="s">
        <v>173</v>
      </c>
      <c r="G210" s="31" t="s">
        <v>178</v>
      </c>
      <c r="H210" s="31" t="s">
        <v>116</v>
      </c>
      <c r="I210" s="31" t="s">
        <v>117</v>
      </c>
      <c r="J210" s="31" t="s">
        <v>112</v>
      </c>
      <c r="K210" s="31" t="s">
        <v>829</v>
      </c>
      <c r="L210" s="31" t="s">
        <v>875</v>
      </c>
      <c r="M210" s="31" t="s">
        <v>876</v>
      </c>
    </row>
    <row r="211" ht="15.75" spans="1:13">
      <c r="A211" s="31" t="s">
        <v>9</v>
      </c>
      <c r="B211" s="31"/>
      <c r="C211" s="31" t="s">
        <v>921</v>
      </c>
      <c r="D211" s="31" t="s">
        <v>925</v>
      </c>
      <c r="E211" s="31" t="s">
        <v>922</v>
      </c>
      <c r="F211" s="31" t="s">
        <v>173</v>
      </c>
      <c r="G211" s="31" t="s">
        <v>275</v>
      </c>
      <c r="H211" s="31" t="s">
        <v>116</v>
      </c>
      <c r="I211" s="31" t="s">
        <v>117</v>
      </c>
      <c r="J211" s="31" t="s">
        <v>112</v>
      </c>
      <c r="K211" s="31" t="s">
        <v>829</v>
      </c>
      <c r="L211" s="31" t="s">
        <v>875</v>
      </c>
      <c r="M211" s="31" t="s">
        <v>876</v>
      </c>
    </row>
    <row r="212" ht="15.75" spans="1:13">
      <c r="A212" s="31" t="s">
        <v>9</v>
      </c>
      <c r="B212" s="31"/>
      <c r="C212" s="31" t="s">
        <v>926</v>
      </c>
      <c r="D212" s="31" t="s">
        <v>930</v>
      </c>
      <c r="E212" s="31" t="s">
        <v>927</v>
      </c>
      <c r="F212" s="31" t="s">
        <v>83</v>
      </c>
      <c r="G212" s="31" t="s">
        <v>275</v>
      </c>
      <c r="H212" s="31" t="s">
        <v>116</v>
      </c>
      <c r="I212" s="31" t="s">
        <v>117</v>
      </c>
      <c r="J212" s="31" t="s">
        <v>112</v>
      </c>
      <c r="K212" s="31" t="s">
        <v>829</v>
      </c>
      <c r="L212" s="31" t="s">
        <v>875</v>
      </c>
      <c r="M212" s="31" t="s">
        <v>876</v>
      </c>
    </row>
    <row r="213" ht="15.75" spans="1:13">
      <c r="A213" s="31" t="s">
        <v>9</v>
      </c>
      <c r="B213" s="31"/>
      <c r="C213" s="31" t="s">
        <v>1365</v>
      </c>
      <c r="D213" s="31" t="s">
        <v>1742</v>
      </c>
      <c r="E213" s="31" t="s">
        <v>1366</v>
      </c>
      <c r="F213" s="31" t="s">
        <v>173</v>
      </c>
      <c r="G213" s="31" t="s">
        <v>963</v>
      </c>
      <c r="H213" s="31" t="s">
        <v>304</v>
      </c>
      <c r="I213" s="31" t="s">
        <v>305</v>
      </c>
      <c r="J213" s="31" t="s">
        <v>112</v>
      </c>
      <c r="K213" s="31" t="s">
        <v>113</v>
      </c>
      <c r="L213" s="31" t="s">
        <v>964</v>
      </c>
      <c r="M213" s="31" t="s">
        <v>16</v>
      </c>
    </row>
    <row r="214" ht="15.75" spans="1:13">
      <c r="A214" s="31" t="s">
        <v>9</v>
      </c>
      <c r="B214" s="31"/>
      <c r="C214" s="31" t="s">
        <v>859</v>
      </c>
      <c r="D214" s="31" t="s">
        <v>863</v>
      </c>
      <c r="E214" s="31" t="s">
        <v>860</v>
      </c>
      <c r="F214" s="31" t="s">
        <v>173</v>
      </c>
      <c r="G214" s="31" t="s">
        <v>275</v>
      </c>
      <c r="H214" s="31" t="s">
        <v>116</v>
      </c>
      <c r="I214" s="31" t="s">
        <v>117</v>
      </c>
      <c r="J214" s="31" t="s">
        <v>112</v>
      </c>
      <c r="K214" s="31" t="s">
        <v>829</v>
      </c>
      <c r="L214" s="31" t="s">
        <v>830</v>
      </c>
      <c r="M214" s="31" t="s">
        <v>13</v>
      </c>
    </row>
    <row r="215" ht="15.75" spans="1:13">
      <c r="A215" s="31" t="s">
        <v>9</v>
      </c>
      <c r="B215" s="31" t="s">
        <v>1496</v>
      </c>
      <c r="C215" s="31" t="s">
        <v>1743</v>
      </c>
      <c r="D215" s="31" t="s">
        <v>1744</v>
      </c>
      <c r="E215" s="31" t="s">
        <v>1745</v>
      </c>
      <c r="F215" s="31" t="s">
        <v>173</v>
      </c>
      <c r="G215" s="31" t="s">
        <v>1578</v>
      </c>
      <c r="H215" s="31" t="s">
        <v>148</v>
      </c>
      <c r="I215" s="31" t="s">
        <v>149</v>
      </c>
      <c r="J215" s="31" t="s">
        <v>112</v>
      </c>
      <c r="K215" s="31" t="s">
        <v>144</v>
      </c>
      <c r="L215" s="31" t="s">
        <v>1500</v>
      </c>
      <c r="M215" s="31" t="s">
        <v>1501</v>
      </c>
    </row>
    <row r="216" ht="15.75" spans="1:13">
      <c r="A216" s="31" t="s">
        <v>9</v>
      </c>
      <c r="B216" s="31" t="s">
        <v>1502</v>
      </c>
      <c r="C216" s="31" t="s">
        <v>1746</v>
      </c>
      <c r="D216" s="31" t="s">
        <v>1747</v>
      </c>
      <c r="E216" s="31" t="s">
        <v>1748</v>
      </c>
      <c r="F216" s="31" t="s">
        <v>173</v>
      </c>
      <c r="G216" s="31" t="s">
        <v>1506</v>
      </c>
      <c r="H216" s="31" t="s">
        <v>148</v>
      </c>
      <c r="I216" s="31" t="s">
        <v>149</v>
      </c>
      <c r="J216" s="31" t="s">
        <v>112</v>
      </c>
      <c r="K216" s="31" t="s">
        <v>144</v>
      </c>
      <c r="L216" s="31" t="s">
        <v>1529</v>
      </c>
      <c r="M216" s="31" t="s">
        <v>1530</v>
      </c>
    </row>
    <row r="217" ht="15.75" spans="1:13">
      <c r="A217" s="31" t="s">
        <v>9</v>
      </c>
      <c r="B217" s="31"/>
      <c r="C217" s="31" t="s">
        <v>864</v>
      </c>
      <c r="D217" s="31" t="s">
        <v>868</v>
      </c>
      <c r="E217" s="31" t="s">
        <v>865</v>
      </c>
      <c r="F217" s="31" t="s">
        <v>173</v>
      </c>
      <c r="G217" s="31" t="s">
        <v>275</v>
      </c>
      <c r="H217" s="31" t="s">
        <v>116</v>
      </c>
      <c r="I217" s="31" t="s">
        <v>117</v>
      </c>
      <c r="J217" s="31" t="s">
        <v>112</v>
      </c>
      <c r="K217" s="31" t="s">
        <v>829</v>
      </c>
      <c r="L217" s="31" t="s">
        <v>830</v>
      </c>
      <c r="M217" s="31" t="s">
        <v>13</v>
      </c>
    </row>
    <row r="218" ht="14.25" spans="1:13">
      <c r="A218" s="34"/>
      <c r="B218" s="34"/>
      <c r="C218" s="34"/>
      <c r="D218" s="34"/>
      <c r="E218" s="34"/>
      <c r="F218" s="34"/>
      <c r="G218" s="34"/>
      <c r="H218" s="34"/>
      <c r="I218" s="34"/>
      <c r="J218" s="34"/>
      <c r="K218" s="34"/>
      <c r="L218" s="34"/>
      <c r="M218" s="34"/>
    </row>
    <row r="219" ht="14.25" spans="1:13">
      <c r="A219" s="34"/>
      <c r="B219" s="34"/>
      <c r="C219" s="34"/>
      <c r="D219" s="34"/>
      <c r="E219" s="34"/>
      <c r="F219" s="34"/>
      <c r="G219" s="34"/>
      <c r="H219" s="34"/>
      <c r="I219" s="34"/>
      <c r="J219" s="34"/>
      <c r="K219" s="34"/>
      <c r="L219" s="34"/>
      <c r="M219" s="34"/>
    </row>
    <row r="220" ht="14.25" spans="1:13">
      <c r="A220" s="34"/>
      <c r="B220" s="34"/>
      <c r="C220" s="34"/>
      <c r="D220" s="34"/>
      <c r="E220" s="34"/>
      <c r="F220" s="34"/>
      <c r="G220" s="34"/>
      <c r="H220" s="34"/>
      <c r="I220" s="34"/>
      <c r="J220" s="34"/>
      <c r="K220" s="34"/>
      <c r="L220" s="34" t="s">
        <v>1749</v>
      </c>
      <c r="M220" s="34"/>
    </row>
    <row r="221" ht="14.25" spans="1:13">
      <c r="A221" s="34"/>
      <c r="B221" s="34"/>
      <c r="C221" s="34"/>
      <c r="D221" s="34"/>
      <c r="E221" s="34"/>
      <c r="F221" s="34"/>
      <c r="G221" s="34"/>
      <c r="H221" s="34"/>
      <c r="I221" s="34"/>
      <c r="J221" s="34"/>
      <c r="K221" s="34"/>
      <c r="L221" s="34"/>
      <c r="M221" s="34"/>
    </row>
    <row r="222" ht="14.25" spans="1:13">
      <c r="A222" s="34"/>
      <c r="B222" s="34"/>
      <c r="C222" s="34"/>
      <c r="D222" s="34"/>
      <c r="E222" s="34"/>
      <c r="F222" s="34"/>
      <c r="G222" s="34"/>
      <c r="H222" s="34"/>
      <c r="I222" s="34"/>
      <c r="J222" s="34"/>
      <c r="K222" s="34"/>
      <c r="L222" s="34"/>
      <c r="M222" s="34"/>
    </row>
    <row r="223" ht="14.25" spans="1:13">
      <c r="A223" s="34"/>
      <c r="B223" s="34"/>
      <c r="C223" s="34"/>
      <c r="D223" s="34"/>
      <c r="E223" s="34"/>
      <c r="F223" s="34"/>
      <c r="G223" s="34"/>
      <c r="H223" s="34"/>
      <c r="I223" s="34"/>
      <c r="J223" s="34"/>
      <c r="K223" s="34"/>
      <c r="L223" s="34"/>
      <c r="M223" s="34"/>
    </row>
    <row r="224" ht="14.25" spans="1:13">
      <c r="A224" s="34"/>
      <c r="B224" s="34"/>
      <c r="C224" s="34"/>
      <c r="D224" s="34"/>
      <c r="E224" s="34"/>
      <c r="F224" s="34"/>
      <c r="G224" s="34"/>
      <c r="H224" s="34"/>
      <c r="I224" s="34"/>
      <c r="J224" s="34"/>
      <c r="K224" s="34"/>
      <c r="L224" s="34"/>
      <c r="M224" s="34"/>
    </row>
    <row r="225" ht="14.25" spans="1:13">
      <c r="A225" s="34"/>
      <c r="B225" s="34"/>
      <c r="C225" s="34"/>
      <c r="D225" s="34"/>
      <c r="E225" s="34"/>
      <c r="F225" s="34"/>
      <c r="G225" s="34"/>
      <c r="H225" s="34"/>
      <c r="I225" s="34"/>
      <c r="J225" s="34"/>
      <c r="K225" s="34"/>
      <c r="L225" s="34"/>
      <c r="M225" s="34"/>
    </row>
  </sheetData>
  <sheetProtection formatCells="0" formatColumns="0" formatRows="0" insertRows="0" insertColumns="0" insertHyperlinks="0" deleteColumns="0" deleteRows="0" sort="0" autoFilter="0" pivotTables="0"/>
  <pageMargins left="0.75" right="0.75" top="1" bottom="1" header="0.511805555555556" footer="0.511805555555556"/>
  <headerFooter/>
  <drawing r:id="rId1"/>
  <picture r:id="cco-watermark"/>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57"/>
  <sheetViews>
    <sheetView workbookViewId="0">
      <selection activeCell="A1" sqref="A1"/>
    </sheetView>
  </sheetViews>
  <sheetFormatPr defaultColWidth="9" defaultRowHeight="13.5" outlineLevelCol="5"/>
  <cols>
    <col min="1" max="1" customWidth="true" width="14.35" collapsed="false"/>
    <col min="2" max="2" customWidth="true" width="13.975" collapsed="false"/>
  </cols>
  <sheetData>
    <row r="1" spans="1:6">
      <c r="A1" t="s">
        <v>85</v>
      </c>
      <c r="B1" t="s">
        <v>86</v>
      </c>
      <c r="C1" s="25" t="s">
        <v>87</v>
      </c>
      <c r="D1" s="25" t="s">
        <v>93</v>
      </c>
      <c r="E1" s="25" t="s">
        <v>90</v>
      </c>
    </row>
    <row r="2" spans="1:6">
      <c r="A2" t="s">
        <v>91</v>
      </c>
      <c r="B2" t="s">
        <v>209</v>
      </c>
      <c r="C2" s="25" t="s">
        <v>108</v>
      </c>
      <c r="D2" s="25" t="s">
        <v>134</v>
      </c>
      <c r="E2" s="25" t="s">
        <v>110</v>
      </c>
    </row>
    <row r="3" spans="1:6">
      <c r="A3" t="s">
        <v>132</v>
      </c>
      <c r="B3" t="s">
        <v>267</v>
      </c>
      <c r="C3" s="25" t="s">
        <v>97</v>
      </c>
      <c r="D3" s="25" t="s">
        <v>88</v>
      </c>
      <c r="E3" s="25" t="s">
        <v>99</v>
      </c>
    </row>
    <row r="4" spans="1:6">
      <c r="A4" t="s">
        <v>106</v>
      </c>
      <c r="B4" t="s">
        <v>183</v>
      </c>
    </row>
    <row r="5" spans="1:6">
      <c r="A5" t="s">
        <v>254</v>
      </c>
      <c r="B5" t="s">
        <v>192</v>
      </c>
      <c r="F5" s="26"/>
    </row>
    <row r="6" spans="1:6">
      <c r="A6" t="s">
        <v>157</v>
      </c>
      <c r="B6" t="s">
        <v>92</v>
      </c>
    </row>
    <row r="7" spans="1:6">
      <c r="A7" t="s">
        <v>95</v>
      </c>
      <c r="B7" t="s">
        <v>328</v>
      </c>
    </row>
    <row r="8" spans="1:6">
      <c r="A8" t="s">
        <v>167</v>
      </c>
      <c r="B8" t="s">
        <v>475</v>
      </c>
    </row>
    <row r="9" spans="1:6">
      <c r="A9" t="s">
        <v>218</v>
      </c>
      <c r="B9" t="s">
        <v>133</v>
      </c>
    </row>
    <row r="10" spans="1:6">
      <c r="A10" t="s">
        <v>119</v>
      </c>
      <c r="B10" t="s">
        <v>480</v>
      </c>
    </row>
    <row r="11" spans="1:6">
      <c r="A11" t="s">
        <v>141</v>
      </c>
      <c r="B11" t="s">
        <v>755</v>
      </c>
    </row>
    <row r="12" spans="1:6">
      <c r="B12" t="s">
        <v>203</v>
      </c>
    </row>
    <row r="13" spans="1:6">
      <c r="B13" t="s">
        <v>281</v>
      </c>
    </row>
    <row r="14" spans="1:6">
      <c r="B14" t="s">
        <v>107</v>
      </c>
    </row>
    <row r="15" spans="1:6">
      <c r="B15" t="s">
        <v>170</v>
      </c>
    </row>
    <row r="16" spans="1:6">
      <c r="B16" t="s">
        <v>283</v>
      </c>
    </row>
    <row r="17" spans="2:2">
      <c r="B17" t="s">
        <v>249</v>
      </c>
    </row>
    <row r="18" spans="2:2">
      <c r="B18" t="s">
        <v>118</v>
      </c>
    </row>
    <row r="19" spans="2:2">
      <c r="B19" t="s">
        <v>196</v>
      </c>
    </row>
    <row r="20" spans="2:2">
      <c r="B20" t="s">
        <v>383</v>
      </c>
    </row>
    <row r="21" spans="2:2">
      <c r="B21" t="s">
        <v>255</v>
      </c>
    </row>
    <row r="22" spans="2:2">
      <c r="B22" t="s">
        <v>457</v>
      </c>
    </row>
    <row r="23" spans="2:2">
      <c r="B23" t="s">
        <v>360</v>
      </c>
    </row>
    <row r="24" spans="2:2">
      <c r="B24" t="s">
        <v>286</v>
      </c>
    </row>
    <row r="25" spans="2:2">
      <c r="B25" t="s">
        <v>158</v>
      </c>
    </row>
    <row r="26" spans="2:2">
      <c r="B26" t="s">
        <v>188</v>
      </c>
    </row>
    <row r="27" spans="2:2">
      <c r="B27" t="s">
        <v>222</v>
      </c>
    </row>
    <row r="28" spans="2:2">
      <c r="B28" t="s">
        <v>284</v>
      </c>
    </row>
    <row r="29" spans="2:2">
      <c r="B29" t="s">
        <v>166</v>
      </c>
    </row>
    <row r="30" spans="2:2">
      <c r="B30" t="s">
        <v>285</v>
      </c>
    </row>
    <row r="31" spans="2:2">
      <c r="B31" t="s">
        <v>377</v>
      </c>
    </row>
    <row r="32" spans="2:2">
      <c r="B32" t="s">
        <v>96</v>
      </c>
    </row>
    <row r="33" spans="2:2">
      <c r="B33" t="s">
        <v>176</v>
      </c>
    </row>
    <row r="34" spans="2:2">
      <c r="B34" t="s">
        <v>1750</v>
      </c>
    </row>
    <row r="35" spans="2:2">
      <c r="B35" t="s">
        <v>193</v>
      </c>
    </row>
    <row r="36" spans="2:2">
      <c r="B36" t="s">
        <v>136</v>
      </c>
    </row>
    <row r="37" spans="2:2">
      <c r="B37" t="s">
        <v>1751</v>
      </c>
    </row>
    <row r="38" spans="2:2">
      <c r="B38" t="s">
        <v>168</v>
      </c>
    </row>
    <row r="39" spans="2:2">
      <c r="B39" t="s">
        <v>297</v>
      </c>
    </row>
    <row r="40" spans="2:2">
      <c r="B40" t="s">
        <v>717</v>
      </c>
    </row>
    <row r="41" spans="2:2">
      <c r="B41" t="s">
        <v>316</v>
      </c>
    </row>
    <row r="42" spans="2:2">
      <c r="B42" t="s">
        <v>219</v>
      </c>
    </row>
    <row r="43" spans="2:2">
      <c r="B43" t="s">
        <v>294</v>
      </c>
    </row>
    <row r="44" spans="2:2">
      <c r="B44" t="s">
        <v>530</v>
      </c>
    </row>
    <row r="45" spans="2:2">
      <c r="B45" t="s">
        <v>291</v>
      </c>
    </row>
    <row r="46" spans="2:2">
      <c r="B46" t="s">
        <v>120</v>
      </c>
    </row>
    <row r="47" spans="2:2">
      <c r="B47" t="s">
        <v>211</v>
      </c>
    </row>
    <row r="48" spans="2:2">
      <c r="B48" t="s">
        <v>212</v>
      </c>
    </row>
    <row r="49" spans="2:2">
      <c r="B49" t="s">
        <v>296</v>
      </c>
    </row>
    <row r="50" spans="2:2">
      <c r="B50" t="s">
        <v>538</v>
      </c>
    </row>
    <row r="51" spans="2:2">
      <c r="B51" t="s">
        <v>150</v>
      </c>
    </row>
    <row r="52" spans="2:2">
      <c r="B52" t="s">
        <v>759</v>
      </c>
    </row>
    <row r="53" spans="2:2">
      <c r="B53" t="s">
        <v>479</v>
      </c>
    </row>
    <row r="54" spans="2:2">
      <c r="B54" t="s">
        <v>761</v>
      </c>
    </row>
    <row r="55" spans="2:2">
      <c r="B55" t="s">
        <v>763</v>
      </c>
    </row>
    <row r="56" spans="2:2">
      <c r="B56" t="s">
        <v>142</v>
      </c>
    </row>
    <row r="57" spans="2:2">
      <c r="B57" t="s">
        <v>1752</v>
      </c>
    </row>
  </sheetData>
  <sheetProtection formatCells="0" formatColumns="0" formatRows="0" insertRows="0" insertColumns="0" insertHyperlinks="0" deleteColumns="0" deleteRows="0" sort="0" autoFilter="0" pivotTables="0"/>
  <dataValidations count="1">
    <dataValidation type="list" allowBlank="1" showErrorMessage="1" errorTitle="错误提示" error="请输入下拉列表中的值" sqref="F5">
      <formula1>下拉选项库勿动!$E$1:$E$3</formula1>
    </dataValidation>
  </dataValidations>
  <pageMargins left="0.75" right="0.75" top="1" bottom="1" header="0.5" footer="0.5"/>
  <headerFooter/>
  <picture r:id="cco-watermark"/>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8"/>
  <sheetViews>
    <sheetView topLeftCell="D745" workbookViewId="0">
      <selection activeCell="D745" sqref="D745:D852"/>
    </sheetView>
  </sheetViews>
  <sheetFormatPr defaultColWidth="9" defaultRowHeight="14.25" outlineLevelCol="7"/>
  <cols>
    <col min="1" max="1" customWidth="true" style="1" width="12.9" collapsed="false"/>
    <col min="2" max="2" customWidth="true" style="1" width="19.6416666666667" collapsed="false"/>
    <col min="3" max="3" customWidth="true" style="1" width="39.0916666666667" collapsed="false"/>
    <col min="4" max="7" customWidth="true" style="2" width="16.1916666666667" collapsed="false"/>
    <col min="8" max="8" customWidth="true" style="3" width="64.2083333333333" collapsed="false"/>
  </cols>
  <sheetData>
    <row r="1" ht="43.35" customHeight="1" spans="1:8">
      <c r="A1" s="4"/>
      <c r="B1" s="4"/>
      <c r="C1" s="5" t="s">
        <v>1753</v>
      </c>
      <c r="D1" s="6" t="s">
        <v>1754</v>
      </c>
      <c r="E1" s="5"/>
      <c r="F1" s="5"/>
      <c r="G1" s="5"/>
      <c r="H1" s="7"/>
    </row>
    <row r="2" ht="13.5" spans="1:8">
      <c r="A2" s="8" t="s">
        <v>1755</v>
      </c>
      <c r="B2" s="8" t="s">
        <v>1756</v>
      </c>
      <c r="C2" s="8" t="s">
        <v>1757</v>
      </c>
      <c r="D2" s="9" t="s">
        <v>1758</v>
      </c>
      <c r="E2" s="9" t="s">
        <v>1759</v>
      </c>
      <c r="F2" s="9" t="s">
        <v>1760</v>
      </c>
      <c r="G2" s="8" t="s">
        <v>67</v>
      </c>
      <c r="H2" s="10" t="s">
        <v>1494</v>
      </c>
    </row>
    <row r="3" spans="1:8">
      <c r="A3" s="11" t="s">
        <v>1761</v>
      </c>
      <c r="B3" s="11" t="s">
        <v>85</v>
      </c>
      <c r="C3" s="11" t="s">
        <v>86</v>
      </c>
      <c r="D3" s="12" t="s">
        <v>99</v>
      </c>
      <c r="E3" s="12" t="s">
        <v>90</v>
      </c>
      <c r="F3" s="12" t="s">
        <v>99</v>
      </c>
      <c r="G3" s="13" t="s">
        <v>87</v>
      </c>
      <c r="H3" s="14"/>
    </row>
    <row r="4" spans="1:8">
      <c r="A4" s="11"/>
      <c r="B4" s="11"/>
      <c r="C4" s="15" t="s">
        <v>209</v>
      </c>
      <c r="D4" s="12" t="s">
        <v>90</v>
      </c>
      <c r="E4" s="12" t="s">
        <v>99</v>
      </c>
      <c r="F4" s="12" t="s">
        <v>99</v>
      </c>
      <c r="G4" s="13" t="s">
        <v>108</v>
      </c>
      <c r="H4" s="16" t="s">
        <v>1762</v>
      </c>
    </row>
    <row r="5" spans="1:8">
      <c r="A5" s="11"/>
      <c r="B5" s="11"/>
      <c r="C5" s="17" t="s">
        <v>267</v>
      </c>
      <c r="D5" s="12" t="s">
        <v>99</v>
      </c>
      <c r="E5" s="12" t="s">
        <v>90</v>
      </c>
      <c r="F5" s="12" t="s">
        <v>99</v>
      </c>
      <c r="G5" s="13" t="s">
        <v>87</v>
      </c>
      <c r="H5" s="14"/>
    </row>
    <row r="6" spans="1:8">
      <c r="A6" s="11"/>
      <c r="B6" s="11"/>
      <c r="C6" s="17" t="s">
        <v>183</v>
      </c>
      <c r="D6" s="12" t="s">
        <v>110</v>
      </c>
      <c r="E6" s="12" t="s">
        <v>110</v>
      </c>
      <c r="F6" s="12" t="s">
        <v>90</v>
      </c>
      <c r="G6" s="13" t="s">
        <v>108</v>
      </c>
      <c r="H6" s="14"/>
    </row>
    <row r="7" spans="1:8">
      <c r="A7" s="11"/>
      <c r="B7" s="11"/>
      <c r="C7" s="17" t="s">
        <v>192</v>
      </c>
      <c r="D7" s="12" t="s">
        <v>99</v>
      </c>
      <c r="E7" s="12" t="s">
        <v>90</v>
      </c>
      <c r="F7" s="12" t="s">
        <v>110</v>
      </c>
      <c r="G7" s="13" t="s">
        <v>108</v>
      </c>
      <c r="H7" s="14"/>
    </row>
    <row r="8" spans="1:8">
      <c r="A8" s="11"/>
      <c r="B8" s="11" t="s">
        <v>91</v>
      </c>
      <c r="C8" s="11" t="s">
        <v>92</v>
      </c>
      <c r="D8" s="12" t="s">
        <v>99</v>
      </c>
      <c r="E8" s="12" t="s">
        <v>90</v>
      </c>
      <c r="F8" s="12" t="s">
        <v>99</v>
      </c>
      <c r="G8" s="13" t="s">
        <v>87</v>
      </c>
      <c r="H8" s="14"/>
    </row>
    <row r="9" spans="1:8">
      <c r="A9" s="11"/>
      <c r="B9" s="11"/>
      <c r="C9" s="17" t="s">
        <v>328</v>
      </c>
      <c r="D9" s="12" t="s">
        <v>99</v>
      </c>
      <c r="E9" s="12" t="s">
        <v>90</v>
      </c>
      <c r="F9" s="12" t="s">
        <v>99</v>
      </c>
      <c r="G9" s="13" t="s">
        <v>87</v>
      </c>
      <c r="H9" s="14"/>
    </row>
    <row r="10" spans="1:8">
      <c r="A10" s="11"/>
      <c r="B10" s="11"/>
      <c r="C10" s="17" t="s">
        <v>475</v>
      </c>
      <c r="D10" s="12" t="s">
        <v>110</v>
      </c>
      <c r="E10" s="12" t="s">
        <v>110</v>
      </c>
      <c r="F10" s="12" t="s">
        <v>110</v>
      </c>
      <c r="G10" s="13" t="s">
        <v>108</v>
      </c>
      <c r="H10" s="14"/>
    </row>
    <row r="11" spans="1:8">
      <c r="A11" s="11"/>
      <c r="B11" s="11" t="s">
        <v>132</v>
      </c>
      <c r="C11" s="11" t="s">
        <v>133</v>
      </c>
      <c r="D11" s="12" t="s">
        <v>110</v>
      </c>
      <c r="E11" s="12" t="s">
        <v>110</v>
      </c>
      <c r="F11" s="12" t="s">
        <v>110</v>
      </c>
      <c r="G11" s="13" t="s">
        <v>108</v>
      </c>
      <c r="H11" s="14"/>
    </row>
    <row r="12" spans="1:8">
      <c r="A12" s="11"/>
      <c r="B12" s="11"/>
      <c r="C12" s="17" t="s">
        <v>480</v>
      </c>
      <c r="D12" s="12" t="s">
        <v>99</v>
      </c>
      <c r="E12" s="12" t="s">
        <v>90</v>
      </c>
      <c r="F12" s="12" t="s">
        <v>99</v>
      </c>
      <c r="G12" s="13" t="s">
        <v>87</v>
      </c>
      <c r="H12" s="14"/>
    </row>
    <row r="13" spans="1:8">
      <c r="A13" s="11"/>
      <c r="B13" s="11"/>
      <c r="C13" s="17" t="s">
        <v>755</v>
      </c>
      <c r="D13" s="12" t="s">
        <v>99</v>
      </c>
      <c r="E13" s="12" t="s">
        <v>90</v>
      </c>
      <c r="F13" s="12" t="s">
        <v>99</v>
      </c>
      <c r="G13" s="13" t="s">
        <v>87</v>
      </c>
      <c r="H13" s="14"/>
    </row>
    <row r="14" spans="1:8">
      <c r="A14" s="11"/>
      <c r="B14" s="11"/>
      <c r="C14" s="17" t="s">
        <v>203</v>
      </c>
      <c r="D14" s="12" t="s">
        <v>110</v>
      </c>
      <c r="E14" s="12" t="s">
        <v>90</v>
      </c>
      <c r="F14" s="12" t="s">
        <v>99</v>
      </c>
      <c r="G14" s="13" t="s">
        <v>108</v>
      </c>
      <c r="H14" s="16" t="s">
        <v>1763</v>
      </c>
    </row>
    <row r="15" spans="1:8">
      <c r="A15" s="11" t="s">
        <v>1764</v>
      </c>
      <c r="B15" s="18" t="s">
        <v>106</v>
      </c>
      <c r="C15" s="11" t="s">
        <v>281</v>
      </c>
      <c r="D15" s="12" t="s">
        <v>99</v>
      </c>
      <c r="E15" s="12" t="s">
        <v>90</v>
      </c>
      <c r="F15" s="12" t="s">
        <v>99</v>
      </c>
      <c r="G15" s="13" t="s">
        <v>87</v>
      </c>
      <c r="H15" s="14"/>
    </row>
    <row r="16" spans="1:8">
      <c r="A16" s="11"/>
      <c r="B16" s="19"/>
      <c r="C16" s="15" t="s">
        <v>107</v>
      </c>
      <c r="D16" s="12" t="s">
        <v>90</v>
      </c>
      <c r="E16" s="12" t="s">
        <v>99</v>
      </c>
      <c r="F16" s="12" t="s">
        <v>99</v>
      </c>
      <c r="G16" s="13" t="s">
        <v>108</v>
      </c>
      <c r="H16" s="16" t="s">
        <v>1765</v>
      </c>
    </row>
    <row r="17" spans="1:8">
      <c r="A17" s="11"/>
      <c r="B17" s="19"/>
      <c r="C17" s="17" t="s">
        <v>170</v>
      </c>
      <c r="D17" s="12" t="s">
        <v>110</v>
      </c>
      <c r="E17" s="12" t="s">
        <v>110</v>
      </c>
      <c r="F17" s="20" t="s">
        <v>99</v>
      </c>
      <c r="G17" s="13" t="s">
        <v>108</v>
      </c>
      <c r="H17" s="14"/>
    </row>
    <row r="18" spans="1:8">
      <c r="A18" s="11"/>
      <c r="B18" s="19"/>
      <c r="C18" s="17" t="s">
        <v>283</v>
      </c>
      <c r="D18" s="12" t="s">
        <v>110</v>
      </c>
      <c r="E18" s="12" t="s">
        <v>90</v>
      </c>
      <c r="F18" s="20" t="s">
        <v>99</v>
      </c>
      <c r="G18" s="13" t="s">
        <v>108</v>
      </c>
      <c r="H18" s="14"/>
    </row>
    <row r="19" spans="1:8">
      <c r="A19" s="11"/>
      <c r="B19" s="19"/>
      <c r="C19" s="17" t="s">
        <v>249</v>
      </c>
      <c r="D19" s="12" t="s">
        <v>99</v>
      </c>
      <c r="E19" s="12" t="s">
        <v>90</v>
      </c>
      <c r="F19" s="12" t="s">
        <v>99</v>
      </c>
      <c r="G19" s="13" t="s">
        <v>87</v>
      </c>
      <c r="H19" s="16" t="s">
        <v>1766</v>
      </c>
    </row>
    <row r="20" ht="28.5" spans="1:8">
      <c r="A20" s="11"/>
      <c r="B20" s="19"/>
      <c r="C20" s="15" t="s">
        <v>118</v>
      </c>
      <c r="D20" s="12" t="s">
        <v>90</v>
      </c>
      <c r="E20" s="12" t="s">
        <v>99</v>
      </c>
      <c r="F20" s="12" t="s">
        <v>99</v>
      </c>
      <c r="G20" s="13" t="s">
        <v>108</v>
      </c>
      <c r="H20" s="16" t="s">
        <v>1767</v>
      </c>
    </row>
    <row r="21" spans="1:8">
      <c r="A21" s="11"/>
      <c r="B21" s="19"/>
      <c r="C21" s="15" t="s">
        <v>196</v>
      </c>
      <c r="D21" s="12" t="s">
        <v>99</v>
      </c>
      <c r="E21" s="12" t="s">
        <v>90</v>
      </c>
      <c r="F21" s="12" t="s">
        <v>99</v>
      </c>
      <c r="G21" s="13" t="s">
        <v>87</v>
      </c>
      <c r="H21" s="16" t="s">
        <v>1768</v>
      </c>
    </row>
    <row r="22" ht="42.75" spans="1:8">
      <c r="A22" s="11"/>
      <c r="B22" s="21"/>
      <c r="C22" s="15" t="s">
        <v>383</v>
      </c>
      <c r="D22" s="12" t="s">
        <v>90</v>
      </c>
      <c r="E22" s="12" t="s">
        <v>99</v>
      </c>
      <c r="F22" s="12" t="s">
        <v>90</v>
      </c>
      <c r="G22" s="13" t="s">
        <v>97</v>
      </c>
      <c r="H22" s="16" t="s">
        <v>1769</v>
      </c>
    </row>
    <row r="23" spans="1:8">
      <c r="A23" s="11"/>
      <c r="B23" s="11" t="s">
        <v>254</v>
      </c>
      <c r="C23" s="11" t="s">
        <v>255</v>
      </c>
      <c r="D23" s="12" t="s">
        <v>110</v>
      </c>
      <c r="E23" s="20" t="s">
        <v>110</v>
      </c>
      <c r="F23" s="20" t="s">
        <v>99</v>
      </c>
      <c r="G23" s="13" t="s">
        <v>108</v>
      </c>
      <c r="H23" s="14"/>
    </row>
    <row r="24" spans="1:8">
      <c r="A24" s="11"/>
      <c r="B24" s="11"/>
      <c r="C24" s="17" t="s">
        <v>457</v>
      </c>
      <c r="D24" s="12" t="s">
        <v>110</v>
      </c>
      <c r="E24" s="20" t="s">
        <v>90</v>
      </c>
      <c r="F24" s="20" t="s">
        <v>99</v>
      </c>
      <c r="G24" s="13" t="s">
        <v>108</v>
      </c>
      <c r="H24" s="14"/>
    </row>
    <row r="25" spans="1:8">
      <c r="A25" s="11"/>
      <c r="B25" s="11"/>
      <c r="C25" s="17" t="s">
        <v>360</v>
      </c>
      <c r="D25" s="12" t="s">
        <v>110</v>
      </c>
      <c r="E25" s="12" t="s">
        <v>90</v>
      </c>
      <c r="F25" s="20" t="s">
        <v>99</v>
      </c>
      <c r="G25" s="13" t="s">
        <v>108</v>
      </c>
      <c r="H25" s="14"/>
    </row>
    <row r="26" spans="1:8">
      <c r="A26" s="11"/>
      <c r="B26" s="11"/>
      <c r="C26" s="17" t="s">
        <v>286</v>
      </c>
      <c r="D26" s="12" t="s">
        <v>99</v>
      </c>
      <c r="E26" s="20" t="s">
        <v>90</v>
      </c>
      <c r="F26" s="20" t="s">
        <v>99</v>
      </c>
      <c r="G26" s="13" t="s">
        <v>87</v>
      </c>
      <c r="H26" s="14"/>
    </row>
    <row r="27" spans="1:8">
      <c r="A27" s="11"/>
      <c r="B27" s="11" t="s">
        <v>157</v>
      </c>
      <c r="C27" s="11" t="s">
        <v>158</v>
      </c>
      <c r="D27" s="12" t="s">
        <v>90</v>
      </c>
      <c r="E27" s="20" t="s">
        <v>99</v>
      </c>
      <c r="F27" s="20" t="s">
        <v>110</v>
      </c>
      <c r="G27" s="13" t="s">
        <v>108</v>
      </c>
      <c r="H27" s="14"/>
    </row>
    <row r="28" spans="1:8">
      <c r="A28" s="11"/>
      <c r="B28" s="11"/>
      <c r="C28" s="15" t="s">
        <v>188</v>
      </c>
      <c r="D28" s="12" t="s">
        <v>110</v>
      </c>
      <c r="E28" s="12" t="s">
        <v>110</v>
      </c>
      <c r="F28" s="12" t="s">
        <v>99</v>
      </c>
      <c r="G28" s="13" t="s">
        <v>108</v>
      </c>
      <c r="H28" s="16" t="s">
        <v>1770</v>
      </c>
    </row>
    <row r="29" ht="28.5" spans="1:8">
      <c r="A29" s="11"/>
      <c r="B29" s="11"/>
      <c r="C29" s="17" t="s">
        <v>222</v>
      </c>
      <c r="D29" s="20" t="s">
        <v>90</v>
      </c>
      <c r="E29" s="20" t="s">
        <v>99</v>
      </c>
      <c r="F29" s="20" t="s">
        <v>110</v>
      </c>
      <c r="G29" s="13" t="s">
        <v>108</v>
      </c>
      <c r="H29" s="16" t="s">
        <v>1771</v>
      </c>
    </row>
    <row r="30" spans="1:8">
      <c r="A30" s="11"/>
      <c r="B30" s="11"/>
      <c r="C30" s="17" t="s">
        <v>284</v>
      </c>
      <c r="D30" s="12" t="s">
        <v>110</v>
      </c>
      <c r="E30" s="20" t="s">
        <v>110</v>
      </c>
      <c r="F30" s="20" t="s">
        <v>110</v>
      </c>
      <c r="G30" s="13" t="s">
        <v>108</v>
      </c>
      <c r="H30" s="14"/>
    </row>
    <row r="31" spans="1:8">
      <c r="A31" s="11"/>
      <c r="B31" s="11"/>
      <c r="C31" s="17" t="s">
        <v>166</v>
      </c>
      <c r="D31" s="12" t="s">
        <v>110</v>
      </c>
      <c r="E31" s="20" t="s">
        <v>110</v>
      </c>
      <c r="F31" s="20" t="s">
        <v>99</v>
      </c>
      <c r="G31" s="13" t="s">
        <v>108</v>
      </c>
      <c r="H31" s="14"/>
    </row>
    <row r="32" spans="1:8">
      <c r="A32" s="11" t="s">
        <v>1772</v>
      </c>
      <c r="B32" s="11" t="s">
        <v>95</v>
      </c>
      <c r="C32" s="11" t="s">
        <v>285</v>
      </c>
      <c r="D32" s="20" t="s">
        <v>99</v>
      </c>
      <c r="E32" s="20" t="s">
        <v>90</v>
      </c>
      <c r="F32" s="20" t="s">
        <v>90</v>
      </c>
      <c r="G32" s="13" t="s">
        <v>108</v>
      </c>
      <c r="H32" s="14"/>
    </row>
    <row r="33" spans="1:8">
      <c r="A33" s="11"/>
      <c r="B33" s="11"/>
      <c r="C33" s="17" t="s">
        <v>377</v>
      </c>
      <c r="D33" s="20" t="s">
        <v>110</v>
      </c>
      <c r="E33" s="20" t="s">
        <v>99</v>
      </c>
      <c r="F33" s="20" t="s">
        <v>90</v>
      </c>
      <c r="G33" s="13" t="s">
        <v>108</v>
      </c>
      <c r="H33" s="14"/>
    </row>
    <row r="34" spans="1:8">
      <c r="A34" s="11"/>
      <c r="B34" s="11"/>
      <c r="C34" s="17" t="s">
        <v>96</v>
      </c>
      <c r="D34" s="20" t="s">
        <v>90</v>
      </c>
      <c r="E34" s="20" t="s">
        <v>99</v>
      </c>
      <c r="F34" s="20" t="s">
        <v>90</v>
      </c>
      <c r="G34" s="13" t="s">
        <v>97</v>
      </c>
      <c r="H34" s="14"/>
    </row>
    <row r="35" spans="1:8">
      <c r="A35" s="11"/>
      <c r="B35" s="11"/>
      <c r="C35" s="22" t="s">
        <v>176</v>
      </c>
      <c r="D35" s="23" t="s">
        <v>90</v>
      </c>
      <c r="E35" s="23" t="s">
        <v>99</v>
      </c>
      <c r="F35" s="23" t="s">
        <v>90</v>
      </c>
      <c r="G35" s="13" t="s">
        <v>97</v>
      </c>
      <c r="H35" s="16" t="s">
        <v>1773</v>
      </c>
    </row>
    <row r="36" spans="1:8">
      <c r="A36" s="11"/>
      <c r="B36" s="11"/>
      <c r="C36" s="22" t="s">
        <v>193</v>
      </c>
      <c r="D36" s="23" t="s">
        <v>99</v>
      </c>
      <c r="E36" s="23" t="s">
        <v>90</v>
      </c>
      <c r="F36" s="23" t="s">
        <v>110</v>
      </c>
      <c r="G36" s="13" t="s">
        <v>108</v>
      </c>
      <c r="H36" s="16" t="s">
        <v>1774</v>
      </c>
    </row>
    <row r="37" spans="1:8">
      <c r="A37" s="11"/>
      <c r="B37" s="11"/>
      <c r="C37" s="17" t="s">
        <v>136</v>
      </c>
      <c r="D37" s="20" t="s">
        <v>110</v>
      </c>
      <c r="E37" s="20" t="s">
        <v>90</v>
      </c>
      <c r="F37" s="20" t="s">
        <v>110</v>
      </c>
      <c r="G37" s="13" t="s">
        <v>108</v>
      </c>
      <c r="H37" s="14"/>
    </row>
    <row r="38" spans="1:8">
      <c r="A38" s="11"/>
      <c r="B38" s="11" t="s">
        <v>167</v>
      </c>
      <c r="C38" s="11" t="s">
        <v>1751</v>
      </c>
      <c r="D38" s="20" t="s">
        <v>90</v>
      </c>
      <c r="E38" s="20" t="s">
        <v>99</v>
      </c>
      <c r="F38" s="20" t="s">
        <v>99</v>
      </c>
      <c r="G38" s="13" t="s">
        <v>108</v>
      </c>
      <c r="H38" s="14"/>
    </row>
    <row r="39" spans="1:8">
      <c r="A39" s="11"/>
      <c r="B39" s="11"/>
      <c r="C39" s="17" t="s">
        <v>168</v>
      </c>
      <c r="D39" s="20" t="s">
        <v>110</v>
      </c>
      <c r="E39" s="20" t="s">
        <v>110</v>
      </c>
      <c r="F39" s="20" t="s">
        <v>99</v>
      </c>
      <c r="G39" s="13" t="s">
        <v>108</v>
      </c>
      <c r="H39" s="14"/>
    </row>
    <row r="40" spans="1:8">
      <c r="A40" s="11"/>
      <c r="B40" s="11"/>
      <c r="C40" s="17" t="s">
        <v>297</v>
      </c>
      <c r="D40" s="20" t="s">
        <v>110</v>
      </c>
      <c r="E40" s="20" t="s">
        <v>90</v>
      </c>
      <c r="F40" s="20" t="s">
        <v>99</v>
      </c>
      <c r="G40" s="13" t="s">
        <v>108</v>
      </c>
      <c r="H40" s="14"/>
    </row>
    <row r="41" spans="1:8">
      <c r="A41" s="11"/>
      <c r="B41" s="11"/>
      <c r="C41" s="17" t="s">
        <v>717</v>
      </c>
      <c r="D41" s="20" t="s">
        <v>99</v>
      </c>
      <c r="E41" s="20" t="s">
        <v>90</v>
      </c>
      <c r="F41" s="20" t="s">
        <v>99</v>
      </c>
      <c r="G41" s="13" t="s">
        <v>87</v>
      </c>
      <c r="H41" s="14"/>
    </row>
    <row r="42" spans="1:8">
      <c r="A42" s="11"/>
      <c r="B42" s="18" t="s">
        <v>218</v>
      </c>
      <c r="C42" s="11" t="s">
        <v>316</v>
      </c>
      <c r="D42" s="20" t="s">
        <v>90</v>
      </c>
      <c r="E42" s="20" t="s">
        <v>99</v>
      </c>
      <c r="F42" s="20" t="s">
        <v>110</v>
      </c>
      <c r="G42" s="13" t="s">
        <v>108</v>
      </c>
      <c r="H42" s="14"/>
    </row>
    <row r="43" ht="28.5" spans="1:8">
      <c r="A43" s="11"/>
      <c r="B43" s="19"/>
      <c r="C43" s="15" t="s">
        <v>219</v>
      </c>
      <c r="D43" s="12" t="s">
        <v>99</v>
      </c>
      <c r="E43" s="12" t="s">
        <v>99</v>
      </c>
      <c r="F43" s="12" t="s">
        <v>99</v>
      </c>
      <c r="G43" s="13" t="s">
        <v>108</v>
      </c>
      <c r="H43" s="16" t="s">
        <v>1775</v>
      </c>
    </row>
    <row r="44" spans="1:8">
      <c r="A44" s="11"/>
      <c r="B44" s="19"/>
      <c r="C44" s="17" t="s">
        <v>294</v>
      </c>
      <c r="D44" s="20" t="s">
        <v>90</v>
      </c>
      <c r="E44" s="20" t="s">
        <v>110</v>
      </c>
      <c r="F44" s="20" t="s">
        <v>110</v>
      </c>
      <c r="G44" s="13" t="s">
        <v>108</v>
      </c>
      <c r="H44" s="14"/>
    </row>
    <row r="45" spans="1:8">
      <c r="A45" s="11"/>
      <c r="B45" s="19"/>
      <c r="C45" s="17" t="s">
        <v>530</v>
      </c>
      <c r="D45" s="20" t="s">
        <v>90</v>
      </c>
      <c r="E45" s="20" t="s">
        <v>99</v>
      </c>
      <c r="F45" s="20" t="s">
        <v>110</v>
      </c>
      <c r="G45" s="13" t="s">
        <v>108</v>
      </c>
      <c r="H45" s="14"/>
    </row>
    <row r="46" spans="1:8">
      <c r="A46" s="11"/>
      <c r="B46" s="21"/>
      <c r="C46" s="17" t="s">
        <v>291</v>
      </c>
      <c r="D46" s="20" t="s">
        <v>110</v>
      </c>
      <c r="E46" s="20" t="s">
        <v>90</v>
      </c>
      <c r="F46" s="20" t="s">
        <v>110</v>
      </c>
      <c r="G46" s="13" t="s">
        <v>108</v>
      </c>
      <c r="H46" s="14"/>
    </row>
    <row r="47" spans="1:8">
      <c r="A47" s="11" t="s">
        <v>1776</v>
      </c>
      <c r="B47" s="11" t="s">
        <v>119</v>
      </c>
      <c r="C47" s="11" t="s">
        <v>120</v>
      </c>
      <c r="D47" s="20" t="s">
        <v>99</v>
      </c>
      <c r="E47" s="20" t="s">
        <v>90</v>
      </c>
      <c r="F47" s="20" t="s">
        <v>110</v>
      </c>
      <c r="G47" s="13" t="s">
        <v>108</v>
      </c>
      <c r="H47" s="14"/>
    </row>
    <row r="48" spans="1:8">
      <c r="A48" s="11"/>
      <c r="B48" s="11"/>
      <c r="C48" s="17" t="s">
        <v>211</v>
      </c>
      <c r="D48" s="20" t="s">
        <v>110</v>
      </c>
      <c r="E48" s="20" t="s">
        <v>110</v>
      </c>
      <c r="F48" s="20" t="s">
        <v>90</v>
      </c>
      <c r="G48" s="13" t="s">
        <v>108</v>
      </c>
      <c r="H48" s="14"/>
    </row>
    <row r="49" spans="1:8">
      <c r="A49" s="11"/>
      <c r="B49" s="11"/>
      <c r="C49" s="17" t="s">
        <v>212</v>
      </c>
      <c r="D49" s="20" t="s">
        <v>99</v>
      </c>
      <c r="E49" s="20" t="s">
        <v>90</v>
      </c>
      <c r="F49" s="20" t="s">
        <v>90</v>
      </c>
      <c r="G49" s="13" t="s">
        <v>108</v>
      </c>
      <c r="H49" s="14"/>
    </row>
    <row r="50" spans="1:8">
      <c r="A50" s="11"/>
      <c r="B50" s="11"/>
      <c r="C50" s="17" t="s">
        <v>296</v>
      </c>
      <c r="D50" s="20" t="s">
        <v>110</v>
      </c>
      <c r="E50" s="20" t="s">
        <v>110</v>
      </c>
      <c r="F50" s="20" t="s">
        <v>90</v>
      </c>
      <c r="G50" s="13" t="s">
        <v>108</v>
      </c>
      <c r="H50" s="14"/>
    </row>
    <row r="51" spans="1:8">
      <c r="A51" s="11"/>
      <c r="B51" s="11" t="s">
        <v>141</v>
      </c>
      <c r="C51" s="11" t="s">
        <v>538</v>
      </c>
      <c r="D51" s="20" t="s">
        <v>110</v>
      </c>
      <c r="E51" s="20" t="s">
        <v>90</v>
      </c>
      <c r="F51" s="20" t="s">
        <v>99</v>
      </c>
      <c r="G51" s="13" t="s">
        <v>108</v>
      </c>
      <c r="H51" s="14"/>
    </row>
    <row r="52" spans="1:8">
      <c r="A52" s="11"/>
      <c r="B52" s="11"/>
      <c r="C52" s="15" t="s">
        <v>150</v>
      </c>
      <c r="D52" s="12" t="s">
        <v>110</v>
      </c>
      <c r="E52" s="12" t="s">
        <v>110</v>
      </c>
      <c r="F52" s="12" t="s">
        <v>110</v>
      </c>
      <c r="G52" s="13" t="s">
        <v>108</v>
      </c>
      <c r="H52" s="16"/>
    </row>
    <row r="53" spans="1:8">
      <c r="A53" s="11"/>
      <c r="B53" s="11"/>
      <c r="C53" s="15" t="s">
        <v>759</v>
      </c>
      <c r="D53" s="12" t="s">
        <v>90</v>
      </c>
      <c r="E53" s="12" t="s">
        <v>110</v>
      </c>
      <c r="F53" s="12" t="s">
        <v>90</v>
      </c>
      <c r="G53" s="13" t="s">
        <v>108</v>
      </c>
      <c r="H53" s="14"/>
    </row>
    <row r="54" spans="1:8">
      <c r="A54" s="11"/>
      <c r="B54" s="11"/>
      <c r="C54" s="24" t="s">
        <v>479</v>
      </c>
      <c r="D54" s="12" t="s">
        <v>90</v>
      </c>
      <c r="E54" s="12" t="s">
        <v>99</v>
      </c>
      <c r="F54" s="12" t="s">
        <v>90</v>
      </c>
      <c r="G54" s="13" t="s">
        <v>97</v>
      </c>
      <c r="H54" s="16" t="s">
        <v>1777</v>
      </c>
    </row>
    <row r="55" spans="1:8">
      <c r="A55" s="11"/>
      <c r="B55" s="11"/>
      <c r="C55" s="15" t="s">
        <v>761</v>
      </c>
      <c r="D55" s="12" t="s">
        <v>90</v>
      </c>
      <c r="E55" s="12" t="s">
        <v>99</v>
      </c>
      <c r="F55" s="12" t="s">
        <v>110</v>
      </c>
      <c r="G55" s="13" t="s">
        <v>108</v>
      </c>
      <c r="H55" s="16"/>
    </row>
    <row r="56" spans="1:8">
      <c r="A56" s="11"/>
      <c r="B56" s="11"/>
      <c r="C56" s="17" t="s">
        <v>763</v>
      </c>
      <c r="D56" s="20" t="s">
        <v>110</v>
      </c>
      <c r="E56" s="20" t="s">
        <v>90</v>
      </c>
      <c r="F56" s="20" t="s">
        <v>99</v>
      </c>
      <c r="G56" s="13" t="s">
        <v>108</v>
      </c>
      <c r="H56" s="14"/>
    </row>
    <row r="57" spans="1:8">
      <c r="A57" s="11"/>
      <c r="B57" s="11"/>
      <c r="C57" s="17" t="s">
        <v>142</v>
      </c>
      <c r="D57" s="20" t="s">
        <v>90</v>
      </c>
      <c r="E57" s="20" t="s">
        <v>99</v>
      </c>
      <c r="F57" s="20" t="s">
        <v>90</v>
      </c>
      <c r="G57" s="13" t="s">
        <v>97</v>
      </c>
      <c r="H57" s="14"/>
    </row>
    <row r="58" spans="1:8">
      <c r="A58" s="11"/>
      <c r="B58" s="11"/>
      <c r="C58" s="17" t="s">
        <v>1752</v>
      </c>
      <c r="D58" s="20" t="s">
        <v>110</v>
      </c>
      <c r="E58" s="20" t="s">
        <v>90</v>
      </c>
      <c r="F58" s="20" t="s">
        <v>99</v>
      </c>
      <c r="G58" s="13" t="s">
        <v>108</v>
      </c>
      <c r="H58" s="14"/>
    </row>
  </sheetData>
  <sheetProtection formatCells="0" formatColumns="0" formatRows="0" insertRows="0" insertColumns="0" insertHyperlinks="0" deleteColumns="0" deleteRows="0" sort="0" autoFilter="0" pivotTables="0"/>
  <mergeCells count="16">
    <mergeCell ref="D1:G1"/>
    <mergeCell ref="A3:A14"/>
    <mergeCell ref="A15:A31"/>
    <mergeCell ref="A32:A46"/>
    <mergeCell ref="A47:A58"/>
    <mergeCell ref="B3:B7"/>
    <mergeCell ref="B8:B10"/>
    <mergeCell ref="B11:B14"/>
    <mergeCell ref="B15:B22"/>
    <mergeCell ref="B23:B26"/>
    <mergeCell ref="B27:B31"/>
    <mergeCell ref="B32:B37"/>
    <mergeCell ref="B38:B41"/>
    <mergeCell ref="B42:B46"/>
    <mergeCell ref="B47:B50"/>
    <mergeCell ref="B51:B58"/>
  </mergeCells>
  <pageMargins left="0.75" right="0.75" top="1" bottom="1" header="0.5" footer="0.5"/>
  <headerFooter/>
  <picture r:id="cco-watermark"/>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_rels/item4.xml.rels><?xml version="1.0" encoding="UTF-8" standalone="no"?><Relationships xmlns="http://schemas.openxmlformats.org/package/2006/relationships"><Relationship Id="rId1" Target="itemProps4.xml" Type="http://schemas.openxmlformats.org/officeDocument/2006/relationships/customXmlProps"/></Relationships>
</file>

<file path=customXml/_rels/item5.xml.rels><?xml version="1.0" encoding="UTF-8" standalone="no"?><Relationships xmlns="http://schemas.openxmlformats.org/package/2006/relationships"><Relationship Id="rId1" Target="itemProps5.xml" Type="http://schemas.openxmlformats.org/officeDocument/2006/relationships/customXmlProps"/></Relationships>
</file>

<file path=customXml/_rels/item6.xml.rels><?xml version="1.0" encoding="UTF-8" standalone="no"?><Relationships xmlns="http://schemas.openxmlformats.org/package/2006/relationships"><Relationship Id="rId1" Target="itemProps6.xml" Type="http://schemas.openxmlformats.org/officeDocument/2006/relationships/customXmlProps"/></Relationships>
</file>

<file path=customXml/item1.xml><?xml version="1.0" encoding="utf-8"?>
<dvExts xmlns="http://www.wps.cn/et/2023/dataValidationExt" xmlns:s="http://schemas.openxmlformats.org/spreadsheetml/2006/main">
  <dvExt uuid="{37ffe14a-eec6-43b0-b603-7e873181fe63}">
    <list multiSupport="0" colorSupport="0"/>
  </dvExt>
  <dvExt uuid="{3cd8b0ce-1f8d-4f27-9655-960c94eb9d8b}">
    <list multiSupport="1" colorSupport="0"/>
  </dvExt>
</dvExts>
</file>

<file path=customXml/item2.xml><?xml version="1.0" encoding="utf-8"?>
<s:customData xmlns="http://www.wps.cn/officeDocument/2013/wpsCustomData" xmlns:s="http://www.wps.cn/officeDocument/2013/wpsCustomData">
  <extobjs>
    <extobj name="E657119C-6982-421D-8BA7-E74DEB70A7DB-1">
      <extobjdata type="E657119C-6982-421D-8BA7-E74DEB70A7DB" data="//Users/zhangsujuan/Library/Group Containers/UBF8T346G9.Office/TemporaryItems/msohtmlclip/clip_image001.png"/>
    </extobj>
    <extobj name="E657119C-6982-421D-8BA7-E74DEB70A7DB-2">
      <extobjdata type="E657119C-6982-421D-8BA7-E74DEB70A7DB" data="//Users/zhangsujuan/Library/Group Containers/UBF8T346G9.Office/TemporaryItems/msohtmlclip/clip_image001.png"/>
    </extobj>
    <extobj name="E657119C-6982-421D-8BA7-E74DEB70A7DB-3">
      <extobjdata type="E657119C-6982-421D-8BA7-E74DEB70A7DB" data="//Users/zhangsujuan/Library/Group Containers/UBF8T346G9.Office/TemporaryItems/msohtmlclip/clip_image001.png"/>
    </extobj>
    <extobj name="E657119C-6982-421D-8BA7-E74DEB70A7DB-4">
      <extobjdata type="E657119C-6982-421D-8BA7-E74DEB70A7DB" data="//Users/zhangsujuan/Library/Group Containers/UBF8T346G9.Office/TemporaryItems/msohtmlclip/clip_image002.png"/>
    </extobj>
    <extobj name="E657119C-6982-421D-8BA7-E74DEB70A7DB-5">
      <extobjdata type="E657119C-6982-421D-8BA7-E74DEB70A7DB" data="//Users/zhangsujuan/Library/Group Containers/UBF8T346G9.Office/TemporaryItems/msohtmlclip/clip_image001.png"/>
    </extobj>
    <extobj name="E657119C-6982-421D-8BA7-E74DEB70A7DB-6">
      <extobjdata type="E657119C-6982-421D-8BA7-E74DEB70A7DB" data="//Users/zhangsujuan/Library/Group Containers/UBF8T346G9.Office/TemporaryItems/msohtmlclip/clip_image001.png"/>
    </extobj>
    <extobj name="E657119C-6982-421D-8BA7-E74DEB70A7DB-12">
      <extobjdata type="E657119C-6982-421D-8BA7-E74DEB70A7DB" data="//Users/zhangsujuan/Library/Group Containers/UBF8T346G9.Office/TemporaryItems/msohtmlclip/clip_image001.png"/>
    </extobj>
  </extobjs>
</s:customData>
</file>

<file path=customXml/item3.xml><?xml version="1.0" encoding="utf-8"?>
<autofilters xmlns="https://web.wps.cn/et/2018/main">
  <sheetItem sheetStid="3">
    <filterData filterID="CZMXSYVJTQMNSBNJ-dc-appfile:naO9cP9DegZDVxnoLZmM"/>
    <filterData filterID="CZMXSYVJTQMNSBNJ-dc-appfile:ArSfpy78wrIGz4rCZ3l8">
      <hiddenRange rowFrom="2" rowTo="14"/>
      <hiddenRange rowFrom="19" rowTo="30"/>
      <hiddenRange rowFrom="33" rowTo="44"/>
      <hiddenRange rowFrom="47" rowTo="47"/>
      <hiddenRange rowFrom="49" rowTo="84"/>
      <hiddenRange rowFrom="86" rowTo="108"/>
      <hiddenRange rowFrom="112" rowTo="165"/>
      <hiddenRange rowFrom="170" rowTo="239"/>
      <hiddenRange rowFrom="241" rowTo="266"/>
      <hiddenRange rowFrom="269" rowTo="290"/>
      <hiddenRange rowFrom="294" rowTo="353"/>
      <hiddenRange rowFrom="355" rowTo="355"/>
      <hiddenRange rowFrom="357" rowTo="357"/>
      <hiddenRange rowFrom="361" rowTo="363"/>
      <hiddenRange rowFrom="366" rowTo="415"/>
      <hiddenRange rowFrom="417" rowTo="419"/>
      <hiddenRange rowFrom="422" rowTo="431"/>
      <hiddenRange rowFrom="433" rowTo="446"/>
      <hiddenRange rowFrom="448" rowTo="579"/>
      <hiddenRange rowFrom="581" rowTo="582"/>
      <hiddenRange rowFrom="584" rowTo="586"/>
      <hiddenRange rowFrom="589" rowTo="589"/>
      <hiddenRange rowFrom="594" rowTo="595"/>
      <hiddenRange rowFrom="598" rowTo="599"/>
      <hiddenRange rowFrom="601" rowTo="603"/>
      <hiddenRange rowFrom="606" rowTo="606"/>
      <hiddenRange rowFrom="611" rowTo="612"/>
      <hiddenRange rowFrom="615" rowTo="616"/>
      <hiddenRange rowFrom="618" rowTo="620"/>
      <hiddenRange rowFrom="623" rowTo="623"/>
      <hiddenRange rowFrom="628" rowTo="629"/>
      <hiddenRange rowFrom="631" rowTo="680"/>
      <hiddenRange rowFrom="682" rowTo="683"/>
      <hiddenRange rowFrom="685" rowTo="687"/>
      <hiddenRange rowFrom="690" rowTo="690"/>
      <hiddenRange rowFrom="695" rowTo="696"/>
      <hiddenRange rowFrom="698" rowTo="709"/>
      <hiddenRange rowFrom="711" rowTo="712"/>
      <hiddenRange rowFrom="714" rowTo="716"/>
      <hiddenRange rowFrom="719" rowTo="719"/>
      <hiddenRange rowFrom="724" rowTo="725"/>
      <hiddenRange rowFrom="727" rowTo="757"/>
      <hiddenRange rowFrom="759" rowTo="772"/>
      <hiddenRange rowFrom="775" rowTo="1251"/>
    </filterData>
    <filterData filterID="CZMXSYVJTQMNSBNJ-dc-appfile:13VmymLReQIQXOtQD9ZL">
      <hiddenRange rowFrom="2" rowTo="3"/>
      <hiddenRange rowFrom="5" rowTo="9"/>
      <hiddenRange rowFrom="13" rowTo="18"/>
      <hiddenRange rowFrom="20" rowTo="28"/>
      <hiddenRange rowFrom="30" rowTo="46"/>
      <hiddenRange rowFrom="48" rowTo="86"/>
      <hiddenRange rowFrom="88" rowTo="122"/>
      <hiddenRange rowFrom="124" rowTo="147"/>
      <hiddenRange rowFrom="149" rowTo="156"/>
      <hiddenRange rowFrom="158" rowTo="169"/>
      <hiddenRange rowFrom="171" rowTo="201"/>
      <hiddenRange rowFrom="203" rowTo="221"/>
      <hiddenRange rowFrom="223" rowTo="237"/>
      <hiddenRange rowFrom="240" rowTo="265"/>
      <hiddenRange rowFrom="267" rowTo="284"/>
      <hiddenRange rowFrom="287" rowTo="287"/>
      <hiddenRange rowFrom="289" rowTo="329"/>
      <hiddenRange rowFrom="331" rowTo="354"/>
      <hiddenRange rowFrom="356" rowTo="356"/>
      <hiddenRange rowFrom="358" rowTo="402"/>
      <hiddenRange rowFrom="404" rowTo="410"/>
      <hiddenRange rowFrom="412" rowTo="428"/>
      <hiddenRange rowFrom="430" rowTo="479"/>
      <hiddenRange rowFrom="482" rowTo="496"/>
      <hiddenRange rowFrom="499" rowTo="513"/>
      <hiddenRange rowFrom="516" rowTo="530"/>
      <hiddenRange rowFrom="533" rowTo="547"/>
      <hiddenRange rowFrom="550" rowTo="576"/>
      <hiddenRange rowFrom="579" rowTo="593"/>
      <hiddenRange rowFrom="596" rowTo="610"/>
      <hiddenRange rowFrom="613" rowTo="627"/>
      <hiddenRange rowFrom="630" rowTo="644"/>
      <hiddenRange rowFrom="647" rowTo="660"/>
      <hiddenRange rowFrom="663" rowTo="677"/>
      <hiddenRange rowFrom="680" rowTo="694"/>
      <hiddenRange rowFrom="697" rowTo="706"/>
      <hiddenRange rowFrom="709" rowTo="723"/>
      <hiddenRange rowFrom="726" rowTo="740"/>
      <hiddenRange rowFrom="743" rowTo="748"/>
      <hiddenRange rowFrom="750" rowTo="751"/>
      <hiddenRange rowFrom="753" rowTo="764"/>
      <hiddenRange rowFrom="766" rowTo="774"/>
      <hiddenRange rowFrom="776" rowTo="780"/>
      <hiddenRange rowFrom="782" rowTo="783"/>
      <hiddenRange rowFrom="785" rowTo="785"/>
      <hiddenRange rowFrom="787" rowTo="790"/>
      <hiddenRange rowFrom="792" rowTo="794"/>
      <hiddenRange rowFrom="796" rowTo="807"/>
      <hiddenRange rowFrom="809" rowTo="815"/>
      <hiddenRange rowFrom="817" rowTo="819"/>
      <hiddenRange rowFrom="822" rowTo="837"/>
      <hiddenRange rowFrom="839" rowTo="841"/>
      <hiddenRange rowFrom="843" rowTo="858"/>
      <hiddenRange rowFrom="860" rowTo="863"/>
      <hiddenRange rowFrom="865" rowTo="870"/>
      <hiddenRange rowFrom="872" rowTo="875"/>
      <hiddenRange rowFrom="877" rowTo="882"/>
      <hiddenRange rowFrom="884" rowTo="887"/>
      <hiddenRange rowFrom="889" rowTo="894"/>
      <hiddenRange rowFrom="896" rowTo="900"/>
      <hiddenRange rowFrom="902" rowTo="906"/>
      <hiddenRange rowFrom="908" rowTo="911"/>
      <hiddenRange rowFrom="913" rowTo="917"/>
      <hiddenRange rowFrom="919" rowTo="933"/>
      <hiddenRange rowFrom="935" rowTo="938"/>
      <hiddenRange rowFrom="940" rowTo="946"/>
      <hiddenRange rowFrom="948" rowTo="951"/>
      <hiddenRange rowFrom="953" rowTo="957"/>
      <hiddenRange rowFrom="959" rowTo="966"/>
      <hiddenRange rowFrom="968" rowTo="970"/>
      <hiddenRange rowFrom="972" rowTo="979"/>
      <hiddenRange rowFrom="981" rowTo="982"/>
      <hiddenRange rowFrom="984" rowTo="999"/>
      <hiddenRange rowFrom="1001" rowTo="1004"/>
      <hiddenRange rowFrom="1006" rowTo="1011"/>
      <hiddenRange rowFrom="1013" rowTo="1016"/>
      <hiddenRange rowFrom="1018" rowTo="1022"/>
      <hiddenRange rowFrom="1024" rowTo="1032"/>
      <hiddenRange rowFrom="1034" rowTo="1037"/>
      <hiddenRange rowFrom="1039" rowTo="1043"/>
      <hiddenRange rowFrom="1045" rowTo="1053"/>
      <hiddenRange rowFrom="1055" rowTo="1062"/>
      <hiddenRange rowFrom="1064" rowTo="1072"/>
      <hiddenRange rowFrom="1074" rowTo="1077"/>
      <hiddenRange rowFrom="1079" rowTo="1083"/>
      <hiddenRange rowFrom="1085" rowTo="1092"/>
      <hiddenRange rowFrom="1094" rowTo="1098"/>
      <hiddenRange rowFrom="1100" rowTo="1104"/>
      <hiddenRange rowFrom="1106" rowTo="1114"/>
      <hiddenRange rowFrom="1116" rowTo="1119"/>
      <hiddenRange rowFrom="1121" rowTo="1127"/>
      <hiddenRange rowFrom="1129" rowTo="1132"/>
      <hiddenRange rowFrom="1134" rowTo="1138"/>
      <hiddenRange rowFrom="1140" rowTo="1149"/>
      <hiddenRange rowFrom="1151" rowTo="1154"/>
      <hiddenRange rowFrom="1156" rowTo="1161"/>
      <hiddenRange rowFrom="1163" rowTo="1232"/>
      <hiddenRange rowFrom="1234" rowTo="1251"/>
    </filterData>
    <filterData filterID="CZMXSYVJTQMNSBNJ-dc-appfile:LOiRlZJnDn3MHgue8zSM">
      <hiddenRange rowFrom="2" rowTo="26"/>
      <hiddenRange rowFrom="28" rowTo="29"/>
      <hiddenRange rowFrom="31" rowTo="55"/>
      <hiddenRange rowFrom="57" rowTo="59"/>
      <hiddenRange rowFrom="62" rowTo="65"/>
      <hiddenRange rowFrom="67" rowTo="70"/>
      <hiddenRange rowFrom="72" rowTo="91"/>
      <hiddenRange rowFrom="93" rowTo="114"/>
      <hiddenRange rowFrom="116" rowTo="128"/>
      <hiddenRange rowFrom="131" rowTo="134"/>
      <hiddenRange rowFrom="136" rowTo="139"/>
      <hiddenRange rowFrom="141" rowTo="172"/>
      <hiddenRange rowFrom="174" rowTo="181"/>
      <hiddenRange rowFrom="183" rowTo="190"/>
      <hiddenRange rowFrom="192" rowTo="208"/>
      <hiddenRange rowFrom="211" rowTo="214"/>
      <hiddenRange rowFrom="216" rowTo="222"/>
      <hiddenRange rowFrom="224" rowTo="240"/>
      <hiddenRange rowFrom="242" rowTo="247"/>
      <hiddenRange rowFrom="250" rowTo="253"/>
      <hiddenRange rowFrom="255" rowTo="258"/>
      <hiddenRange rowFrom="260" rowTo="310"/>
      <hiddenRange rowFrom="313" rowTo="316"/>
      <hiddenRange rowFrom="318" rowTo="321"/>
      <hiddenRange rowFrom="323" rowTo="335"/>
      <hiddenRange rowFrom="337" rowTo="338"/>
      <hiddenRange rowFrom="341" rowTo="344"/>
      <hiddenRange rowFrom="346" rowTo="347"/>
      <hiddenRange rowFrom="349" rowTo="375"/>
      <hiddenRange rowFrom="378" rowTo="383"/>
      <hiddenRange rowFrom="386" rowTo="389"/>
      <hiddenRange rowFrom="391" rowTo="394"/>
      <hiddenRange rowFrom="396" rowTo="405"/>
      <hiddenRange rowFrom="407" rowTo="407"/>
      <hiddenRange rowFrom="409" rowTo="440"/>
      <hiddenRange rowFrom="442" rowTo="453"/>
      <hiddenRange rowFrom="455" rowTo="465"/>
      <hiddenRange rowFrom="468" rowTo="483"/>
      <hiddenRange rowFrom="486" rowTo="500"/>
      <hiddenRange rowFrom="503" rowTo="517"/>
      <hiddenRange rowFrom="520" rowTo="534"/>
      <hiddenRange rowFrom="537" rowTo="551"/>
      <hiddenRange rowFrom="554" rowTo="563"/>
      <hiddenRange rowFrom="566" rowTo="580"/>
      <hiddenRange rowFrom="583" rowTo="597"/>
      <hiddenRange rowFrom="600" rowTo="614"/>
      <hiddenRange rowFrom="617" rowTo="631"/>
      <hiddenRange rowFrom="634" rowTo="648"/>
      <hiddenRange rowFrom="651" rowTo="664"/>
      <hiddenRange rowFrom="667" rowTo="681"/>
      <hiddenRange rowFrom="684" rowTo="698"/>
      <hiddenRange rowFrom="701" rowTo="710"/>
      <hiddenRange rowFrom="713" rowTo="727"/>
      <hiddenRange rowFrom="730" rowTo="743"/>
      <hiddenRange rowFrom="745" rowTo="745"/>
      <hiddenRange rowFrom="747" rowTo="749"/>
      <hiddenRange rowFrom="751" rowTo="755"/>
      <hiddenRange rowFrom="758" rowTo="758"/>
      <hiddenRange rowFrom="760" rowTo="769"/>
      <hiddenRange rowFrom="771" rowTo="788"/>
      <hiddenRange rowFrom="790" rowTo="796"/>
      <hiddenRange rowFrom="798" rowTo="832"/>
      <hiddenRange rowFrom="834" rowTo="845"/>
      <hiddenRange rowFrom="847" rowTo="888"/>
      <hiddenRange rowFrom="890" rowTo="890"/>
      <hiddenRange rowFrom="892" rowTo="974"/>
      <hiddenRange rowFrom="976" rowTo="976"/>
      <hiddenRange rowFrom="978" rowTo="983"/>
      <hiddenRange rowFrom="985" rowTo="985"/>
      <hiddenRange rowFrom="987" rowTo="988"/>
      <hiddenRange rowFrom="993" rowTo="1029"/>
      <hiddenRange rowFrom="1031" rowTo="1110"/>
      <hiddenRange rowFrom="1112" rowTo="1147"/>
      <hiddenRange rowFrom="1149" rowTo="1174"/>
      <hiddenRange rowFrom="1176" rowTo="1177"/>
      <hiddenRange rowFrom="1179" rowTo="1180"/>
      <hiddenRange rowFrom="1182" rowTo="1193"/>
      <hiddenRange rowFrom="1195" rowTo="1195"/>
      <hiddenRange rowFrom="1197" rowTo="1198"/>
      <hiddenRange rowFrom="1200" rowTo="1202"/>
      <hiddenRange rowFrom="1204" rowTo="1241"/>
      <hiddenRange rowFrom="1244" rowTo="1251"/>
    </filterData>
    <filterData filterID="CZMXSYVJTQMNSBNJ-dc-appfile:cY0ZExcu3m92uKiGuoWZ">
      <hiddenRange rowFrom="2" rowTo="65"/>
      <hiddenRange rowFrom="67" rowTo="134"/>
      <hiddenRange rowFrom="136" rowTo="172"/>
      <hiddenRange rowFrom="174" rowTo="190"/>
      <hiddenRange rowFrom="192" rowTo="209"/>
      <hiddenRange rowFrom="211" rowTo="253"/>
      <hiddenRange rowFrom="255" rowTo="316"/>
      <hiddenRange rowFrom="318" rowTo="344"/>
      <hiddenRange rowFrom="346" rowTo="375"/>
      <hiddenRange rowFrom="377" rowTo="389"/>
      <hiddenRange rowFrom="391" rowTo="405"/>
      <hiddenRange rowFrom="407" rowTo="407"/>
      <hiddenRange rowFrom="409" rowTo="743"/>
      <hiddenRange rowFrom="745" rowTo="749"/>
      <hiddenRange rowFrom="751" rowTo="758"/>
      <hiddenRange rowFrom="760" rowTo="769"/>
      <hiddenRange rowFrom="771" rowTo="788"/>
      <hiddenRange rowFrom="790" rowTo="796"/>
      <hiddenRange rowFrom="798" rowTo="845"/>
      <hiddenRange rowFrom="847" rowTo="990"/>
      <hiddenRange rowFrom="992" rowTo="1029"/>
      <hiddenRange rowFrom="1031" rowTo="1147"/>
      <hiddenRange rowFrom="1149" rowTo="1251"/>
    </filterData>
    <filterData filterID="CZMXSYVJTQMNSBNJ-dc-appfile:YrLR6CPjibhtHAmoKfp7">
      <hiddenRange rowFrom="2" rowTo="4"/>
      <hiddenRange rowFrom="6" rowTo="6"/>
      <hiddenRange rowFrom="8" rowTo="12"/>
      <hiddenRange rowFrom="17" rowTo="19"/>
      <hiddenRange rowFrom="21" rowTo="21"/>
      <hiddenRange rowFrom="23" rowTo="31"/>
      <hiddenRange rowFrom="33" rowTo="33"/>
      <hiddenRange rowFrom="35" rowTo="36"/>
      <hiddenRange rowFrom="38" rowTo="42"/>
      <hiddenRange rowFrom="46" rowTo="52"/>
      <hiddenRange rowFrom="54" rowTo="61"/>
      <hiddenRange rowFrom="66" rowTo="66"/>
      <hiddenRange rowFrom="71" rowTo="71"/>
      <hiddenRange rowFrom="73" rowTo="74"/>
      <hiddenRange rowFrom="76" rowTo="78"/>
      <hiddenRange rowFrom="80" rowTo="90"/>
      <hiddenRange rowFrom="92" rowTo="94"/>
      <hiddenRange rowFrom="99" rowTo="100"/>
      <hiddenRange rowFrom="102" rowTo="103"/>
      <hiddenRange rowFrom="108" rowTo="108"/>
      <hiddenRange rowFrom="110" rowTo="115"/>
      <hiddenRange rowFrom="117" rowTo="117"/>
      <hiddenRange rowFrom="119" rowTo="130"/>
      <hiddenRange rowFrom="135" rowTo="135"/>
      <hiddenRange rowFrom="140" rowTo="140"/>
      <hiddenRange rowFrom="142" rowTo="143"/>
      <hiddenRange rowFrom="145" rowTo="148"/>
      <hiddenRange rowFrom="157" rowTo="160"/>
      <hiddenRange rowFrom="162" rowTo="162"/>
      <hiddenRange rowFrom="165" rowTo="165"/>
      <hiddenRange rowFrom="170" rowTo="170"/>
      <hiddenRange rowFrom="172" rowTo="174"/>
      <hiddenRange rowFrom="176" rowTo="176"/>
      <hiddenRange rowFrom="179" rowTo="179"/>
      <hiddenRange rowFrom="181" rowTo="182"/>
      <hiddenRange rowFrom="185" rowTo="186"/>
      <hiddenRange rowFrom="188" rowTo="197"/>
      <hiddenRange rowFrom="199" rowTo="200"/>
      <hiddenRange rowFrom="202" rowTo="202"/>
      <hiddenRange rowFrom="206" rowTo="210"/>
      <hiddenRange rowFrom="215" rowTo="215"/>
      <hiddenRange rowFrom="218" rowTo="219"/>
      <hiddenRange rowFrom="221" rowTo="230"/>
      <hiddenRange rowFrom="232" rowTo="232"/>
      <hiddenRange rowFrom="234" rowTo="234"/>
      <hiddenRange rowFrom="237" rowTo="242"/>
      <hiddenRange rowFrom="244" rowTo="244"/>
      <hiddenRange rowFrom="247" rowTo="249"/>
      <hiddenRange rowFrom="254" rowTo="254"/>
      <hiddenRange rowFrom="259" rowTo="259"/>
      <hiddenRange rowFrom="261" rowTo="262"/>
      <hiddenRange rowFrom="264" rowTo="267"/>
      <hiddenRange rowFrom="269" rowTo="278"/>
      <hiddenRange rowFrom="281" rowTo="282"/>
      <hiddenRange rowFrom="284" rowTo="288"/>
      <hiddenRange rowFrom="294" rowTo="294"/>
      <hiddenRange rowFrom="296" rowTo="296"/>
      <hiddenRange rowFrom="298" rowTo="300"/>
      <hiddenRange rowFrom="304" rowTo="304"/>
      <hiddenRange rowFrom="306" rowTo="307"/>
      <hiddenRange rowFrom="310" rowTo="312"/>
      <hiddenRange rowFrom="317" rowTo="317"/>
      <hiddenRange rowFrom="322" rowTo="322"/>
      <hiddenRange rowFrom="324" rowTo="325"/>
      <hiddenRange rowFrom="327" rowTo="330"/>
      <hiddenRange rowFrom="333" rowTo="334"/>
      <hiddenRange rowFrom="336" rowTo="340"/>
      <hiddenRange rowFrom="345" rowTo="345"/>
      <hiddenRange rowFrom="348" rowTo="348"/>
      <hiddenRange rowFrom="350" rowTo="353"/>
      <hiddenRange rowFrom="355" rowTo="357"/>
      <hiddenRange rowFrom="359" rowTo="359"/>
      <hiddenRange rowFrom="366" rowTo="367"/>
      <hiddenRange rowFrom="371" rowTo="372"/>
      <hiddenRange rowFrom="375" rowTo="382"/>
      <hiddenRange rowFrom="384" rowTo="385"/>
      <hiddenRange rowFrom="390" rowTo="390"/>
      <hiddenRange rowFrom="395" rowTo="395"/>
      <hiddenRange rowFrom="397" rowTo="398"/>
      <hiddenRange rowFrom="400" rowTo="403"/>
      <hiddenRange rowFrom="406" rowTo="414"/>
      <hiddenRange rowFrom="417" rowTo="417"/>
      <hiddenRange rowFrom="420" rowTo="422"/>
      <hiddenRange rowFrom="424" rowTo="424"/>
      <hiddenRange rowFrom="426" rowTo="429"/>
      <hiddenRange rowFrom="432" rowTo="436"/>
      <hiddenRange rowFrom="438" rowTo="438"/>
      <hiddenRange rowFrom="441" rowTo="441"/>
      <hiddenRange rowFrom="443" rowTo="444"/>
      <hiddenRange rowFrom="446" rowTo="448"/>
      <hiddenRange rowFrom="450" rowTo="451"/>
      <hiddenRange rowFrom="454" rowTo="454"/>
      <hiddenRange rowFrom="456" rowTo="456"/>
      <hiddenRange rowFrom="458" rowTo="458"/>
      <hiddenRange rowFrom="463" rowTo="463"/>
      <hiddenRange rowFrom="465" rowTo="753"/>
      <hiddenRange rowFrom="755" rowTo="757"/>
      <hiddenRange rowFrom="759" rowTo="765"/>
      <hiddenRange rowFrom="767" rowTo="767"/>
      <hiddenRange rowFrom="770" rowTo="771"/>
      <hiddenRange rowFrom="773" rowTo="782"/>
      <hiddenRange rowFrom="784" rowTo="822"/>
      <hiddenRange rowFrom="825" rowTo="827"/>
      <hiddenRange rowFrom="829" rowTo="873"/>
      <hiddenRange rowFrom="875" rowTo="889"/>
      <hiddenRange rowFrom="891" rowTo="893"/>
      <hiddenRange rowFrom="895" rowTo="895"/>
      <hiddenRange rowFrom="901" rowTo="902"/>
      <hiddenRange rowFrom="904" rowTo="908"/>
      <hiddenRange rowFrom="910" rowTo="910"/>
      <hiddenRange rowFrom="912" rowTo="920"/>
      <hiddenRange rowFrom="922" rowTo="972"/>
      <hiddenRange rowFrom="974" rowTo="975"/>
      <hiddenRange rowFrom="977" rowTo="980"/>
      <hiddenRange rowFrom="982" rowTo="984"/>
      <hiddenRange rowFrom="986" rowTo="987"/>
      <hiddenRange rowFrom="989" rowTo="997"/>
      <hiddenRange rowFrom="999" rowTo="1000"/>
      <hiddenRange rowFrom="1003" rowTo="1044"/>
      <hiddenRange rowFrom="1047" rowTo="1054"/>
      <hiddenRange rowFrom="1057" rowTo="1063"/>
      <hiddenRange rowFrom="1066" rowTo="1084"/>
      <hiddenRange rowFrom="1087" rowTo="1089"/>
      <hiddenRange rowFrom="1091" rowTo="1095"/>
      <hiddenRange rowFrom="1097" rowTo="1097"/>
      <hiddenRange rowFrom="1099" rowTo="1105"/>
      <hiddenRange rowFrom="1108" rowTo="1109"/>
      <hiddenRange rowFrom="1111" rowTo="1116"/>
      <hiddenRange rowFrom="1119" rowTo="1139"/>
      <hiddenRange rowFrom="1142" rowTo="1148"/>
      <hiddenRange rowFrom="1150" rowTo="1151"/>
      <hiddenRange rowFrom="1154" rowTo="1162"/>
      <hiddenRange rowFrom="1165" rowTo="1169"/>
      <hiddenRange rowFrom="1171" rowTo="1175"/>
      <hiddenRange rowFrom="1178" rowTo="1179"/>
      <hiddenRange rowFrom="1181" rowTo="1182"/>
      <hiddenRange rowFrom="1184" rowTo="1184"/>
      <hiddenRange rowFrom="1186" rowTo="1194"/>
      <hiddenRange rowFrom="1196" rowTo="1200"/>
      <hiddenRange rowFrom="1203" rowTo="1205"/>
      <hiddenRange rowFrom="1209" rowTo="1209"/>
      <hiddenRange rowFrom="1211" rowTo="1211"/>
      <hiddenRange rowFrom="1213" rowTo="1219"/>
      <hiddenRange rowFrom="1221" rowTo="1233"/>
      <hiddenRange rowFrom="1237" rowTo="1240"/>
      <hiddenRange rowFrom="1242" rowTo="1250"/>
    </filterData>
    <autofilterInfo filterID="CZMXSYVJTQMNSBNJ-dc-appfile:13VmymLReQIQXOtQD9ZL">
      <autoFilter xmlns="http://schemas.openxmlformats.org/spreadsheetml/2006/main" ref="A2:X1252">
        <filterColumn colId="9">
          <customFilters>
            <customFilter operator="equal" val="低潜力"/>
          </customFilters>
        </filterColumn>
      </autoFilter>
    </autofilterInfo>
    <autofilterInfo filterID="CZMXSYVJTQMNSBNJ-dc-appfile:ArSfpy78wrIGz4rCZ3l8">
      <autoFilter xmlns="http://schemas.openxmlformats.org/spreadsheetml/2006/main" ref="A2:X1252">
        <filterColumn colId="5">
          <filters>
            <filter val="1、负责大固收类资产研判及产品研究（覆盖债基、货基、固收类投顾等）；详细包括：1）资产研判，涉及每日早会、投委会、周度及月度各项内容报告输出；2）选品推品，涉及选品标准构建，产品定量及定性调研，品池的出入池、以及中心化&amp;各业务细分场景的推品。&#10;2、C端及机构类业务定向投研支持：基于业务发展目标，为个人基金、投顾、机构理财等业务线提供定向支持，通过研究输出及路演响应客户个性化及专项化需求。&#10;3、财富基建类项目：协作参与财富KYC&amp;KYP、资配专项的搭建，协同组内整体资源，向业务侧输出know-how&#10;4、投研专题研究类工作：基于市场敏锐度，负责专题报告研究及撰写工作，为业务线布局提供参考。"/>
            <filter val="1.【营销资料编写&amp;审核】：各业务线各类对客话术撰写、合规审核、调优迭代等"/>
            <filter val="1.监管合规类：打击非法金融活动、案防合规管理、员工行为排查等工作，包括工作开展及报告编写等&#10;2.监察类工作：监察管理体系建设、员工廉洁合规培训、内部员工违规调查&#10;3.安全调查类：配合警方调证、外部案件调查、存量案件跟进、安全调查机制&#10;4.消保合规咨询及审查，包括信访及极端案件处理等"/>
            <filter val="4.【营销话术编写&amp;审核】：各业务线各类对客话术撰写、合规审核、调优迭代等"/>
            <filter val="1、国家外汇管理局北京市分局、北京人行对接、任务拆解下发、材料撰写反馈&#10;2、跨境及外场业务的咨询、评审；&#10;3、国家外汇管理局北京市分局、合作银行非现场检查；"/>
            <filter val="1、财富业务的合规管理和肯特瑞主体管理；&#10;2、证监会监管沟通和材料报告书写；"/>
            <filter val="1.报告编制：编制由内控合规部主导的报告&#10;2.制度编写：编写由内控合规部主导的制度&#10;3.业务咨询：为业务部门提供内控、合规方面的咨询服务"/>
            <filter val="1.制度审核：审核业务部门发布的制度，包括是否满足法规要求、是否符合公司要求、职责划分是否清晰、是否与公司现有流程冲突等。&#10;2.报告编制：编制由内控合规部主导的报告&#10;3.制度编写：编写由内控合规部主导的制度&#10;4.业务咨询：为业务部门提供内控、合规方面的咨询服务"/>
            <filter val="7.邮件与报告撰写：巡检、处罚、项目、汇报等场景文档"/>
            <filter val="1、运营管理体系建设：负责运营专项体系框架建立和专项事项推进&#10;2、数据基建：接收运营数据需求，通过数据源探查、编写sql语句，建立看板图表&#10;3、数据分析：依据业务内容，建立分析指标；通过不同纬度进行下探分析（top量级，top变量等），输出分析汇报"/>
            <filter val="1、人效分析：基于业务调研与数据洞察，产出人效提升解决方案，推动人效提升；&#10;2、经营分析：牵头部门季度、月度会材料等汇报材料编写；&#10;3、工业金采Pro项目管理："/>
            <filter val="1、国补、有奖发票项目相关资料撰写；&#10;2、日常工作处理；"/>
            <filter val="1.【制度管理】 公司治理两会一层、股东信息等以及监管报告等内外部文件复核；公司治理相关内部政策制度制定、完善、审核；公司治理、大股东风险隔离相关监管检查的自查梳理等；董事高管法定的定期培训安排（包括考试设计安排）事务；董事发言建议撰写&#10;2.【监管审批】全流程处里消金公司相关的各类须监管审批事项。如：董事高管人员任职资格申请、公司重大事项（名称、住所、资本、股权结构等）事项的法定全套申请文件的起草校核、协调推进监管部门的审阅、相关事项监管沟通、审批事项的受理、审查及审批全流程。&#10;3. 【党建事项】消金支部有效落实集团党委工作要求，党建年度计划，推动筹备各类党建活动、持续保持与两新党委良好工作沟通机制。&#10;4. 【信息复核】内部治理及外部监管报告信息的复核、校验。包括监管报告信息、内部议案、决议、议程发言建议稿等。"/>
            <filter val="3.【督促进度】日常工作要求中，需职场填写内容，执行反馈等内容督促发送和统一汇总"/>
            <filter val="1、线下协议 &amp; 线下询证函：申请产品协议盖章前需双方进行财税法及相关节点审批；在此之前，需运营先核实内容，因此需要针对性参考基本条款及特殊点；由于内容较为散碎，需要使用AI核实。&#10;2、日常工作：文件撰写、运营操作-记录沉淀"/>
            <filter val="1、权益类资产配置模型策略研究及代码编写；&#10;2、FOF基金组合测算及绩效跟踪模型搭建及代码编写；&#10;3、投研报告研究与撰写。"/>
            <filter val="1.合规审查：用AI对业务方案等进行初审，提示合规红线，以及法规依据，如何调整建议等，减少人工逐条翻阅法规的时间；&#10;2.制度审核：把新旧制度、内外制度同时喂给AI，让它找出“打架”或“过时”的条款，可参考决策修哪条；&#10;3.报告核对：将报告内容、数据进行一致性校验，输出异常项，不用再让员工抽样式复核占用大量时间；&#10;4.行业分析：利用AI了解同业信息与风险事件，预判行业动向、监管处罚导向，提前布局机构自查重点与整改策略；&#10;5.文字撰写：给AI框架和要点，让它先出报告草稿，把关和修改文字内容，无需再从零写起。&#10;6.法规查询：随时问AI，直接拿到法条原文，同时可发散关联是否有真实罚单案例，不用花费大量时间翻查法规库"/>
            <filter val="1、负责上海恒先君展、上海东家铂睿、上海邦汇保理的牌照管理工作&#10;2、上海地区监管的日常沟通、客诉处理、报告书写"/>
            <filter val="7.【业务流程编写及涉及配套管理工具】销售流程，话术生成编写，台账编写，知识库通用销售知识管理知识编写"/>
            <filter val="1，财富管理部所有直播节目的制作与运营。&#10;2、追踪国内国际经济形势，为节目内容制作提供素材。&#10;3、根据需求撰写投资研究报告&#10;"/>
            <filter val="1、负责金条内场业务的合规管理、小贷牌照管理，及沟通对接维护小贷的金融监管单位，包括重庆金融局、重庆人行、重庆小贷协会、中贷协、普惠司等，同时负责小贷牌照所涉监管报送材料的书写；&#10;2、负责评审资管团队ABS发行备案的材料，确保发行材料的完整性、准备性、真实性；"/>
            <filter val="1、金科群技术合规对接和网银在线技术合规监管事务对接，包括非银审查，金融科技产品认证，个人金融信息保护等基础安全体系认证审查；&#10;2、人行科技处、协会沟通和材料报告书写；"/>
            <filter val="1. 大类资产配置模型研究，以及对应模型代码编写；&#10;2. 基金产品及基金经理人特征标签、评价体系建设；"/>
            <filter val="1、【信息披露】：协调各部门按照监管和内外规要求及时、准确披露各类必要公告；&#10;2、【政府支持】：对接当地金融局、产融局等政府单位，撰写面向政府的请示、汇报或会议文件等；&#10;3、【研究工作】：开展同行业研究和政策研究，为消金公司发展提供参考；&#10;4、【系统和AI】：系统和AI建设，优化工作流程，提升工作能效；"/>
          </filters>
        </filterColumn>
        <filterColumn colId="9">
          <customFilters>
            <customFilter operator="equal" val="中潜力"/>
          </customFilters>
        </filterColumn>
      </autoFilter>
    </autofilterInfo>
    <autofilterInfo filterID="CZMXSYVJTQMNSBNJ-dc-appfile:LOiRlZJnDn3MHgue8zSM">
      <autoFilter xmlns="http://schemas.openxmlformats.org/spreadsheetml/2006/main" ref="A2:X1252">
        <filterColumn colId="9">
          <customFilters>
            <customFilter operator="equal" val="高潜力"/>
          </customFilters>
        </filterColumn>
        <filterColumn colId="13">
          <customFilters>
            <customFilter operator="equal" val="中"/>
          </customFilters>
        </filterColumn>
      </autoFilter>
    </autofilterInfo>
    <autofilterInfo filterID="CZMXSYVJTQMNSBNJ-dc-appfile:cY0ZExcu3m92uKiGuoWZ">
      <autoFilter xmlns="http://schemas.openxmlformats.org/spreadsheetml/2006/main" ref="A2:X1252">
        <filterColumn colId="8">
          <customFilters>
            <customFilter operator="equal" val="数据提取"/>
          </customFilters>
        </filterColumn>
        <filterColumn colId="9">
          <customFilters>
            <customFilter operator="equal" val="高潜力"/>
          </customFilters>
        </filterColumn>
        <filterColumn colId="13">
          <customFilters>
            <customFilter operator="equal" val="中"/>
          </customFilters>
        </filterColumn>
      </autoFilter>
    </autofilterInfo>
    <autofilterInfo filterID="CZMXSYVJTQMNSBNJ-dc-appfile:YrLR6CPjibhtHAmoKfp7">
      <autoFilter xmlns="http://schemas.openxmlformats.org/spreadsheetml/2006/main" ref="A2:X1252">
        <filterColumn colId="9">
          <customFilters>
            <customFilter operator="equal" val="中潜力"/>
          </customFilters>
        </filterColumn>
        <filterColumn colId="13">
          <customFilters>
            <customFilter operator="equal" val="中"/>
          </customFilters>
        </filterColumn>
      </autoFilter>
    </autofilterInfo>
  </sheetItem>
</autofilters>
</file>

<file path=customXml/item4.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sProps>
  <woBookProps>
    <bookSettings fileId="" isFilterShared="0" woEtMtcEnabled="0" coreConquerUserId=""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4"/>
  <pixelatorList sheetStid="3"/>
  <pixelatorList sheetStid="1"/>
  <pixelatorList sheetStid="6"/>
  <pixelatorList sheetStid="9"/>
  <pixelatorList sheetStid="10"/>
</pixelators>
</file>

<file path=customXml/item6.xml><?xml version="1.0" encoding="utf-8"?>
<independentViews xmlns="https://web.wps.cn/et/2018/main">
  <sheetItem sheetStid="3">
    <viewData name="马宋玲的视图1" isShared="0">
      <filterInfo filterID="inpFilterID3_CZMXSYVJTQMNSBNJ-dc-appfile:13VmymLReQIQXOtQD9ZL">
        <hiddenRange rowFrom="5" rowTo="5"/>
        <hiddenRange rowFrom="8" rowTo="8"/>
        <hiddenRange rowFrom="12" rowTo="12"/>
        <hiddenRange rowFrom="15" rowTo="15"/>
        <hiddenRange rowFrom="19" rowTo="19"/>
        <hiddenRange rowFrom="28" rowTo="29"/>
        <hiddenRange rowFrom="33" rowTo="33"/>
        <hiddenRange rowFrom="38" rowTo="38"/>
        <hiddenRange rowFrom="43" rowTo="43"/>
        <hiddenRange rowFrom="45" rowTo="45"/>
        <hiddenRange rowFrom="49" rowTo="49"/>
        <hiddenRange rowFrom="52" rowTo="52"/>
        <hiddenRange rowFrom="54" rowTo="54"/>
        <hiddenRange rowFrom="58" rowTo="58"/>
        <hiddenRange rowFrom="60" rowTo="60"/>
        <hiddenRange rowFrom="84" rowTo="85"/>
        <hiddenRange rowFrom="90" rowTo="90"/>
        <hiddenRange rowFrom="95" rowTo="95"/>
        <hiddenRange rowFrom="97" rowTo="98"/>
        <hiddenRange rowFrom="107" rowTo="109"/>
        <hiddenRange rowFrom="115" rowTo="116"/>
        <hiddenRange rowFrom="122" rowTo="122"/>
        <hiddenRange rowFrom="128" rowTo="129"/>
        <hiddenRange rowFrom="163" rowTo="164"/>
        <hiddenRange rowFrom="166" rowTo="166"/>
        <hiddenRange rowFrom="170" rowTo="171"/>
        <hiddenRange rowFrom="173" rowTo="173"/>
        <hiddenRange rowFrom="182" rowTo="183"/>
        <hiddenRange rowFrom="187" rowTo="187"/>
        <hiddenRange rowFrom="191" rowTo="191"/>
        <hiddenRange rowFrom="198" rowTo="199"/>
        <hiddenRange rowFrom="204" rowTo="204"/>
        <hiddenRange rowFrom="207" rowTo="207"/>
        <hiddenRange rowFrom="210" rowTo="210"/>
        <hiddenRange rowFrom="223" rowTo="223"/>
        <hiddenRange rowFrom="230" rowTo="230"/>
        <hiddenRange rowFrom="232" rowTo="233"/>
        <hiddenRange rowFrom="237" rowTo="238"/>
        <hiddenRange rowFrom="242" rowTo="242"/>
        <hiddenRange rowFrom="247" rowTo="248"/>
        <hiddenRange rowFrom="267" rowTo="267"/>
        <hiddenRange rowFrom="277" rowTo="278"/>
        <hiddenRange rowFrom="282" rowTo="283"/>
        <hiddenRange rowFrom="286" rowTo="287"/>
        <hiddenRange rowFrom="291" rowTo="291"/>
        <hiddenRange rowFrom="294" rowTo="294"/>
        <hiddenRange rowFrom="297" rowTo="297"/>
        <hiddenRange rowFrom="301" rowTo="301"/>
        <hiddenRange rowFrom="303" rowTo="303"/>
        <hiddenRange rowFrom="308" rowTo="308"/>
        <hiddenRange rowFrom="310" rowTo="311"/>
        <hiddenRange rowFrom="338" rowTo="339"/>
        <hiddenRange rowFrom="354" rowTo="354"/>
        <hiddenRange rowFrom="356" rowTo="356"/>
        <hiddenRange rowFrom="361" rowTo="361"/>
        <hiddenRange rowFrom="364" rowTo="364"/>
        <hiddenRange rowFrom="366" rowTo="366"/>
        <hiddenRange rowFrom="378" rowTo="378"/>
        <hiddenRange rowFrom="381" rowTo="381"/>
        <hiddenRange rowFrom="384" rowTo="384"/>
        <autoFilter xmlns="http://schemas.openxmlformats.org/spreadsheetml/2006/main" ref="A2:W1252">
          <filterColumn colId="14">
            <customFilters>
              <customFilter operator="equal" val="马宋玲"/>
            </customFilters>
          </filterColumn>
        </autoFilter>
      </filterInfo>
      <rowHiddenInfo/>
      <colHiddenInfo/>
      <freezeInfo>
        <cellLeftTop row="103" col="0"/>
        <wndPos row="0" col="0"/>
      </freezeInfo>
    </viewData>
    <viewData name="马宋玲的视图2" isShared="0">
      <filterInfo filterID="inpFilterID4_CZMXSYVJTQMNSBNJ-dc-appfile:13VmymLReQIQXOtQD9ZL">
        <hiddenRange rowFrom="5" rowTo="5"/>
        <hiddenRange rowFrom="8" rowTo="8"/>
        <hiddenRange rowFrom="12" rowTo="12"/>
        <hiddenRange rowFrom="15" rowTo="15"/>
        <hiddenRange rowFrom="19" rowTo="19"/>
        <hiddenRange rowFrom="28" rowTo="29"/>
        <hiddenRange rowFrom="33" rowTo="33"/>
        <hiddenRange rowFrom="38" rowTo="38"/>
        <hiddenRange rowFrom="43" rowTo="43"/>
        <hiddenRange rowFrom="45" rowTo="45"/>
        <hiddenRange rowFrom="49" rowTo="49"/>
        <hiddenRange rowFrom="52" rowTo="52"/>
        <hiddenRange rowFrom="54" rowTo="54"/>
        <hiddenRange rowFrom="58" rowTo="58"/>
        <hiddenRange rowFrom="60" rowTo="60"/>
        <hiddenRange rowFrom="84" rowTo="85"/>
        <hiddenRange rowFrom="90" rowTo="90"/>
        <hiddenRange rowFrom="95" rowTo="95"/>
        <hiddenRange rowFrom="97" rowTo="98"/>
        <hiddenRange rowFrom="107" rowTo="109"/>
        <hiddenRange rowFrom="115" rowTo="116"/>
        <hiddenRange rowFrom="122" rowTo="122"/>
        <hiddenRange rowFrom="128" rowTo="129"/>
        <hiddenRange rowFrom="163" rowTo="164"/>
        <hiddenRange rowFrom="166" rowTo="166"/>
        <hiddenRange rowFrom="170" rowTo="171"/>
        <hiddenRange rowFrom="173" rowTo="173"/>
        <hiddenRange rowFrom="182" rowTo="183"/>
        <hiddenRange rowFrom="187" rowTo="187"/>
        <hiddenRange rowFrom="191" rowTo="191"/>
        <hiddenRange rowFrom="198" rowTo="199"/>
        <hiddenRange rowFrom="204" rowTo="204"/>
        <hiddenRange rowFrom="207" rowTo="207"/>
        <hiddenRange rowFrom="210" rowTo="210"/>
        <hiddenRange rowFrom="223" rowTo="223"/>
        <hiddenRange rowFrom="230" rowTo="230"/>
        <hiddenRange rowFrom="232" rowTo="233"/>
        <hiddenRange rowFrom="237" rowTo="238"/>
        <hiddenRange rowFrom="242" rowTo="242"/>
        <hiddenRange rowFrom="247" rowTo="248"/>
        <hiddenRange rowFrom="267" rowTo="267"/>
        <hiddenRange rowFrom="277" rowTo="278"/>
        <hiddenRange rowFrom="282" rowTo="283"/>
        <hiddenRange rowFrom="286" rowTo="287"/>
        <hiddenRange rowFrom="291" rowTo="291"/>
        <hiddenRange rowFrom="294" rowTo="294"/>
        <hiddenRange rowFrom="297" rowTo="297"/>
        <hiddenRange rowFrom="301" rowTo="301"/>
        <hiddenRange rowFrom="303" rowTo="303"/>
        <hiddenRange rowFrom="308" rowTo="308"/>
        <hiddenRange rowFrom="310" rowTo="311"/>
        <hiddenRange rowFrom="338" rowTo="339"/>
        <hiddenRange rowFrom="354" rowTo="354"/>
        <hiddenRange rowFrom="356" rowTo="356"/>
        <hiddenRange rowFrom="361" rowTo="361"/>
        <hiddenRange rowFrom="364" rowTo="364"/>
        <hiddenRange rowFrom="366" rowTo="366"/>
        <hiddenRange rowFrom="378" rowTo="378"/>
        <hiddenRange rowFrom="381" rowTo="381"/>
        <hiddenRange rowFrom="384" rowTo="384"/>
        <autoFilter xmlns="http://schemas.openxmlformats.org/spreadsheetml/2006/main" ref="A2:W1252">
          <filterColumn colId="14">
            <customFilters>
              <customFilter operator="equal" val="马宋玲"/>
            </customFilters>
          </filterColumn>
        </autoFilter>
      </filterInfo>
      <rowHiddenInfo/>
      <colHiddenInfo/>
      <freezeInfo>
        <cellLeftTop row="103" col="0"/>
        <wndPos row="0" col="0"/>
      </freezeInfo>
    </viewData>
    <viewData name="马宋玲的视图3" isShared="0">
      <filterInfo filterID="inpFilterID6_CZMXSYVJTQMNSBNJ-dc-appfile:13VmymLReQIQXOtQD9ZL">
        <hiddenRange rowFrom="2" rowTo="851"/>
        <autoFilter xmlns="http://schemas.openxmlformats.org/spreadsheetml/2006/main" ref="A2:X1252">
          <filterColumn colId="14">
            <customFilters>
              <customFilter operator="equal" val="马宋玲"/>
            </customFilters>
          </filterColumn>
        </autoFilter>
      </filterInfo>
      <rowHiddenInfo/>
      <colHiddenInfo/>
      <freezeInfo>
        <cellLeftTop row="0" col="0"/>
        <wndPos row="0" col="0"/>
      </freezeInfo>
    </viewData>
    <viewData name="马宋玲的视图4" isShared="0">
      <filterInfo filterID="inpFilterID12_CZMXSYVJTQMNSBNJ-dc-appfile:13VmymLReQIQXOtQD9ZL">
        <hiddenRange rowFrom="4" rowTo="54"/>
        <hiddenRange rowFrom="56" rowTo="98"/>
        <hiddenRange rowFrom="100" rowTo="164"/>
        <hiddenRange rowFrom="166" rowTo="231"/>
        <hiddenRange rowFrom="233" rowTo="236"/>
        <hiddenRange rowFrom="238" rowTo="246"/>
        <hiddenRange rowFrom="248" rowTo="303"/>
        <hiddenRange rowFrom="305" rowTo="309"/>
        <hiddenRange rowFrom="311" rowTo="365"/>
        <hiddenRange rowFrom="367" rowTo="379"/>
        <hiddenRange rowFrom="381" rowTo="413"/>
        <hiddenRange rowFrom="415" rowTo="416"/>
        <hiddenRange rowFrom="418" rowTo="432"/>
        <hiddenRange rowFrom="434" rowTo="437"/>
        <hiddenRange rowFrom="439" rowTo="443"/>
        <hiddenRange rowFrom="445" rowTo="445"/>
        <hiddenRange rowFrom="447" rowTo="752"/>
        <hiddenRange rowFrom="754" rowTo="754"/>
        <hiddenRange rowFrom="756" rowTo="762"/>
        <hiddenRange rowFrom="764" rowTo="766"/>
        <hiddenRange rowFrom="768" rowTo="775"/>
        <hiddenRange rowFrom="778" rowTo="786"/>
        <hiddenRange rowFrom="788" rowTo="792"/>
        <hiddenRange rowFrom="794" rowTo="799"/>
        <hiddenRange rowFrom="801" rowTo="802"/>
        <hiddenRange rowFrom="804" rowTo="810"/>
        <hiddenRange rowFrom="812" rowTo="824"/>
        <hiddenRange rowFrom="826" rowTo="835"/>
        <hiddenRange rowFrom="837" rowTo="839"/>
        <hiddenRange rowFrom="841" rowTo="844"/>
        <hiddenRange rowFrom="846" rowTo="848"/>
        <hiddenRange rowFrom="850" rowTo="852"/>
        <hiddenRange rowFrom="854" rowTo="854"/>
        <hiddenRange rowFrom="856" rowTo="865"/>
        <hiddenRange rowFrom="867" rowTo="877"/>
        <hiddenRange rowFrom="879" rowTo="913"/>
        <hiddenRange rowFrom="915" rowTo="927"/>
        <hiddenRange rowFrom="929" rowTo="940"/>
        <hiddenRange rowFrom="942" rowTo="953"/>
        <hiddenRange rowFrom="955" rowTo="996"/>
        <hiddenRange rowFrom="998" rowTo="1006"/>
        <hiddenRange rowFrom="1008" rowTo="1018"/>
        <hiddenRange rowFrom="1020" rowTo="1026"/>
        <hiddenRange rowFrom="1029" rowTo="1039"/>
        <hiddenRange rowFrom="1043" rowTo="1047"/>
        <hiddenRange rowFrom="1049" rowTo="1049"/>
        <hiddenRange rowFrom="1053" rowTo="1058"/>
        <hiddenRange rowFrom="1062" rowTo="1067"/>
        <hiddenRange rowFrom="1069" rowTo="1079"/>
        <hiddenRange rowFrom="1083" rowTo="1088"/>
        <hiddenRange rowFrom="1090" rowTo="1090"/>
        <hiddenRange rowFrom="1093" rowTo="1100"/>
        <hiddenRange rowFrom="1104" rowTo="1112"/>
        <hiddenRange rowFrom="1114" rowTo="1121"/>
        <hiddenRange rowFrom="1123" rowTo="1134"/>
        <hiddenRange rowFrom="1138" rowTo="1143"/>
        <hiddenRange rowFrom="1145" rowTo="1145"/>
        <hiddenRange rowFrom="1148" rowTo="1157"/>
        <hiddenRange rowFrom="1161" rowTo="1165"/>
        <hiddenRange rowFrom="1167" rowTo="1167"/>
        <hiddenRange rowFrom="1169" rowTo="1170"/>
        <hiddenRange rowFrom="1172" rowTo="1173"/>
        <hiddenRange rowFrom="1175" rowTo="1210"/>
        <hiddenRange rowFrom="1212" rowTo="1212"/>
        <hiddenRange rowFrom="1215" rowTo="1218"/>
        <hiddenRange rowFrom="1220" rowTo="1228"/>
        <hiddenRange rowFrom="1232" rowTo="1239"/>
        <hiddenRange rowFrom="1241" rowTo="1244"/>
        <hiddenRange rowFrom="1246" rowTo="1249"/>
        <hiddenRange rowFrom="1251" rowTo="1251"/>
        <autoFilter xmlns="http://schemas.openxmlformats.org/spreadsheetml/2006/main" ref="A2:X1252">
          <filterColumn colId="9">
            <customFilters>
              <customFilter operator="equal" val="高潜力"/>
            </customFilters>
          </filterColumn>
          <filterColumn colId="13">
            <customFilters>
              <customFilter operator="equal" val="高"/>
            </customFilters>
          </filterColumn>
        </autoFilter>
      </filterInfo>
      <rowHiddenInfo/>
      <colHiddenInfo>
        <hiddenRange colFrom="2" colTo="4"/>
      </colHiddenInfo>
      <freezeInfo>
        <cellLeftTop row="0" col="0"/>
        <wndPos row="2" col="0"/>
      </freezeInfo>
    </viewData>
    <viewData name="杨秀兰的视图1" isShared="0">
      <filterInfo filterID="inpFilterID9_CZMXSYVJTQMNSBNJ-dc-appfile:Bz-SvfOwWLV3lmy-dvAX">
        <hiddenRange rowFrom="2" rowTo="51"/>
        <hiddenRange rowFrom="54" rowTo="1047"/>
        <hiddenRange rowFrom="1049" rowTo="1254"/>
        <autoFilter xmlns="http://schemas.openxmlformats.org/spreadsheetml/2006/main" ref="A2:X1255">
          <filterColumn colId="1">
            <customFilters>
              <customFilter operator="equal" val="杨秀兰"/>
            </customFilters>
          </filterColumn>
        </autoFilter>
      </filterInfo>
      <rowHiddenInfo/>
      <colHiddenInfo/>
      <freezeInfo>
        <cellLeftTop row="0" col="0"/>
        <wndPos row="2" col="0"/>
      </freezeInfo>
    </viewData>
    <viewData name="田晓微的视图1" isShared="0">
      <filterInfo filterID="inpFilterID4_CZMXSYVJTQMNSBNJ-dc-appfile:YrLR6CPjibhtHAmoKfp7">
        <hiddenRange rowFrom="5" rowTo="5"/>
        <hiddenRange rowFrom="8" rowTo="8"/>
        <hiddenRange rowFrom="12" rowTo="12"/>
        <hiddenRange rowFrom="15" rowTo="15"/>
        <hiddenRange rowFrom="19" rowTo="19"/>
        <hiddenRange rowFrom="28" rowTo="29"/>
        <hiddenRange rowFrom="33" rowTo="33"/>
        <hiddenRange rowFrom="38" rowTo="38"/>
        <hiddenRange rowFrom="43" rowTo="43"/>
        <hiddenRange rowFrom="45" rowTo="45"/>
        <hiddenRange rowFrom="49" rowTo="49"/>
        <hiddenRange rowFrom="52" rowTo="52"/>
        <hiddenRange rowFrom="58" rowTo="58"/>
        <hiddenRange rowFrom="60" rowTo="60"/>
        <hiddenRange rowFrom="84" rowTo="85"/>
        <hiddenRange rowFrom="90" rowTo="90"/>
        <hiddenRange rowFrom="95" rowTo="95"/>
        <hiddenRange rowFrom="97" rowTo="98"/>
        <hiddenRange rowFrom="107" rowTo="109"/>
        <hiddenRange rowFrom="115" rowTo="116"/>
        <hiddenRange rowFrom="122" rowTo="122"/>
        <hiddenRange rowFrom="128" rowTo="129"/>
        <hiddenRange rowFrom="163" rowTo="163"/>
        <hiddenRange rowFrom="166" rowTo="166"/>
        <hiddenRange rowFrom="170" rowTo="171"/>
        <hiddenRange rowFrom="173" rowTo="173"/>
        <hiddenRange rowFrom="182" rowTo="183"/>
        <hiddenRange rowFrom="187" rowTo="187"/>
        <hiddenRange rowFrom="191" rowTo="191"/>
        <hiddenRange rowFrom="198" rowTo="199"/>
        <hiddenRange rowFrom="204" rowTo="204"/>
        <hiddenRange rowFrom="207" rowTo="207"/>
        <hiddenRange rowFrom="210" rowTo="210"/>
        <hiddenRange rowFrom="223" rowTo="223"/>
        <hiddenRange rowFrom="230" rowTo="230"/>
        <hiddenRange rowFrom="233" rowTo="233"/>
        <hiddenRange rowFrom="238" rowTo="238"/>
        <hiddenRange rowFrom="242" rowTo="242"/>
        <hiddenRange rowFrom="248" rowTo="248"/>
        <hiddenRange rowFrom="267" rowTo="267"/>
        <hiddenRange rowFrom="277" rowTo="278"/>
        <hiddenRange rowFrom="282" rowTo="283"/>
        <hiddenRange rowFrom="286" rowTo="287"/>
        <hiddenRange rowFrom="291" rowTo="291"/>
        <hiddenRange rowFrom="294" rowTo="294"/>
        <hiddenRange rowFrom="297" rowTo="297"/>
        <hiddenRange rowFrom="301" rowTo="301"/>
        <hiddenRange rowFrom="308" rowTo="308"/>
        <hiddenRange rowFrom="311" rowTo="311"/>
        <hiddenRange rowFrom="338" rowTo="339"/>
        <hiddenRange rowFrom="354" rowTo="354"/>
        <hiddenRange rowFrom="356" rowTo="356"/>
        <hiddenRange rowFrom="361" rowTo="361"/>
        <hiddenRange rowFrom="364" rowTo="364"/>
        <hiddenRange rowFrom="366" rowTo="366"/>
        <hiddenRange rowFrom="378" rowTo="378"/>
        <hiddenRange rowFrom="381" rowTo="381"/>
        <hiddenRange rowFrom="384" rowTo="384"/>
        <autoFilter xmlns="http://schemas.openxmlformats.org/spreadsheetml/2006/main" ref="A2:W1252">
          <filterColumn colId="15">
            <customFilters>
              <customFilter operator="equal" val="审核顾问岗"/>
            </customFilters>
          </filterColumn>
        </autoFilter>
      </filterInfo>
      <rowHiddenInfo/>
      <colHiddenInfo/>
      <freezeInfo>
        <cellLeftTop row="38" col="3"/>
        <wndPos row="0" col="0"/>
      </freezeInfo>
    </viewData>
    <viewData name="孙大年的视图1" isShared="0">
      <filterInfo filterID="inpFilterID5_CZMXSYVJTQMNSBNJ-dc-appfile:e1MiO_dHTwHUbcFuazXx">
        <hiddenRange rowFrom="5" rowTo="6"/>
        <hiddenRange rowFrom="8" rowTo="8"/>
        <hiddenRange rowFrom="12" rowTo="12"/>
        <hiddenRange rowFrom="15" rowTo="15"/>
        <hiddenRange rowFrom="19" rowTo="19"/>
        <hiddenRange rowFrom="28" rowTo="29"/>
        <hiddenRange rowFrom="33" rowTo="33"/>
        <hiddenRange rowFrom="38" rowTo="38"/>
        <hiddenRange rowFrom="43" rowTo="43"/>
        <hiddenRange rowFrom="45" rowTo="45"/>
        <hiddenRange rowFrom="49" rowTo="49"/>
        <hiddenRange rowFrom="51" rowTo="52"/>
        <hiddenRange rowFrom="54" rowTo="54"/>
        <hiddenRange rowFrom="58" rowTo="58"/>
        <hiddenRange rowFrom="60" rowTo="60"/>
        <hiddenRange rowFrom="84" rowTo="85"/>
        <hiddenRange rowFrom="90" rowTo="90"/>
        <hiddenRange rowFrom="95" rowTo="95"/>
        <hiddenRange rowFrom="97" rowTo="98"/>
        <hiddenRange rowFrom="104" rowTo="109"/>
        <hiddenRange rowFrom="115" rowTo="116"/>
        <hiddenRange rowFrom="122" rowTo="122"/>
        <hiddenRange rowFrom="128" rowTo="129"/>
        <hiddenRange rowFrom="163" rowTo="164"/>
        <hiddenRange rowFrom="166" rowTo="166"/>
        <hiddenRange rowFrom="170" rowTo="171"/>
        <hiddenRange rowFrom="173" rowTo="173"/>
        <hiddenRange rowFrom="182" rowTo="183"/>
        <hiddenRange rowFrom="187" rowTo="187"/>
        <hiddenRange rowFrom="189" rowTo="189"/>
        <hiddenRange rowFrom="191" rowTo="191"/>
        <hiddenRange rowFrom="198" rowTo="199"/>
        <hiddenRange rowFrom="204" rowTo="210"/>
        <hiddenRange rowFrom="223" rowTo="223"/>
        <hiddenRange rowFrom="230" rowTo="230"/>
        <hiddenRange rowFrom="232" rowTo="233"/>
        <hiddenRange rowFrom="237" rowTo="238"/>
        <hiddenRange rowFrom="240" rowTo="242"/>
        <hiddenRange rowFrom="247" rowTo="248"/>
        <hiddenRange rowFrom="267" rowTo="267"/>
        <hiddenRange rowFrom="277" rowTo="278"/>
        <hiddenRange rowFrom="282" rowTo="283"/>
        <hiddenRange rowFrom="286" rowTo="287"/>
        <hiddenRange rowFrom="291" rowTo="291"/>
        <hiddenRange rowFrom="294" rowTo="294"/>
        <hiddenRange rowFrom="297" rowTo="297"/>
        <hiddenRange rowFrom="301" rowTo="301"/>
        <hiddenRange rowFrom="303" rowTo="303"/>
        <hiddenRange rowFrom="308" rowTo="308"/>
        <hiddenRange rowFrom="310" rowTo="311"/>
        <hiddenRange rowFrom="338" rowTo="339"/>
        <hiddenRange rowFrom="354" rowTo="354"/>
        <hiddenRange rowFrom="356" rowTo="356"/>
        <hiddenRange rowFrom="361" rowTo="361"/>
        <hiddenRange rowFrom="364" rowTo="364"/>
        <hiddenRange rowFrom="366" rowTo="366"/>
        <hiddenRange rowFrom="378" rowTo="378"/>
        <hiddenRange rowFrom="381" rowTo="381"/>
        <hiddenRange rowFrom="384" rowTo="384"/>
        <autoFilter xmlns="http://schemas.openxmlformats.org/spreadsheetml/2006/main" ref="A2:W1252">
          <filterColumn colId="14">
            <customFilters>
              <customFilter operator="equal" val=""/>
              <customFilter operator="equal" val="孙大年"/>
            </customFilters>
          </filterColumn>
        </autoFilter>
      </filterInfo>
      <rowHiddenInfo/>
      <colHiddenInfo/>
      <freezeInfo>
        <cellLeftTop row="99" col="5"/>
        <wndPos row="0" col="0"/>
      </freezeInfo>
    </viewData>
    <viewData name="殷庆媛的视图1" isShared="0">
      <filterInfo filterID="inpFilterID1_CZMXSYVJTQMNSBNJ-dc-appfile:naO9cP9DegZDVxnoLZmM">
        <hiddenRange rowFrom="2" rowTo="65"/>
        <hiddenRange rowFrom="67" rowTo="134"/>
        <hiddenRange rowFrom="136" rowTo="172"/>
        <hiddenRange rowFrom="174" rowTo="190"/>
        <hiddenRange rowFrom="192" rowTo="209"/>
        <hiddenRange rowFrom="211" rowTo="253"/>
        <hiddenRange rowFrom="255" rowTo="316"/>
        <hiddenRange rowFrom="318" rowTo="344"/>
        <hiddenRange rowFrom="346" rowTo="375"/>
        <hiddenRange rowFrom="377" rowTo="389"/>
        <hiddenRange rowFrom="391" rowTo="405"/>
        <hiddenRange rowFrom="407" rowTo="407"/>
        <hiddenRange rowFrom="409" rowTo="743"/>
        <hiddenRange rowFrom="745" rowTo="749"/>
        <hiddenRange rowFrom="751" rowTo="758"/>
        <hiddenRange rowFrom="760" rowTo="769"/>
        <hiddenRange rowFrom="771" rowTo="788"/>
        <hiddenRange rowFrom="790" rowTo="796"/>
        <hiddenRange rowFrom="798" rowTo="845"/>
        <hiddenRange rowFrom="847" rowTo="990"/>
        <hiddenRange rowFrom="992" rowTo="1029"/>
        <hiddenRange rowFrom="1031" rowTo="1047"/>
        <hiddenRange rowFrom="1049" rowTo="1147"/>
        <hiddenRange rowFrom="1149" rowTo="1251"/>
        <autoFilter xmlns="http://schemas.openxmlformats.org/spreadsheetml/2006/main" ref="A2:X1252">
          <filterColumn colId="8">
            <customFilters>
              <customFilter operator="equal" val="数据提取"/>
            </customFilters>
          </filterColumn>
          <filterColumn colId="13">
            <customFilters>
              <customFilter operator="equal" val="中"/>
            </customFilters>
          </filterColumn>
        </autoFilter>
      </filterInfo>
      <rowHiddenInfo/>
      <colHiddenInfo/>
      <freezeInfo>
        <cellLeftTop row="0" col="0"/>
        <wndPos row="0" col="0"/>
      </freezeInfo>
    </viewData>
    <viewData name="李勇的视图1" isShared="0">
      <filterInfo filterID="inpFilterID10_CZMXSYVJTQMNSBNJ-dc-appfile:r750ClVFL-lI6zGy83o7">
        <autoFilter xmlns="http://schemas.openxmlformats.org/spreadsheetml/2006/main" ref="A2:X1255"/>
      </filterInfo>
      <rowHiddenInfo/>
      <colHiddenInfo/>
      <freezeInfo>
        <cellLeftTop row="0" col="0"/>
        <wndPos row="2" col="0"/>
      </freezeInfo>
    </viewData>
    <userInfo userId="CZMXSYVJTQMNSBNJ-dc-appfile:13VmymLReQIQXOtQD9ZL" activeViewId="-1">
      <permissionViewsId viewId="1"/>
      <permissionViewsId viewId="2"/>
      <permissionViewsId viewId="3"/>
      <permissionViewsId viewId="4"/>
    </userInfo>
    <userInfo userId="CZMXSYVJTQMNSBNJ-dc-appfile:Bz-SvfOwWLV3lmy-dvAX" activeViewId="-1">
      <permissionViewsId viewId="5"/>
    </userInfo>
    <userInfo userId="CZMXSYVJTQMNSBNJ-dc-appfile:YrLR6CPjibhtHAmoKfp7" activeViewId="-1">
      <permissionViewsId viewId="6"/>
    </userInfo>
    <userInfo userId="CZMXSYVJTQMNSBNJ-dc-appfile:e1MiO_dHTwHUbcFuazXx" activeViewId="-1">
      <permissionViewsId viewId="7"/>
    </userInfo>
    <userInfo userId="CZMXSYVJTQMNSBNJ-dc-appfile:naO9cP9DegZDVxnoLZmM" activeViewId="-1">
      <permissionViewsId viewId="8"/>
    </userInfo>
    <userInfo userId="CZMXSYVJTQMNSBNJ-dc-appfile:r750ClVFL-lI6zGy83o7" activeViewId="-1">
      <permissionViewsId viewId="9"/>
    </userInfo>
  </sheetItem>
</independentViews>
</file>

<file path=customXml/itemProps1.xml><?xml version="1.0" encoding="utf-8"?>
<ds:datastoreItem xmlns:ds="http://schemas.openxmlformats.org/officeDocument/2006/customXml" ds:itemID="{576a6740-a502-43ae-9f28-c9e454320052}">
  <ds:schemaRefs>
    <ds:schemaRef ds:uri="http://www.wps.cn/et/2023/dataValidationExt"/>
  </ds:schemaRefs>
</ds:datastoreItem>
</file>

<file path=customXml/itemProps2.xml><?xml version="1.0" encoding="utf-8"?>
<ds:datastoreItem xmlns:ds="http://schemas.openxmlformats.org/officeDocument/2006/customXml">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A02B7E37-CEC0-4786-9FA4-411A3DC5961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WWO_wpscloud_20260417174217-7175f53936</Application>
  <HeadingPairs>
    <vt:vector size="2" baseType="variant">
      <vt:variant>
        <vt:lpstr>工作表</vt:lpstr>
      </vt:variant>
      <vt:variant>
        <vt:i4>5</vt:i4>
      </vt:variant>
    </vt:vector>
  </HeadingPairs>
  <TitlesOfParts>
    <vt:vector size="5" baseType="lpstr">
      <vt:lpstr>综合运营AI转型通道委员</vt:lpstr>
      <vt:lpstr>综合运营AI通道名单(不含消金公司CXO直管+风险+客服</vt:lpstr>
      <vt:lpstr>Sheet1</vt:lpstr>
      <vt:lpstr>下拉选项库勿动</vt:lpstr>
      <vt:lpstr>工作模块</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2018-06-17T16:28:00Z</dcterms:created>
  <dc:creator>金山文档</dc:creator>
  <dc:description>null; download by sundanian</dc:description>
  <cp:lastModifiedBy>李思萍</cp:lastModifiedBy>
  <dcterms:modified xsi:type="dcterms:W3CDTF">2019-06-05T15:34:00Z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2052-12.9.0.25410</vt:lpwstr>
  </property>
  <property fmtid="{D5CDD505-2E9C-101B-9397-08002B2CF9AE}" pid="3" name="CalculationRule">
    <vt:i4>0</vt:i4>
  </property>
  <property fmtid="{D5CDD505-2E9C-101B-9397-08002B2CF9AE}" pid="4" name="ICV">
    <vt:lpwstr>D9C0CDC13F12EEDE4B9A196A79BCC9EA_42</vt:lpwstr>
  </property>
</Properties>
</file>