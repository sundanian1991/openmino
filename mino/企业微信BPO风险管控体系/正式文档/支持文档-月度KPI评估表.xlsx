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mino/企业微信BPO风险管控体系/正式文档/"/>
    </mc:Choice>
  </mc:AlternateContent>
  <xr:revisionPtr revIDLastSave="0" documentId="13_ncr:1_{01CDC568-4D1D-9745-AFFF-7CBE48AFCEB5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月度KPI评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28" i="1"/>
  <c r="D31" i="1" s="1"/>
  <c r="D23" i="1"/>
  <c r="D22" i="1"/>
  <c r="D21" i="1"/>
  <c r="D16" i="1"/>
  <c r="C29" i="1" s="1"/>
  <c r="D15" i="1"/>
  <c r="D17" i="1" s="1"/>
  <c r="D10" i="1"/>
  <c r="C28" i="1" s="1"/>
  <c r="D30" i="1" s="1"/>
  <c r="D9" i="1"/>
  <c r="D8" i="1"/>
  <c r="D11" i="1" s="1"/>
  <c r="D24" i="1" l="1"/>
  <c r="C30" i="1" s="1"/>
</calcChain>
</file>

<file path=xl/sharedStrings.xml><?xml version="1.0" encoding="utf-8"?>
<sst xmlns="http://schemas.openxmlformats.org/spreadsheetml/2006/main" count="75" uniqueCount="63">
  <si>
    <t>月度KPI评估表</t>
  </si>
  <si>
    <t>评估单号：</t>
  </si>
  <si>
    <t>评估月份：</t>
  </si>
  <si>
    <t>供应商名称：</t>
  </si>
  <si>
    <t>评估日期：</t>
  </si>
  <si>
    <t>一、服务质量指标（50分）</t>
  </si>
  <si>
    <t>指标</t>
  </si>
  <si>
    <t>目标值</t>
  </si>
  <si>
    <t>实际值</t>
  </si>
  <si>
    <t>得分</t>
  </si>
  <si>
    <t>评分说明</t>
  </si>
  <si>
    <t>客户满意度</t>
  </si>
  <si>
    <t>≥90%</t>
  </si>
  <si>
    <t>每低1%扣2.5分</t>
  </si>
  <si>
    <t>首次响应时间</t>
  </si>
  <si>
    <t>≤30秒</t>
  </si>
  <si>
    <t>每超10秒扣2分</t>
  </si>
  <si>
    <t>投诉率</t>
  </si>
  <si>
    <t>≤1%</t>
  </si>
  <si>
    <t>每超0.1%扣1分</t>
  </si>
  <si>
    <t>二、运营效率指标（25分）</t>
  </si>
  <si>
    <t>消息处理量</t>
  </si>
  <si>
    <t>≥_______条</t>
  </si>
  <si>
    <t>按达成率计算</t>
  </si>
  <si>
    <t>有效互动率</t>
  </si>
  <si>
    <t>≥30%</t>
  </si>
  <si>
    <t>每低1%扣1分</t>
  </si>
  <si>
    <t>三、合规安全指标（25分）</t>
  </si>
  <si>
    <t>违规事件数</t>
  </si>
  <si>
    <t>0起</t>
  </si>
  <si>
    <t>每发生1起扣10分</t>
  </si>
  <si>
    <t>培训通过率</t>
  </si>
  <si>
    <t>100%</t>
  </si>
  <si>
    <t>每低1%扣2分</t>
  </si>
  <si>
    <t>日志异常</t>
  </si>
  <si>
    <t>0次</t>
  </si>
  <si>
    <t>每发生1次扣3分</t>
  </si>
  <si>
    <t>四、月度评分汇总</t>
  </si>
  <si>
    <t>维度</t>
  </si>
  <si>
    <t>权重</t>
  </si>
  <si>
    <t>加权得分</t>
  </si>
  <si>
    <t>服务质量</t>
  </si>
  <si>
    <t>50%</t>
  </si>
  <si>
    <t>运营效率</t>
  </si>
  <si>
    <t>25%</t>
  </si>
  <si>
    <t>合规安全</t>
  </si>
  <si>
    <t>总分</t>
  </si>
  <si>
    <t>五、等级评定</t>
  </si>
  <si>
    <t>得分：≥90分</t>
  </si>
  <si>
    <t>等级：A-优秀</t>
  </si>
  <si>
    <t>□优先派单 □奖励机制 □扩量倾斜</t>
  </si>
  <si>
    <t>得分：80-89分</t>
  </si>
  <si>
    <t>等级：B-良好</t>
  </si>
  <si>
    <t>□正常合作</t>
  </si>
  <si>
    <t>得分：70-79分</t>
  </si>
  <si>
    <t>等级：C-待改进</t>
  </si>
  <si>
    <t>□约谈整改 □降低派单量 □增加检查频次</t>
  </si>
  <si>
    <t>得分：&lt;70分</t>
  </si>
  <si>
    <t>等级：D-不合格</t>
  </si>
  <si>
    <t>□暂停合作 □限期整改 □启动退出流程</t>
  </si>
  <si>
    <t>六、违规记录</t>
  </si>
  <si>
    <t>本月违规处罚：</t>
  </si>
  <si>
    <t>罚款_______元，人员更换_______人，项目暂停_______天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</si>
</sst>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name val="京东朗正体 玲珑"/>
      <family val="4"/>
      <charset val="134"/>
    </font>
    <font>
      <sz val="11"/>
      <color theme="1"/>
      <name val="京东朗正体 玲珑"/>
      <family val="4"/>
      <charset val="134"/>
    </font>
    <font>
      <b/>
      <sz val="12"/>
      <name val="京东朗正体 玲珑"/>
      <family val="4"/>
      <charset val="134"/>
    </font>
    <font>
      <b/>
      <sz val="11"/>
      <name val="京东朗正体 玲珑"/>
      <family val="4"/>
      <charset val="134"/>
    </font>
    <font>
      <b/>
      <sz val="14"/>
      <name val="京东朗正体 玲珑"/>
      <family val="4"/>
      <charset val="134"/>
    </font>
  </fonts>
  <fills count="5">
    <fill>
      <patternFill patternType="none"/>
    </fill>
    <fill>
      <patternFill patternType="gray125"/>
    </fill>
    <fill>
      <patternFill patternType="solid">
        <fgColor rgb="FFD5E8F0"/>
      </patternFill>
    </fill>
    <fill>
      <patternFill patternType="solid">
        <fgColor rgb="FFE2EFDA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0" fillId="0" borderId="1" xfId="0" applyBorder="1"/>
    <xf numFmtId="0" fontId="3" fillId="0" borderId="1" xfId="0" applyFont="1" applyBorder="1"/>
    <xf numFmtId="0" fontId="5" fillId="2" borderId="1" xfId="0" applyFont="1" applyFill="1" applyBorder="1"/>
    <xf numFmtId="0" fontId="5" fillId="0" borderId="1" xfId="0" applyFont="1" applyBorder="1"/>
    <xf numFmtId="0" fontId="5" fillId="3" borderId="1" xfId="0" applyFont="1" applyFill="1" applyBorder="1"/>
    <xf numFmtId="0" fontId="6" fillId="4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H38" sqref="H38"/>
    </sheetView>
  </sheetViews>
  <sheetFormatPr baseColWidth="10" defaultColWidth="8.83203125" defaultRowHeight="14"/>
  <cols>
    <col min="1" max="1" width="15" style="1" customWidth="1"/>
    <col min="2" max="3" width="12" style="1" customWidth="1"/>
    <col min="4" max="4" width="19.6640625" style="1" customWidth="1"/>
    <col min="5" max="5" width="35" style="1" customWidth="1"/>
    <col min="6" max="6" width="8.83203125" style="1" customWidth="1"/>
    <col min="7" max="16384" width="8.83203125" style="1"/>
  </cols>
  <sheetData>
    <row r="1" spans="1:5" ht="25" customHeight="1">
      <c r="A1" s="11" t="s">
        <v>0</v>
      </c>
      <c r="B1" s="9"/>
      <c r="C1" s="9"/>
      <c r="D1" s="9"/>
      <c r="E1" s="9"/>
    </row>
    <row r="2" spans="1:5">
      <c r="A2" s="2"/>
      <c r="B2" s="2"/>
      <c r="C2" s="2"/>
      <c r="D2" s="2"/>
      <c r="E2" s="2"/>
    </row>
    <row r="3" spans="1:5">
      <c r="A3" s="3" t="s">
        <v>1</v>
      </c>
      <c r="B3" s="2"/>
      <c r="C3" s="3" t="s">
        <v>2</v>
      </c>
      <c r="D3" s="2"/>
      <c r="E3" s="2"/>
    </row>
    <row r="4" spans="1:5">
      <c r="A4" s="3" t="s">
        <v>3</v>
      </c>
      <c r="B4" s="2"/>
      <c r="C4" s="3" t="s">
        <v>4</v>
      </c>
      <c r="D4" s="2"/>
      <c r="E4" s="2"/>
    </row>
    <row r="5" spans="1:5">
      <c r="A5" s="2"/>
      <c r="B5" s="2"/>
      <c r="C5" s="2"/>
      <c r="D5" s="2"/>
      <c r="E5" s="2"/>
    </row>
    <row r="6" spans="1:5" ht="15" customHeight="1">
      <c r="A6" s="8" t="s">
        <v>5</v>
      </c>
      <c r="B6" s="9"/>
      <c r="C6" s="9"/>
      <c r="D6" s="9"/>
      <c r="E6" s="9"/>
    </row>
    <row r="7" spans="1:5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</row>
    <row r="8" spans="1:5">
      <c r="A8" s="3" t="s">
        <v>11</v>
      </c>
      <c r="B8" s="3" t="s">
        <v>12</v>
      </c>
      <c r="C8" s="3"/>
      <c r="D8" s="3" t="e">
        <f>IF(C7&gt;0,MIN(25,25-(90-C7)*2.5),0)</f>
        <v>#VALUE!</v>
      </c>
      <c r="E8" s="3" t="s">
        <v>13</v>
      </c>
    </row>
    <row r="9" spans="1:5">
      <c r="A9" s="3" t="s">
        <v>14</v>
      </c>
      <c r="B9" s="3" t="s">
        <v>15</v>
      </c>
      <c r="C9" s="3"/>
      <c r="D9" s="3">
        <f>IF(C8&gt;0,MIN(15,15-(C8-30)/10*2),0)</f>
        <v>0</v>
      </c>
      <c r="E9" s="3" t="s">
        <v>16</v>
      </c>
    </row>
    <row r="10" spans="1:5">
      <c r="A10" s="3" t="s">
        <v>17</v>
      </c>
      <c r="B10" s="3" t="s">
        <v>18</v>
      </c>
      <c r="C10" s="3"/>
      <c r="D10" s="3">
        <f>IF(C9&gt;0,MIN(10,10-(C9-1)*100),0)</f>
        <v>0</v>
      </c>
      <c r="E10" s="3" t="s">
        <v>19</v>
      </c>
    </row>
    <row r="11" spans="1:5" ht="20" customHeight="1">
      <c r="A11" s="3"/>
      <c r="B11" s="3"/>
      <c r="C11" s="3"/>
      <c r="D11" s="5" t="e">
        <f>SUM(D7:D9)</f>
        <v>#VALUE!</v>
      </c>
      <c r="E11" s="3"/>
    </row>
    <row r="12" spans="1:5">
      <c r="A12" s="2"/>
      <c r="B12" s="2"/>
      <c r="C12" s="2"/>
      <c r="D12" s="2"/>
      <c r="E12" s="2"/>
    </row>
    <row r="13" spans="1:5" ht="15" customHeight="1">
      <c r="A13" s="8" t="s">
        <v>20</v>
      </c>
      <c r="B13" s="9"/>
      <c r="C13" s="9"/>
      <c r="D13" s="9"/>
      <c r="E13" s="9"/>
    </row>
    <row r="14" spans="1:5">
      <c r="A14" s="4" t="s">
        <v>6</v>
      </c>
      <c r="B14" s="4" t="s">
        <v>7</v>
      </c>
      <c r="C14" s="4" t="s">
        <v>8</v>
      </c>
      <c r="D14" s="4" t="s">
        <v>9</v>
      </c>
      <c r="E14" s="4" t="s">
        <v>10</v>
      </c>
    </row>
    <row r="15" spans="1:5">
      <c r="A15" s="3" t="s">
        <v>21</v>
      </c>
      <c r="B15" s="3" t="s">
        <v>22</v>
      </c>
      <c r="C15" s="3"/>
      <c r="D15" s="3" t="e">
        <f>IF(C14&gt;0,MIN(15,15*C14/5000),0)</f>
        <v>#VALUE!</v>
      </c>
      <c r="E15" s="3" t="s">
        <v>23</v>
      </c>
    </row>
    <row r="16" spans="1:5">
      <c r="A16" s="3" t="s">
        <v>24</v>
      </c>
      <c r="B16" s="3" t="s">
        <v>25</v>
      </c>
      <c r="C16" s="3"/>
      <c r="D16" s="3">
        <f>IF(C15&gt;0,MIN(10,10*C15/30),0)</f>
        <v>0</v>
      </c>
      <c r="E16" s="3" t="s">
        <v>26</v>
      </c>
    </row>
    <row r="17" spans="1:5" ht="20" customHeight="1">
      <c r="A17" s="3"/>
      <c r="B17" s="3"/>
      <c r="C17" s="3"/>
      <c r="D17" s="5" t="e">
        <f>SUM(D14:D15)</f>
        <v>#VALUE!</v>
      </c>
      <c r="E17" s="3"/>
    </row>
    <row r="18" spans="1:5">
      <c r="A18" s="2"/>
      <c r="B18" s="2"/>
      <c r="C18" s="2"/>
      <c r="D18" s="2"/>
      <c r="E18" s="2"/>
    </row>
    <row r="19" spans="1:5" ht="15" customHeight="1">
      <c r="A19" s="8" t="s">
        <v>27</v>
      </c>
      <c r="B19" s="9"/>
      <c r="C19" s="9"/>
      <c r="D19" s="9"/>
      <c r="E19" s="9"/>
    </row>
    <row r="20" spans="1:5">
      <c r="A20" s="4" t="s">
        <v>6</v>
      </c>
      <c r="B20" s="4" t="s">
        <v>7</v>
      </c>
      <c r="C20" s="4" t="s">
        <v>8</v>
      </c>
      <c r="D20" s="4" t="s">
        <v>9</v>
      </c>
      <c r="E20" s="4" t="s">
        <v>10</v>
      </c>
    </row>
    <row r="21" spans="1:5">
      <c r="A21" s="3" t="s">
        <v>28</v>
      </c>
      <c r="B21" s="3" t="s">
        <v>29</v>
      </c>
      <c r="C21" s="3"/>
      <c r="D21" s="3">
        <f>IF(C21=0,15,0)</f>
        <v>15</v>
      </c>
      <c r="E21" s="3" t="s">
        <v>30</v>
      </c>
    </row>
    <row r="22" spans="1:5">
      <c r="A22" s="3" t="s">
        <v>31</v>
      </c>
      <c r="B22" s="3" t="s">
        <v>32</v>
      </c>
      <c r="C22" s="3"/>
      <c r="D22" s="3">
        <f>IF(C22&gt;0,MIN(5,5*C22),0)</f>
        <v>0</v>
      </c>
      <c r="E22" s="3" t="s">
        <v>33</v>
      </c>
    </row>
    <row r="23" spans="1:5">
      <c r="A23" s="3" t="s">
        <v>34</v>
      </c>
      <c r="B23" s="3" t="s">
        <v>35</v>
      </c>
      <c r="C23" s="3"/>
      <c r="D23" s="3">
        <f>IF(C23=0,5,MAX(0,5-C23*3))</f>
        <v>5</v>
      </c>
      <c r="E23" s="3" t="s">
        <v>36</v>
      </c>
    </row>
    <row r="24" spans="1:5" ht="20" customHeight="1">
      <c r="A24" s="3"/>
      <c r="B24" s="3"/>
      <c r="C24" s="3"/>
      <c r="D24" s="5">
        <f>SUM(D21:D23)</f>
        <v>20</v>
      </c>
      <c r="E24" s="3"/>
    </row>
    <row r="25" spans="1:5">
      <c r="A25" s="2"/>
      <c r="B25" s="2"/>
      <c r="C25" s="2"/>
      <c r="D25" s="2"/>
      <c r="E25" s="2"/>
    </row>
    <row r="26" spans="1:5" ht="15" customHeight="1">
      <c r="A26" s="8" t="s">
        <v>37</v>
      </c>
      <c r="B26" s="9"/>
      <c r="C26" s="9"/>
      <c r="D26" s="9"/>
      <c r="E26" s="9"/>
    </row>
    <row r="27" spans="1:5">
      <c r="A27" s="6" t="s">
        <v>38</v>
      </c>
      <c r="B27" s="6" t="s">
        <v>39</v>
      </c>
      <c r="C27" s="6" t="s">
        <v>9</v>
      </c>
      <c r="D27" s="6" t="s">
        <v>40</v>
      </c>
      <c r="E27" s="6"/>
    </row>
    <row r="28" spans="1:5">
      <c r="A28" s="3" t="s">
        <v>41</v>
      </c>
      <c r="B28" s="3" t="s">
        <v>42</v>
      </c>
      <c r="C28" s="3">
        <f>D10</f>
        <v>0</v>
      </c>
      <c r="D28" s="3">
        <f>C26*0.5</f>
        <v>0</v>
      </c>
      <c r="E28" s="2"/>
    </row>
    <row r="29" spans="1:5">
      <c r="A29" s="3" t="s">
        <v>43</v>
      </c>
      <c r="B29" s="3" t="s">
        <v>44</v>
      </c>
      <c r="C29" s="3">
        <f>D16</f>
        <v>0</v>
      </c>
      <c r="D29" s="3" t="e">
        <f>C27*0.25</f>
        <v>#VALUE!</v>
      </c>
      <c r="E29" s="2"/>
    </row>
    <row r="30" spans="1:5">
      <c r="A30" s="3" t="s">
        <v>45</v>
      </c>
      <c r="B30" s="3" t="s">
        <v>44</v>
      </c>
      <c r="C30" s="3">
        <f>D24</f>
        <v>20</v>
      </c>
      <c r="D30" s="3">
        <f>C28*0.25</f>
        <v>0</v>
      </c>
      <c r="E30" s="2"/>
    </row>
    <row r="31" spans="1:5" ht="25" customHeight="1">
      <c r="A31" s="5" t="s">
        <v>46</v>
      </c>
      <c r="B31" s="2"/>
      <c r="C31" s="2"/>
      <c r="D31" s="7">
        <f>SUM(D26:D28)</f>
        <v>0</v>
      </c>
      <c r="E31" s="2"/>
    </row>
    <row r="32" spans="1:5">
      <c r="A32" s="2"/>
      <c r="B32" s="2"/>
      <c r="C32" s="2"/>
      <c r="D32" s="2"/>
      <c r="E32" s="2"/>
    </row>
    <row r="33" spans="1:5" ht="15" customHeight="1">
      <c r="A33" s="8" t="s">
        <v>47</v>
      </c>
      <c r="B33" s="9"/>
      <c r="C33" s="9"/>
      <c r="D33" s="9"/>
      <c r="E33" s="9"/>
    </row>
    <row r="34" spans="1:5">
      <c r="A34" s="3" t="s">
        <v>48</v>
      </c>
      <c r="B34" s="3" t="s">
        <v>49</v>
      </c>
      <c r="C34" s="10" t="s">
        <v>50</v>
      </c>
      <c r="D34" s="9"/>
      <c r="E34" s="9"/>
    </row>
    <row r="35" spans="1:5">
      <c r="A35" s="3" t="s">
        <v>51</v>
      </c>
      <c r="B35" s="3" t="s">
        <v>52</v>
      </c>
      <c r="C35" s="10" t="s">
        <v>53</v>
      </c>
      <c r="D35" s="9"/>
      <c r="E35" s="9"/>
    </row>
    <row r="36" spans="1:5">
      <c r="A36" s="3" t="s">
        <v>54</v>
      </c>
      <c r="B36" s="3" t="s">
        <v>55</v>
      </c>
      <c r="C36" s="10" t="s">
        <v>56</v>
      </c>
      <c r="D36" s="9"/>
      <c r="E36" s="9"/>
    </row>
    <row r="37" spans="1:5">
      <c r="A37" s="3" t="s">
        <v>57</v>
      </c>
      <c r="B37" s="3" t="s">
        <v>58</v>
      </c>
      <c r="C37" s="10" t="s">
        <v>59</v>
      </c>
      <c r="D37" s="9"/>
      <c r="E37" s="9"/>
    </row>
    <row r="38" spans="1:5">
      <c r="A38" s="2"/>
      <c r="B38" s="2"/>
      <c r="C38" s="2"/>
      <c r="D38" s="2"/>
      <c r="E38" s="2"/>
    </row>
    <row r="39" spans="1:5" ht="15" customHeight="1">
      <c r="A39" s="8" t="s">
        <v>60</v>
      </c>
      <c r="B39" s="9"/>
      <c r="C39" s="9"/>
      <c r="D39" s="9"/>
      <c r="E39" s="9"/>
    </row>
    <row r="40" spans="1:5">
      <c r="A40" s="3" t="s">
        <v>61</v>
      </c>
      <c r="B40" s="10" t="s">
        <v>62</v>
      </c>
      <c r="C40" s="9"/>
      <c r="D40" s="9"/>
      <c r="E40" s="9"/>
    </row>
    <row r="41" spans="1:5">
      <c r="A41" s="2"/>
      <c r="B41" s="2"/>
      <c r="C41" s="2"/>
      <c r="D41" s="2"/>
      <c r="E41" s="2"/>
    </row>
  </sheetData>
  <mergeCells count="12">
    <mergeCell ref="A19:E19"/>
    <mergeCell ref="A1:E1"/>
    <mergeCell ref="A13:E13"/>
    <mergeCell ref="C35:E35"/>
    <mergeCell ref="A6:E6"/>
    <mergeCell ref="C34:E34"/>
    <mergeCell ref="A39:E39"/>
    <mergeCell ref="B40:E40"/>
    <mergeCell ref="C36:E36"/>
    <mergeCell ref="A26:E26"/>
    <mergeCell ref="C37:E37"/>
    <mergeCell ref="A33:E33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月度KPI评估表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2026-03-17T06:49:36Z</dcterms:created>
  <dcterms:modified xsi:type="dcterms:W3CDTF">2026-03-17T10:25:03Z</dcterms:modified>
</cp:coreProperties>
</file>