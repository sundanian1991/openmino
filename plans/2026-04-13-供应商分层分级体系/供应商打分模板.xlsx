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打分总表" sheetId="1" state="visible" r:id="rId3"/>
    <sheet name="月度跟踪" sheetId="2" state="visible" r:id="rId4"/>
    <sheet name="业务督导打分" sheetId="3" state="visible" r:id="rId5"/>
    <sheet name="供应商管理打分" sheetId="4" state="visible" r:id="rId6"/>
    <sheet name="质检打分" sheetId="5" state="visible" r:id="rId7"/>
    <sheet name="分级结果与管理动作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<sst xmlns="http://schemas.openxmlformats.org/spreadsheetml/2006/main" count="292" uniqueCount="143">
  <si>
    <t xml:space="preserve">序号</t>
  </si>
  <si>
    <t xml:space="preserve">供应商名称</t>
  </si>
  <si>
    <t xml:space="preserve">业务督导(60分)</t>
  </si>
  <si>
    <t xml:space="preserve">供应商管理(30分)</t>
  </si>
  <si>
    <t xml:space="preserve">质检(10分)</t>
  </si>
  <si>
    <t xml:space="preserve">总分(100分)</t>
  </si>
  <si>
    <t xml:space="preserve">排名</t>
  </si>
  <si>
    <t xml:space="preserve">分级</t>
  </si>
  <si>
    <t xml:space="preserve">管理动作</t>
  </si>
  <si>
    <t xml:space="preserve">供应商1</t>
  </si>
  <si>
    <t xml:space="preserve">供应商2</t>
  </si>
  <si>
    <t xml:space="preserve">供应商3</t>
  </si>
  <si>
    <t xml:space="preserve">供应商4</t>
  </si>
  <si>
    <t xml:space="preserve">供应商5</t>
  </si>
  <si>
    <t xml:space="preserve">供应商6</t>
  </si>
  <si>
    <t xml:space="preserve">供应商7</t>
  </si>
  <si>
    <t xml:space="preserve">供应商8</t>
  </si>
  <si>
    <t xml:space="preserve">供应商9</t>
  </si>
  <si>
    <t xml:space="preserve">供应商10</t>
  </si>
  <si>
    <t xml:space="preserve">供应商11</t>
  </si>
  <si>
    <t xml:space="preserve">供应商12</t>
  </si>
  <si>
    <t xml:space="preserve">供应商13</t>
  </si>
  <si>
    <t xml:space="preserve">供应商14</t>
  </si>
  <si>
    <t xml:space="preserve">供应商15</t>
  </si>
  <si>
    <t xml:space="preserve">供应商16</t>
  </si>
  <si>
    <t xml:space="preserve">供应商17</t>
  </si>
  <si>
    <t xml:space="preserve">供应商18</t>
  </si>
  <si>
    <t xml:space="preserve">供应商19</t>
  </si>
  <si>
    <t xml:space="preserve">供应商20</t>
  </si>
  <si>
    <t xml:space="preserve">供应商21</t>
  </si>
  <si>
    <t xml:space="preserve">供应商22</t>
  </si>
  <si>
    <t xml:space="preserve">供应商23</t>
  </si>
  <si>
    <t xml:space="preserve">供应商24</t>
  </si>
  <si>
    <t xml:space="preserve">供应商25</t>
  </si>
  <si>
    <t xml:space="preserve">供应商26</t>
  </si>
  <si>
    <t xml:space="preserve">供应商27</t>
  </si>
  <si>
    <t xml:space="preserve">供应商28</t>
  </si>
  <si>
    <t xml:space="preserve">供应商29</t>
  </si>
  <si>
    <t xml:space="preserve">供应商30</t>
  </si>
  <si>
    <t xml:space="preserve">M1排名</t>
  </si>
  <si>
    <t xml:space="preserve">M1预警</t>
  </si>
  <si>
    <t xml:space="preserve">M2排名</t>
  </si>
  <si>
    <t xml:space="preserve">M2预警</t>
  </si>
  <si>
    <t xml:space="preserve">M3排名</t>
  </si>
  <si>
    <t xml:space="preserve">M3预警</t>
  </si>
  <si>
    <t xml:space="preserve">季度累计预警</t>
  </si>
  <si>
    <t xml:space="preserve">季度分级</t>
  </si>
  <si>
    <t xml:space="preserve">月度介入管理说明</t>
  </si>
  <si>
    <t xml:space="preserve">预警级别</t>
  </si>
  <si>
    <t xml:space="preserve">触发条件</t>
  </si>
  <si>
    <t xml:space="preserve">交付物</t>
  </si>
  <si>
    <t xml:space="preserve">黄色预警</t>
  </si>
  <si>
    <t xml:space="preserve">单月赛马排名后30%</t>
  </si>
  <si>
    <t xml:space="preserve">发数据诊断报告+电话沟通+口头提醒</t>
  </si>
  <si>
    <t xml:space="preserve">预警通知（微信/邮件）</t>
  </si>
  <si>
    <t xml:space="preserve">橙色预警</t>
  </si>
  <si>
    <t xml:space="preserve">连续2月后30%</t>
  </si>
  <si>
    <t xml:space="preserve">正式约谈+要求改善计划+双周跟踪+暂停新项目</t>
  </si>
  <si>
    <t xml:space="preserve">约谈纪要+改善计划</t>
  </si>
  <si>
    <t xml:space="preserve">红色PIP</t>
  </si>
  <si>
    <t xml:space="preserve">连续3月后30%（=季度C级）</t>
  </si>
  <si>
    <t xml:space="preserve">按PIP流程执行（30天）</t>
  </si>
  <si>
    <t xml:space="preserve">PIP全套文档</t>
  </si>
  <si>
    <t xml:space="preserve">退出</t>
  </si>
  <si>
    <t xml:space="preserve">连续4月后30%（PIP不通过）</t>
  </si>
  <si>
    <t xml:space="preserve">启动退出流程</t>
  </si>
  <si>
    <t xml:space="preserve">退出通知书</t>
  </si>
  <si>
    <t xml:space="preserve">目标达成率(15分)</t>
  </si>
  <si>
    <t xml:space="preserve">业绩贡献占比(10分)</t>
  </si>
  <si>
    <t xml:space="preserve">转化效率指数(10分)</t>
  </si>
  <si>
    <t xml:space="preserve">月度增长趋势(10分)</t>
  </si>
  <si>
    <t xml:space="preserve">人力稳定贡献(8分)</t>
  </si>
  <si>
    <t xml:space="preserve">有效人力占比(7分)</t>
  </si>
  <si>
    <t xml:space="preserve">合计</t>
  </si>
  <si>
    <t xml:space="preserve">评分标准参考</t>
  </si>
  <si>
    <t xml:space="preserve">细项</t>
  </si>
  <si>
    <t xml:space="preserve">满分条件</t>
  </si>
  <si>
    <t xml:space="preserve">及格条件</t>
  </si>
  <si>
    <t xml:space="preserve">零分条件</t>
  </si>
  <si>
    <t xml:space="preserve">季度目标达成率(15分)</t>
  </si>
  <si>
    <t xml:space="preserve">达成率≥100%</t>
  </si>
  <si>
    <t xml:space="preserve">85%≤达成率&lt;100%（线性插值）</t>
  </si>
  <si>
    <t xml:space="preserve">达成率&lt;85%</t>
  </si>
  <si>
    <t xml:space="preserve">季度业绩贡献占比(10分)</t>
  </si>
  <si>
    <t xml:space="preserve">人均产出≥均值110%</t>
  </si>
  <si>
    <t xml:space="preserve">90%≤人均产出&lt;110%（线性插值）</t>
  </si>
  <si>
    <t xml:space="preserve">人均产出&lt;90%</t>
  </si>
  <si>
    <t xml:space="preserve">转化率达均值110%以上</t>
  </si>
  <si>
    <t xml:space="preserve">95%≤指数&lt;110%（线性插值）</t>
  </si>
  <si>
    <t xml:space="preserve">指数&lt;95%</t>
  </si>
  <si>
    <t xml:space="preserve">月度业绩增长趋势(10分)</t>
  </si>
  <si>
    <t xml:space="preserve">月均增长率≥5%</t>
  </si>
  <si>
    <t xml:space="preserve">-2%≤增长&lt;5%（线性插值）</t>
  </si>
  <si>
    <t xml:space="preserve">月均增长率&lt;-2%</t>
  </si>
  <si>
    <t xml:space="preserve">季度人力稳定贡献(8分)</t>
  </si>
  <si>
    <t xml:space="preserve">稳定人力留存率≥90%</t>
  </si>
  <si>
    <t xml:space="preserve">75%≤留存率&lt;90%（线性插值）</t>
  </si>
  <si>
    <t xml:space="preserve">留存率&lt;75%</t>
  </si>
  <si>
    <t xml:space="preserve">有效占比≥95%</t>
  </si>
  <si>
    <t xml:space="preserve">85%≤有效占比&lt;95%（线性插值）</t>
  </si>
  <si>
    <t xml:space="preserve">有效占比&lt;85%</t>
  </si>
  <si>
    <t xml:space="preserve">配合意愿(6分)</t>
  </si>
  <si>
    <t xml:space="preserve">管理团队(5分)</t>
  </si>
  <si>
    <t xml:space="preserve">招聘培训(5分)</t>
  </si>
  <si>
    <t xml:space="preserve">合规风险(5分)</t>
  </si>
  <si>
    <t xml:space="preserve">资源稳定(5分)</t>
  </si>
  <si>
    <t xml:space="preserve">创新改进(4分)</t>
  </si>
  <si>
    <t xml:space="preserve">5分制评估标准</t>
  </si>
  <si>
    <t xml:space="preserve">评分</t>
  </si>
  <si>
    <t xml:space="preserve">标准定义</t>
  </si>
  <si>
    <t xml:space="preserve">5分-优秀</t>
  </si>
  <si>
    <t xml:space="preserve">超出预期，行业标杆水平，可作最佳实践推广</t>
  </si>
  <si>
    <t xml:space="preserve">4分-良好</t>
  </si>
  <si>
    <t xml:space="preserve">达到并部分超出要求，表现稳定可靠</t>
  </si>
  <si>
    <t xml:space="preserve">3分-合格</t>
  </si>
  <si>
    <t xml:space="preserve">满足基本要求，无重大问题，有提升空间</t>
  </si>
  <si>
    <t xml:space="preserve">2分-需改进</t>
  </si>
  <si>
    <t xml:space="preserve">未达基本要求，存在明显不足，需要辅导</t>
  </si>
  <si>
    <t xml:space="preserve">1分-差</t>
  </si>
  <si>
    <t xml:space="preserve">严重不达标，存在重大风险，需立即整改</t>
  </si>
  <si>
    <t xml:space="preserve">5分标准</t>
  </si>
  <si>
    <t xml:space="preserve">需求2h内响应，24h出方案，主动跟进，季度零推诿</t>
  </si>
  <si>
    <t xml:space="preserve">驻场经理经验丰富，独立解决问题，管理例会高质量</t>
  </si>
  <si>
    <t xml:space="preserve">满编率≥95%，新人7天达标率≥85%，有多元招聘渠道</t>
  </si>
  <si>
    <t xml:space="preserve">季度零合规事故，主动识别上报风险，合规100%</t>
  </si>
  <si>
    <t xml:space="preserve">资源充足，核心团队年度流失&lt;10%，产能波动&lt;5%</t>
  </si>
  <si>
    <t xml:space="preserve">季度≥3条优化建议被采纳，积极参与试点项目</t>
  </si>
  <si>
    <t xml:space="preserve">质检合格率(4分)</t>
  </si>
  <si>
    <t xml:space="preserve">合规违规次数(3分)</t>
  </si>
  <si>
    <t xml:space="preserve">客户投诉率(2分)</t>
  </si>
  <si>
    <t xml:space="preserve">话术规范执行率(1分)</t>
  </si>
  <si>
    <t xml:space="preserve">质检评分标准</t>
  </si>
  <si>
    <t xml:space="preserve">满分</t>
  </si>
  <si>
    <t xml:space="preserve">评分规则</t>
  </si>
  <si>
    <t xml:space="preserve">4分</t>
  </si>
  <si>
    <t xml:space="preserve">合格率≥95%满分；90%-95%每低1%扣0.4分；85%-90%每低1%扣0.8分；&lt;85%零分</t>
  </si>
  <si>
    <t xml:space="preserve">3分</t>
  </si>
  <si>
    <t xml:space="preserve">零A类且B类≤2次满分；零A类B类3-5次每多1次扣0.5分；出现A类违规直接零分</t>
  </si>
  <si>
    <t xml:space="preserve">2分</t>
  </si>
  <si>
    <t xml:space="preserve">≤3/万满分；3-8/万每高1/万扣0.3分；&gt;8/万零分</t>
  </si>
  <si>
    <t xml:space="preserve">1分</t>
  </si>
  <si>
    <t xml:space="preserve">≥95%满分；85%-95%每低2%扣0.1分；&lt;85%零分</t>
  </si>
  <si>
    <t xml:space="preserve">总分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</si>
</sst>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b val="true"/>
      <sz val="11"/>
      <color rgb="FF1F4E79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0"/>
      <name val="微软雅黑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74706"/>
      </font>
      <fill>
        <patternFill>
          <bgColor rgb="FFF4B084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4C6E7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74706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1" width="21.84"/>
    <col collapsed="false" customWidth="true" hidden="false" outlineLevel="0" max="4" min="3" style="1" width="14.56"/>
    <col collapsed="false" customWidth="true" hidden="false" outlineLevel="0" max="5" min="5" style="1" width="12.74"/>
    <col collapsed="false" customWidth="true" hidden="false" outlineLevel="0" max="8" min="6" style="1" width="10.92"/>
    <col collapsed="false" customWidth="true" hidden="false" outlineLevel="0" max="9" min="9" style="1" width="27.31"/>
  </cols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n">
        <v>1</v>
      </c>
      <c r="B2" s="4" t="s">
        <v>9</v>
      </c>
      <c r="C2" s="4" t="n">
        <f aca="false">业务督导打分!I2</f>
        <v>0</v>
      </c>
      <c r="D2" s="4" t="n">
        <f aca="false">供应商管理打分!I2</f>
        <v>18</v>
      </c>
      <c r="E2" s="4" t="n">
        <f aca="false">质检打分!G2</f>
        <v>0</v>
      </c>
      <c r="F2" s="4" t="n">
        <f aca="false">SUM(C2:E2)</f>
        <v>18</v>
      </c>
      <c r="G2" s="4" t="n">
        <f aca="false">RANK(F2,F2:F31,0)</f>
        <v>1</v>
      </c>
      <c r="H2" s="4" t="str">
        <f aca="false">IF(G2/COUNTA(B2:B31)&lt;=0.3,"A",IF(G2/COUNTA(B2:B31)&lt;=0.7,"B","C"))</f>
        <v>A</v>
      </c>
      <c r="I2" s="4" t="str">
        <f aca="false">IF(H2="A","分量优先|月度回顾|战略对话",IF(H2="B","分量稳定|双周回顾|能力提升","分量压缩|周度跟踪|强制PIP"))</f>
        <v>分量优先|月度回顾|战略对话</v>
      </c>
    </row>
    <row r="3" customFormat="false" ht="15" hidden="false" customHeight="true" outlineLevel="0" collapsed="false">
      <c r="A3" s="5" t="n">
        <v>2</v>
      </c>
      <c r="B3" s="6" t="s">
        <v>10</v>
      </c>
      <c r="C3" s="6" t="n">
        <f aca="false">业务督导打分!I3</f>
        <v>0</v>
      </c>
      <c r="D3" s="6" t="n">
        <f aca="false">供应商管理打分!I3</f>
        <v>18</v>
      </c>
      <c r="E3" s="6" t="n">
        <f aca="false">质检打分!G3</f>
        <v>0</v>
      </c>
      <c r="F3" s="6" t="n">
        <f aca="false">SUM(C3:E3)</f>
        <v>18</v>
      </c>
      <c r="G3" s="6" t="n">
        <f aca="false">RANK(F3,F2:F31,0)</f>
        <v>1</v>
      </c>
      <c r="H3" s="6" t="str">
        <f aca="false">IF(G3/COUNTA(B2:B31)&lt;=0.3,"A",IF(G3/COUNTA(B2:B31)&lt;=0.7,"B","C"))</f>
        <v>A</v>
      </c>
      <c r="I3" s="6" t="str">
        <f aca="false">IF(H2="A","分量优先|月度回顾|战略对话",IF(H2="B","分量稳定|双周回顾|能力提升","分量压缩|周度跟踪|强制PIP"))</f>
        <v>分量优先|月度回顾|战略对话</v>
      </c>
    </row>
    <row r="4" customFormat="false" ht="15" hidden="false" customHeight="true" outlineLevel="0" collapsed="false">
      <c r="A4" s="3" t="n">
        <v>3</v>
      </c>
      <c r="B4" s="4" t="s">
        <v>11</v>
      </c>
      <c r="C4" s="4" t="n">
        <f aca="false">业务督导打分!I4</f>
        <v>0</v>
      </c>
      <c r="D4" s="4" t="n">
        <f aca="false">供应商管理打分!I4</f>
        <v>18</v>
      </c>
      <c r="E4" s="4" t="n">
        <f aca="false">质检打分!G4</f>
        <v>0</v>
      </c>
      <c r="F4" s="4" t="n">
        <f aca="false">SUM(C4:E4)</f>
        <v>18</v>
      </c>
      <c r="G4" s="4" t="n">
        <f aca="false">RANK(F4,F2:F31,0)</f>
        <v>1</v>
      </c>
      <c r="H4" s="4" t="str">
        <f aca="false">IF(G4/COUNTA(B2:B31)&lt;=0.3,"A",IF(G4/COUNTA(B2:B31)&lt;=0.7,"B","C"))</f>
        <v>A</v>
      </c>
      <c r="I4" s="4" t="str">
        <f aca="false">IF(H2="A","分量优先|月度回顾|战略对话",IF(H2="B","分量稳定|双周回顾|能力提升","分量压缩|周度跟踪|强制PIP"))</f>
        <v>分量优先|月度回顾|战略对话</v>
      </c>
    </row>
    <row r="5" customFormat="false" ht="15" hidden="false" customHeight="true" outlineLevel="0" collapsed="false">
      <c r="A5" s="5" t="n">
        <v>4</v>
      </c>
      <c r="B5" s="6" t="s">
        <v>12</v>
      </c>
      <c r="C5" s="6" t="n">
        <f aca="false">业务督导打分!I5</f>
        <v>0</v>
      </c>
      <c r="D5" s="6" t="n">
        <f aca="false">供应商管理打分!I5</f>
        <v>18</v>
      </c>
      <c r="E5" s="6" t="n">
        <f aca="false">质检打分!G5</f>
        <v>0</v>
      </c>
      <c r="F5" s="6" t="n">
        <f aca="false">SUM(C5:E5)</f>
        <v>18</v>
      </c>
      <c r="G5" s="6" t="n">
        <f aca="false">RANK(F5,F2:F31,0)</f>
        <v>1</v>
      </c>
      <c r="H5" s="6" t="str">
        <f aca="false">IF(G5/COUNTA(B2:B31)&lt;=0.3,"A",IF(G5/COUNTA(B2:B31)&lt;=0.7,"B","C"))</f>
        <v>A</v>
      </c>
      <c r="I5" s="6" t="str">
        <f aca="false">IF(H2="A","分量优先|月度回顾|战略对话",IF(H2="B","分量稳定|双周回顾|能力提升","分量压缩|周度跟踪|强制PIP"))</f>
        <v>分量优先|月度回顾|战略对话</v>
      </c>
    </row>
    <row r="6" customFormat="false" ht="15" hidden="false" customHeight="true" outlineLevel="0" collapsed="false">
      <c r="A6" s="3" t="n">
        <v>5</v>
      </c>
      <c r="B6" s="4" t="s">
        <v>13</v>
      </c>
      <c r="C6" s="4" t="n">
        <f aca="false">业务督导打分!I6</f>
        <v>0</v>
      </c>
      <c r="D6" s="4" t="n">
        <f aca="false">供应商管理打分!I6</f>
        <v>18</v>
      </c>
      <c r="E6" s="4" t="n">
        <f aca="false">质检打分!G6</f>
        <v>0</v>
      </c>
      <c r="F6" s="4" t="n">
        <f aca="false">SUM(C6:E6)</f>
        <v>18</v>
      </c>
      <c r="G6" s="4" t="n">
        <f aca="false">RANK(F6,F2:F31,0)</f>
        <v>1</v>
      </c>
      <c r="H6" s="4" t="str">
        <f aca="false">IF(G6/COUNTA(B2:B31)&lt;=0.3,"A",IF(G6/COUNTA(B2:B31)&lt;=0.7,"B","C"))</f>
        <v>A</v>
      </c>
      <c r="I6" s="4" t="str">
        <f aca="false">IF(H2="A","分量优先|月度回顾|战略对话",IF(H2="B","分量稳定|双周回顾|能力提升","分量压缩|周度跟踪|强制PIP"))</f>
        <v>分量优先|月度回顾|战略对话</v>
      </c>
    </row>
    <row r="7" customFormat="false" ht="15" hidden="false" customHeight="true" outlineLevel="0" collapsed="false">
      <c r="A7" s="5" t="n">
        <v>6</v>
      </c>
      <c r="B7" s="6" t="s">
        <v>14</v>
      </c>
      <c r="C7" s="6" t="n">
        <f aca="false">业务督导打分!I7</f>
        <v>0</v>
      </c>
      <c r="D7" s="6" t="n">
        <f aca="false">供应商管理打分!I7</f>
        <v>18</v>
      </c>
      <c r="E7" s="6" t="n">
        <f aca="false">质检打分!G7</f>
        <v>0</v>
      </c>
      <c r="F7" s="6" t="n">
        <f aca="false">SUM(C7:E7)</f>
        <v>18</v>
      </c>
      <c r="G7" s="6" t="n">
        <f aca="false">RANK(F7,F2:F31,0)</f>
        <v>1</v>
      </c>
      <c r="H7" s="6" t="str">
        <f aca="false">IF(G7/COUNTA(B2:B31)&lt;=0.3,"A",IF(G7/COUNTA(B2:B31)&lt;=0.7,"B","C"))</f>
        <v>A</v>
      </c>
      <c r="I7" s="6" t="str">
        <f aca="false">IF(H2="A","分量优先|月度回顾|战略对话",IF(H2="B","分量稳定|双周回顾|能力提升","分量压缩|周度跟踪|强制PIP"))</f>
        <v>分量优先|月度回顾|战略对话</v>
      </c>
    </row>
    <row r="8" customFormat="false" ht="15" hidden="false" customHeight="true" outlineLevel="0" collapsed="false">
      <c r="A8" s="3" t="n">
        <v>7</v>
      </c>
      <c r="B8" s="4" t="s">
        <v>15</v>
      </c>
      <c r="C8" s="4" t="n">
        <f aca="false">业务督导打分!I8</f>
        <v>0</v>
      </c>
      <c r="D8" s="4" t="n">
        <f aca="false">供应商管理打分!I8</f>
        <v>18</v>
      </c>
      <c r="E8" s="4" t="n">
        <f aca="false">质检打分!G8</f>
        <v>0</v>
      </c>
      <c r="F8" s="4" t="n">
        <f aca="false">SUM(C8:E8)</f>
        <v>18</v>
      </c>
      <c r="G8" s="4" t="n">
        <f aca="false">RANK(F8,F2:F31,0)</f>
        <v>1</v>
      </c>
      <c r="H8" s="4" t="str">
        <f aca="false">IF(G8/COUNTA(B2:B31)&lt;=0.3,"A",IF(G8/COUNTA(B2:B31)&lt;=0.7,"B","C"))</f>
        <v>A</v>
      </c>
      <c r="I8" s="4" t="str">
        <f aca="false">IF(H2="A","分量优先|月度回顾|战略对话",IF(H2="B","分量稳定|双周回顾|能力提升","分量压缩|周度跟踪|强制PIP"))</f>
        <v>分量优先|月度回顾|战略对话</v>
      </c>
    </row>
    <row r="9" customFormat="false" ht="15" hidden="false" customHeight="true" outlineLevel="0" collapsed="false">
      <c r="A9" s="5" t="n">
        <v>8</v>
      </c>
      <c r="B9" s="6" t="s">
        <v>16</v>
      </c>
      <c r="C9" s="6" t="n">
        <f aca="false">业务督导打分!I9</f>
        <v>0</v>
      </c>
      <c r="D9" s="6" t="n">
        <f aca="false">供应商管理打分!I9</f>
        <v>18</v>
      </c>
      <c r="E9" s="6" t="n">
        <f aca="false">质检打分!G9</f>
        <v>0</v>
      </c>
      <c r="F9" s="6" t="n">
        <f aca="false">SUM(C9:E9)</f>
        <v>18</v>
      </c>
      <c r="G9" s="6" t="n">
        <f aca="false">RANK(F9,F2:F31,0)</f>
        <v>1</v>
      </c>
      <c r="H9" s="6" t="str">
        <f aca="false">IF(G9/COUNTA(B2:B31)&lt;=0.3,"A",IF(G9/COUNTA(B2:B31)&lt;=0.7,"B","C"))</f>
        <v>A</v>
      </c>
      <c r="I9" s="6" t="str">
        <f aca="false">IF(H2="A","分量优先|月度回顾|战略对话",IF(H2="B","分量稳定|双周回顾|能力提升","分量压缩|周度跟踪|强制PIP"))</f>
        <v>分量优先|月度回顾|战略对话</v>
      </c>
    </row>
    <row r="10" customFormat="false" ht="15" hidden="false" customHeight="true" outlineLevel="0" collapsed="false">
      <c r="A10" s="3" t="n">
        <v>9</v>
      </c>
      <c r="B10" s="4" t="s">
        <v>17</v>
      </c>
      <c r="C10" s="4" t="n">
        <f aca="false">业务督导打分!I10</f>
        <v>0</v>
      </c>
      <c r="D10" s="4" t="n">
        <f aca="false">供应商管理打分!I10</f>
        <v>18</v>
      </c>
      <c r="E10" s="4" t="n">
        <f aca="false">质检打分!G10</f>
        <v>0</v>
      </c>
      <c r="F10" s="4" t="n">
        <f aca="false">SUM(C10:E10)</f>
        <v>18</v>
      </c>
      <c r="G10" s="4" t="n">
        <f aca="false">RANK(F10,F2:F31,0)</f>
        <v>1</v>
      </c>
      <c r="H10" s="4" t="str">
        <f aca="false">IF(G10/COUNTA(B2:B31)&lt;=0.3,"A",IF(G10/COUNTA(B2:B31)&lt;=0.7,"B","C"))</f>
        <v>A</v>
      </c>
      <c r="I10" s="4" t="str">
        <f aca="false">IF(H2="A","分量优先|月度回顾|战略对话",IF(H2="B","分量稳定|双周回顾|能力提升","分量压缩|周度跟踪|强制PIP"))</f>
        <v>分量优先|月度回顾|战略对话</v>
      </c>
    </row>
    <row r="11" customFormat="false" ht="15" hidden="false" customHeight="true" outlineLevel="0" collapsed="false">
      <c r="A11" s="5" t="n">
        <v>10</v>
      </c>
      <c r="B11" s="6" t="s">
        <v>18</v>
      </c>
      <c r="C11" s="6" t="n">
        <f aca="false">业务督导打分!I11</f>
        <v>0</v>
      </c>
      <c r="D11" s="6" t="n">
        <f aca="false">供应商管理打分!I11</f>
        <v>18</v>
      </c>
      <c r="E11" s="6" t="n">
        <f aca="false">质检打分!G11</f>
        <v>0</v>
      </c>
      <c r="F11" s="6" t="n">
        <f aca="false">SUM(C11:E11)</f>
        <v>18</v>
      </c>
      <c r="G11" s="6" t="n">
        <f aca="false">RANK(F11,F2:F31,0)</f>
        <v>1</v>
      </c>
      <c r="H11" s="6" t="str">
        <f aca="false">IF(G11/COUNTA(B2:B31)&lt;=0.3,"A",IF(G11/COUNTA(B2:B31)&lt;=0.7,"B","C"))</f>
        <v>A</v>
      </c>
      <c r="I11" s="6" t="str">
        <f aca="false">IF(H2="A","分量优先|月度回顾|战略对话",IF(H2="B","分量稳定|双周回顾|能力提升","分量压缩|周度跟踪|强制PIP"))</f>
        <v>分量优先|月度回顾|战略对话</v>
      </c>
    </row>
    <row r="12" customFormat="false" ht="15" hidden="false" customHeight="true" outlineLevel="0" collapsed="false">
      <c r="A12" s="3" t="n">
        <v>11</v>
      </c>
      <c r="B12" s="4" t="s">
        <v>19</v>
      </c>
      <c r="C12" s="4" t="n">
        <f aca="false">业务督导打分!I12</f>
        <v>0</v>
      </c>
      <c r="D12" s="4" t="n">
        <f aca="false">供应商管理打分!I12</f>
        <v>18</v>
      </c>
      <c r="E12" s="4" t="n">
        <f aca="false">质检打分!G12</f>
        <v>0</v>
      </c>
      <c r="F12" s="4" t="n">
        <f aca="false">SUM(C12:E12)</f>
        <v>18</v>
      </c>
      <c r="G12" s="4" t="n">
        <f aca="false">RANK(F12,F2:F31,0)</f>
        <v>1</v>
      </c>
      <c r="H12" s="4" t="str">
        <f aca="false">IF(G12/COUNTA(B2:B31)&lt;=0.3,"A",IF(G12/COUNTA(B2:B31)&lt;=0.7,"B","C"))</f>
        <v>A</v>
      </c>
      <c r="I12" s="4" t="str">
        <f aca="false">IF(H2="A","分量优先|月度回顾|战略对话",IF(H2="B","分量稳定|双周回顾|能力提升","分量压缩|周度跟踪|强制PIP"))</f>
        <v>分量优先|月度回顾|战略对话</v>
      </c>
    </row>
    <row r="13" customFormat="false" ht="15" hidden="false" customHeight="true" outlineLevel="0" collapsed="false">
      <c r="A13" s="5" t="n">
        <v>12</v>
      </c>
      <c r="B13" s="6" t="s">
        <v>20</v>
      </c>
      <c r="C13" s="6" t="n">
        <f aca="false">业务督导打分!I13</f>
        <v>0</v>
      </c>
      <c r="D13" s="6" t="n">
        <f aca="false">供应商管理打分!I13</f>
        <v>18</v>
      </c>
      <c r="E13" s="6" t="n">
        <f aca="false">质检打分!G13</f>
        <v>0</v>
      </c>
      <c r="F13" s="6" t="n">
        <f aca="false">SUM(C13:E13)</f>
        <v>18</v>
      </c>
      <c r="G13" s="6" t="n">
        <f aca="false">RANK(F13,F2:F31,0)</f>
        <v>1</v>
      </c>
      <c r="H13" s="6" t="str">
        <f aca="false">IF(G13/COUNTA(B2:B31)&lt;=0.3,"A",IF(G13/COUNTA(B2:B31)&lt;=0.7,"B","C"))</f>
        <v>A</v>
      </c>
      <c r="I13" s="6" t="str">
        <f aca="false">IF(H2="A","分量优先|月度回顾|战略对话",IF(H2="B","分量稳定|双周回顾|能力提升","分量压缩|周度跟踪|强制PIP"))</f>
        <v>分量优先|月度回顾|战略对话</v>
      </c>
    </row>
    <row r="14" customFormat="false" ht="15" hidden="false" customHeight="true" outlineLevel="0" collapsed="false">
      <c r="A14" s="3" t="n">
        <v>13</v>
      </c>
      <c r="B14" s="4" t="s">
        <v>21</v>
      </c>
      <c r="C14" s="4" t="n">
        <f aca="false">业务督导打分!I14</f>
        <v>0</v>
      </c>
      <c r="D14" s="4" t="n">
        <f aca="false">供应商管理打分!I14</f>
        <v>18</v>
      </c>
      <c r="E14" s="4" t="n">
        <f aca="false">质检打分!G14</f>
        <v>0</v>
      </c>
      <c r="F14" s="4" t="n">
        <f aca="false">SUM(C14:E14)</f>
        <v>18</v>
      </c>
      <c r="G14" s="4" t="n">
        <f aca="false">RANK(F14,F2:F31,0)</f>
        <v>1</v>
      </c>
      <c r="H14" s="4" t="str">
        <f aca="false">IF(G14/COUNTA(B2:B31)&lt;=0.3,"A",IF(G14/COUNTA(B2:B31)&lt;=0.7,"B","C"))</f>
        <v>A</v>
      </c>
      <c r="I14" s="4" t="str">
        <f aca="false">IF(H2="A","分量优先|月度回顾|战略对话",IF(H2="B","分量稳定|双周回顾|能力提升","分量压缩|周度跟踪|强制PIP"))</f>
        <v>分量优先|月度回顾|战略对话</v>
      </c>
    </row>
    <row r="15" customFormat="false" ht="15" hidden="false" customHeight="true" outlineLevel="0" collapsed="false">
      <c r="A15" s="5" t="n">
        <v>14</v>
      </c>
      <c r="B15" s="6" t="s">
        <v>22</v>
      </c>
      <c r="C15" s="6" t="n">
        <f aca="false">业务督导打分!I15</f>
        <v>0</v>
      </c>
      <c r="D15" s="6" t="n">
        <f aca="false">供应商管理打分!I15</f>
        <v>18</v>
      </c>
      <c r="E15" s="6" t="n">
        <f aca="false">质检打分!G15</f>
        <v>0</v>
      </c>
      <c r="F15" s="6" t="n">
        <f aca="false">SUM(C15:E15)</f>
        <v>18</v>
      </c>
      <c r="G15" s="6" t="n">
        <f aca="false">RANK(F15,F2:F31,0)</f>
        <v>1</v>
      </c>
      <c r="H15" s="6" t="str">
        <f aca="false">IF(G15/COUNTA(B2:B31)&lt;=0.3,"A",IF(G15/COUNTA(B2:B31)&lt;=0.7,"B","C"))</f>
        <v>A</v>
      </c>
      <c r="I15" s="6" t="str">
        <f aca="false">IF(H2="A","分量优先|月度回顾|战略对话",IF(H2="B","分量稳定|双周回顾|能力提升","分量压缩|周度跟踪|强制PIP"))</f>
        <v>分量优先|月度回顾|战略对话</v>
      </c>
    </row>
    <row r="16" customFormat="false" ht="15" hidden="false" customHeight="true" outlineLevel="0" collapsed="false">
      <c r="A16" s="3" t="n">
        <v>15</v>
      </c>
      <c r="B16" s="4" t="s">
        <v>23</v>
      </c>
      <c r="C16" s="4" t="n">
        <f aca="false">业务督导打分!I16</f>
        <v>0</v>
      </c>
      <c r="D16" s="4" t="n">
        <f aca="false">供应商管理打分!I16</f>
        <v>18</v>
      </c>
      <c r="E16" s="4" t="n">
        <f aca="false">质检打分!G16</f>
        <v>0</v>
      </c>
      <c r="F16" s="4" t="n">
        <f aca="false">SUM(C16:E16)</f>
        <v>18</v>
      </c>
      <c r="G16" s="4" t="n">
        <f aca="false">RANK(F16,F2:F31,0)</f>
        <v>1</v>
      </c>
      <c r="H16" s="4" t="str">
        <f aca="false">IF(G16/COUNTA(B2:B31)&lt;=0.3,"A",IF(G16/COUNTA(B2:B31)&lt;=0.7,"B","C"))</f>
        <v>A</v>
      </c>
      <c r="I16" s="4" t="str">
        <f aca="false">IF(H2="A","分量优先|月度回顾|战略对话",IF(H2="B","分量稳定|双周回顾|能力提升","分量压缩|周度跟踪|强制PIP"))</f>
        <v>分量优先|月度回顾|战略对话</v>
      </c>
    </row>
    <row r="17" customFormat="false" ht="15" hidden="false" customHeight="true" outlineLevel="0" collapsed="false">
      <c r="A17" s="5" t="n">
        <v>16</v>
      </c>
      <c r="B17" s="6" t="s">
        <v>24</v>
      </c>
      <c r="C17" s="6" t="n">
        <f aca="false">业务督导打分!I17</f>
        <v>0</v>
      </c>
      <c r="D17" s="6" t="n">
        <f aca="false">供应商管理打分!I17</f>
        <v>18</v>
      </c>
      <c r="E17" s="6" t="n">
        <f aca="false">质检打分!G17</f>
        <v>0</v>
      </c>
      <c r="F17" s="6" t="n">
        <f aca="false">SUM(C17:E17)</f>
        <v>18</v>
      </c>
      <c r="G17" s="6" t="n">
        <f aca="false">RANK(F17,F2:F31,0)</f>
        <v>1</v>
      </c>
      <c r="H17" s="6" t="str">
        <f aca="false">IF(G17/COUNTA(B2:B31)&lt;=0.3,"A",IF(G17/COUNTA(B2:B31)&lt;=0.7,"B","C"))</f>
        <v>A</v>
      </c>
      <c r="I17" s="6" t="str">
        <f aca="false">IF(H2="A","分量优先|月度回顾|战略对话",IF(H2="B","分量稳定|双周回顾|能力提升","分量压缩|周度跟踪|强制PIP"))</f>
        <v>分量优先|月度回顾|战略对话</v>
      </c>
    </row>
    <row r="18" customFormat="false" ht="15" hidden="false" customHeight="true" outlineLevel="0" collapsed="false">
      <c r="A18" s="3" t="n">
        <v>17</v>
      </c>
      <c r="B18" s="4" t="s">
        <v>25</v>
      </c>
      <c r="C18" s="4" t="n">
        <f aca="false">业务督导打分!I18</f>
        <v>0</v>
      </c>
      <c r="D18" s="4" t="n">
        <f aca="false">供应商管理打分!I18</f>
        <v>18</v>
      </c>
      <c r="E18" s="4" t="n">
        <f aca="false">质检打分!G18</f>
        <v>0</v>
      </c>
      <c r="F18" s="4" t="n">
        <f aca="false">SUM(C18:E18)</f>
        <v>18</v>
      </c>
      <c r="G18" s="4" t="n">
        <f aca="false">RANK(F18,F2:F31,0)</f>
        <v>1</v>
      </c>
      <c r="H18" s="4" t="str">
        <f aca="false">IF(G18/COUNTA(B2:B31)&lt;=0.3,"A",IF(G18/COUNTA(B2:B31)&lt;=0.7,"B","C"))</f>
        <v>A</v>
      </c>
      <c r="I18" s="4" t="str">
        <f aca="false">IF(H2="A","分量优先|月度回顾|战略对话",IF(H2="B","分量稳定|双周回顾|能力提升","分量压缩|周度跟踪|强制PIP"))</f>
        <v>分量优先|月度回顾|战略对话</v>
      </c>
    </row>
    <row r="19" customFormat="false" ht="15" hidden="false" customHeight="true" outlineLevel="0" collapsed="false">
      <c r="A19" s="5" t="n">
        <v>18</v>
      </c>
      <c r="B19" s="6" t="s">
        <v>26</v>
      </c>
      <c r="C19" s="6" t="n">
        <f aca="false">业务督导打分!I19</f>
        <v>0</v>
      </c>
      <c r="D19" s="6" t="n">
        <f aca="false">供应商管理打分!I19</f>
        <v>18</v>
      </c>
      <c r="E19" s="6" t="n">
        <f aca="false">质检打分!G19</f>
        <v>0</v>
      </c>
      <c r="F19" s="6" t="n">
        <f aca="false">SUM(C19:E19)</f>
        <v>18</v>
      </c>
      <c r="G19" s="6" t="n">
        <f aca="false">RANK(F19,F2:F31,0)</f>
        <v>1</v>
      </c>
      <c r="H19" s="6" t="str">
        <f aca="false">IF(G19/COUNTA(B2:B31)&lt;=0.3,"A",IF(G19/COUNTA(B2:B31)&lt;=0.7,"B","C"))</f>
        <v>A</v>
      </c>
      <c r="I19" s="6" t="str">
        <f aca="false">IF(H2="A","分量优先|月度回顾|战略对话",IF(H2="B","分量稳定|双周回顾|能力提升","分量压缩|周度跟踪|强制PIP"))</f>
        <v>分量优先|月度回顾|战略对话</v>
      </c>
    </row>
    <row r="20" customFormat="false" ht="15" hidden="false" customHeight="true" outlineLevel="0" collapsed="false">
      <c r="A20" s="3" t="n">
        <v>19</v>
      </c>
      <c r="B20" s="4" t="s">
        <v>27</v>
      </c>
      <c r="C20" s="4" t="n">
        <f aca="false">业务督导打分!I20</f>
        <v>0</v>
      </c>
      <c r="D20" s="4" t="n">
        <f aca="false">供应商管理打分!I20</f>
        <v>18</v>
      </c>
      <c r="E20" s="4" t="n">
        <f aca="false">质检打分!G20</f>
        <v>0</v>
      </c>
      <c r="F20" s="4" t="n">
        <f aca="false">SUM(C20:E20)</f>
        <v>18</v>
      </c>
      <c r="G20" s="4" t="n">
        <f aca="false">RANK(F20,F2:F31,0)</f>
        <v>1</v>
      </c>
      <c r="H20" s="4" t="str">
        <f aca="false">IF(G20/COUNTA(B2:B31)&lt;=0.3,"A",IF(G20/COUNTA(B2:B31)&lt;=0.7,"B","C"))</f>
        <v>A</v>
      </c>
      <c r="I20" s="4" t="str">
        <f aca="false">IF(H2="A","分量优先|月度回顾|战略对话",IF(H2="B","分量稳定|双周回顾|能力提升","分量压缩|周度跟踪|强制PIP"))</f>
        <v>分量优先|月度回顾|战略对话</v>
      </c>
    </row>
    <row r="21" customFormat="false" ht="15" hidden="false" customHeight="true" outlineLevel="0" collapsed="false">
      <c r="A21" s="5" t="n">
        <v>20</v>
      </c>
      <c r="B21" s="6" t="s">
        <v>28</v>
      </c>
      <c r="C21" s="6" t="n">
        <f aca="false">业务督导打分!I21</f>
        <v>0</v>
      </c>
      <c r="D21" s="6" t="n">
        <f aca="false">供应商管理打分!I21</f>
        <v>18</v>
      </c>
      <c r="E21" s="6" t="n">
        <f aca="false">质检打分!G21</f>
        <v>0</v>
      </c>
      <c r="F21" s="6" t="n">
        <f aca="false">SUM(C21:E21)</f>
        <v>18</v>
      </c>
      <c r="G21" s="6" t="n">
        <f aca="false">RANK(F21,F2:F31,0)</f>
        <v>1</v>
      </c>
      <c r="H21" s="6" t="str">
        <f aca="false">IF(G21/COUNTA(B2:B31)&lt;=0.3,"A",IF(G21/COUNTA(B2:B31)&lt;=0.7,"B","C"))</f>
        <v>A</v>
      </c>
      <c r="I21" s="6" t="str">
        <f aca="false">IF(H2="A","分量优先|月度回顾|战略对话",IF(H2="B","分量稳定|双周回顾|能力提升","分量压缩|周度跟踪|强制PIP"))</f>
        <v>分量优先|月度回顾|战略对话</v>
      </c>
    </row>
    <row r="22" customFormat="false" ht="15" hidden="false" customHeight="true" outlineLevel="0" collapsed="false">
      <c r="A22" s="3" t="n">
        <v>21</v>
      </c>
      <c r="B22" s="4" t="s">
        <v>29</v>
      </c>
      <c r="C22" s="4" t="n">
        <f aca="false">业务督导打分!I22</f>
        <v>0</v>
      </c>
      <c r="D22" s="4" t="n">
        <f aca="false">供应商管理打分!I22</f>
        <v>18</v>
      </c>
      <c r="E22" s="4" t="n">
        <f aca="false">质检打分!G22</f>
        <v>0</v>
      </c>
      <c r="F22" s="4" t="n">
        <f aca="false">SUM(C22:E22)</f>
        <v>18</v>
      </c>
      <c r="G22" s="4" t="n">
        <f aca="false">RANK(F22,F2:F31,0)</f>
        <v>1</v>
      </c>
      <c r="H22" s="4" t="str">
        <f aca="false">IF(G22/COUNTA(B2:B31)&lt;=0.3,"A",IF(G22/COUNTA(B2:B31)&lt;=0.7,"B","C"))</f>
        <v>A</v>
      </c>
      <c r="I22" s="4" t="str">
        <f aca="false">IF(H2="A","分量优先|月度回顾|战略对话",IF(H2="B","分量稳定|双周回顾|能力提升","分量压缩|周度跟踪|强制PIP"))</f>
        <v>分量优先|月度回顾|战略对话</v>
      </c>
    </row>
    <row r="23" customFormat="false" ht="15" hidden="false" customHeight="true" outlineLevel="0" collapsed="false">
      <c r="A23" s="5" t="n">
        <v>22</v>
      </c>
      <c r="B23" s="6" t="s">
        <v>30</v>
      </c>
      <c r="C23" s="6" t="n">
        <f aca="false">业务督导打分!I23</f>
        <v>0</v>
      </c>
      <c r="D23" s="6" t="n">
        <f aca="false">供应商管理打分!I23</f>
        <v>18</v>
      </c>
      <c r="E23" s="6" t="n">
        <f aca="false">质检打分!G23</f>
        <v>0</v>
      </c>
      <c r="F23" s="6" t="n">
        <f aca="false">SUM(C23:E23)</f>
        <v>18</v>
      </c>
      <c r="G23" s="6" t="n">
        <f aca="false">RANK(F23,F2:F31,0)</f>
        <v>1</v>
      </c>
      <c r="H23" s="6" t="str">
        <f aca="false">IF(G23/COUNTA(B2:B31)&lt;=0.3,"A",IF(G23/COUNTA(B2:B31)&lt;=0.7,"B","C"))</f>
        <v>A</v>
      </c>
      <c r="I23" s="6" t="str">
        <f aca="false">IF(H2="A","分量优先|月度回顾|战略对话",IF(H2="B","分量稳定|双周回顾|能力提升","分量压缩|周度跟踪|强制PIP"))</f>
        <v>分量优先|月度回顾|战略对话</v>
      </c>
    </row>
    <row r="24" customFormat="false" ht="15" hidden="false" customHeight="true" outlineLevel="0" collapsed="false">
      <c r="A24" s="3" t="n">
        <v>23</v>
      </c>
      <c r="B24" s="4" t="s">
        <v>31</v>
      </c>
      <c r="C24" s="4" t="n">
        <f aca="false">业务督导打分!I24</f>
        <v>0</v>
      </c>
      <c r="D24" s="4" t="n">
        <f aca="false">供应商管理打分!I24</f>
        <v>18</v>
      </c>
      <c r="E24" s="4" t="n">
        <f aca="false">质检打分!G24</f>
        <v>0</v>
      </c>
      <c r="F24" s="4" t="n">
        <f aca="false">SUM(C24:E24)</f>
        <v>18</v>
      </c>
      <c r="G24" s="4" t="n">
        <f aca="false">RANK(F24,F2:F31,0)</f>
        <v>1</v>
      </c>
      <c r="H24" s="4" t="str">
        <f aca="false">IF(G24/COUNTA(B2:B31)&lt;=0.3,"A",IF(G24/COUNTA(B2:B31)&lt;=0.7,"B","C"))</f>
        <v>A</v>
      </c>
      <c r="I24" s="4" t="str">
        <f aca="false">IF(H2="A","分量优先|月度回顾|战略对话",IF(H2="B","分量稳定|双周回顾|能力提升","分量压缩|周度跟踪|强制PIP"))</f>
        <v>分量优先|月度回顾|战略对话</v>
      </c>
    </row>
    <row r="25" customFormat="false" ht="15" hidden="false" customHeight="true" outlineLevel="0" collapsed="false">
      <c r="A25" s="5" t="n">
        <v>24</v>
      </c>
      <c r="B25" s="6" t="s">
        <v>32</v>
      </c>
      <c r="C25" s="6" t="n">
        <f aca="false">业务督导打分!I25</f>
        <v>0</v>
      </c>
      <c r="D25" s="6" t="n">
        <f aca="false">供应商管理打分!I25</f>
        <v>18</v>
      </c>
      <c r="E25" s="6" t="n">
        <f aca="false">质检打分!G25</f>
        <v>0</v>
      </c>
      <c r="F25" s="6" t="n">
        <f aca="false">SUM(C25:E25)</f>
        <v>18</v>
      </c>
      <c r="G25" s="6" t="n">
        <f aca="false">RANK(F25,F2:F31,0)</f>
        <v>1</v>
      </c>
      <c r="H25" s="6" t="str">
        <f aca="false">IF(G25/COUNTA(B2:B31)&lt;=0.3,"A",IF(G25/COUNTA(B2:B31)&lt;=0.7,"B","C"))</f>
        <v>A</v>
      </c>
      <c r="I25" s="6" t="str">
        <f aca="false">IF(H2="A","分量优先|月度回顾|战略对话",IF(H2="B","分量稳定|双周回顾|能力提升","分量压缩|周度跟踪|强制PIP"))</f>
        <v>分量优先|月度回顾|战略对话</v>
      </c>
    </row>
    <row r="26" customFormat="false" ht="15" hidden="false" customHeight="true" outlineLevel="0" collapsed="false">
      <c r="A26" s="3" t="n">
        <v>25</v>
      </c>
      <c r="B26" s="4" t="s">
        <v>33</v>
      </c>
      <c r="C26" s="4" t="n">
        <f aca="false">业务督导打分!I26</f>
        <v>0</v>
      </c>
      <c r="D26" s="4" t="n">
        <f aca="false">供应商管理打分!I26</f>
        <v>18</v>
      </c>
      <c r="E26" s="4" t="n">
        <f aca="false">质检打分!G26</f>
        <v>0</v>
      </c>
      <c r="F26" s="4" t="n">
        <f aca="false">SUM(C26:E26)</f>
        <v>18</v>
      </c>
      <c r="G26" s="4" t="n">
        <f aca="false">RANK(F26,F2:F31,0)</f>
        <v>1</v>
      </c>
      <c r="H26" s="4" t="str">
        <f aca="false">IF(G26/COUNTA(B2:B31)&lt;=0.3,"A",IF(G26/COUNTA(B2:B31)&lt;=0.7,"B","C"))</f>
        <v>A</v>
      </c>
      <c r="I26" s="4" t="str">
        <f aca="false">IF(H2="A","分量优先|月度回顾|战略对话",IF(H2="B","分量稳定|双周回顾|能力提升","分量压缩|周度跟踪|强制PIP"))</f>
        <v>分量优先|月度回顾|战略对话</v>
      </c>
    </row>
    <row r="27" customFormat="false" ht="15" hidden="false" customHeight="true" outlineLevel="0" collapsed="false">
      <c r="A27" s="5" t="n">
        <v>26</v>
      </c>
      <c r="B27" s="6" t="s">
        <v>34</v>
      </c>
      <c r="C27" s="6" t="n">
        <f aca="false">业务督导打分!I27</f>
        <v>0</v>
      </c>
      <c r="D27" s="6" t="n">
        <f aca="false">供应商管理打分!I27</f>
        <v>18</v>
      </c>
      <c r="E27" s="6" t="n">
        <f aca="false">质检打分!G27</f>
        <v>0</v>
      </c>
      <c r="F27" s="6" t="n">
        <f aca="false">SUM(C27:E27)</f>
        <v>18</v>
      </c>
      <c r="G27" s="6" t="n">
        <f aca="false">RANK(F27,F2:F31,0)</f>
        <v>1</v>
      </c>
      <c r="H27" s="6" t="str">
        <f aca="false">IF(G27/COUNTA(B2:B31)&lt;=0.3,"A",IF(G27/COUNTA(B2:B31)&lt;=0.7,"B","C"))</f>
        <v>A</v>
      </c>
      <c r="I27" s="6" t="str">
        <f aca="false">IF(H2="A","分量优先|月度回顾|战略对话",IF(H2="B","分量稳定|双周回顾|能力提升","分量压缩|周度跟踪|强制PIP"))</f>
        <v>分量优先|月度回顾|战略对话</v>
      </c>
    </row>
    <row r="28" customFormat="false" ht="15" hidden="false" customHeight="true" outlineLevel="0" collapsed="false">
      <c r="A28" s="3" t="n">
        <v>27</v>
      </c>
      <c r="B28" s="4" t="s">
        <v>35</v>
      </c>
      <c r="C28" s="4" t="n">
        <f aca="false">业务督导打分!I28</f>
        <v>0</v>
      </c>
      <c r="D28" s="4" t="n">
        <f aca="false">供应商管理打分!I28</f>
        <v>18</v>
      </c>
      <c r="E28" s="4" t="n">
        <f aca="false">质检打分!G28</f>
        <v>0</v>
      </c>
      <c r="F28" s="4" t="n">
        <f aca="false">SUM(C28:E28)</f>
        <v>18</v>
      </c>
      <c r="G28" s="4" t="n">
        <f aca="false">RANK(F28,F2:F31,0)</f>
        <v>1</v>
      </c>
      <c r="H28" s="4" t="str">
        <f aca="false">IF(G28/COUNTA(B2:B31)&lt;=0.3,"A",IF(G28/COUNTA(B2:B31)&lt;=0.7,"B","C"))</f>
        <v>A</v>
      </c>
      <c r="I28" s="4" t="str">
        <f aca="false">IF(H2="A","分量优先|月度回顾|战略对话",IF(H2="B","分量稳定|双周回顾|能力提升","分量压缩|周度跟踪|强制PIP"))</f>
        <v>分量优先|月度回顾|战略对话</v>
      </c>
    </row>
    <row r="29" customFormat="false" ht="15" hidden="false" customHeight="true" outlineLevel="0" collapsed="false">
      <c r="A29" s="5" t="n">
        <v>28</v>
      </c>
      <c r="B29" s="6" t="s">
        <v>36</v>
      </c>
      <c r="C29" s="6" t="n">
        <f aca="false">业务督导打分!I29</f>
        <v>0</v>
      </c>
      <c r="D29" s="6" t="n">
        <f aca="false">供应商管理打分!I29</f>
        <v>18</v>
      </c>
      <c r="E29" s="6" t="n">
        <f aca="false">质检打分!G29</f>
        <v>0</v>
      </c>
      <c r="F29" s="6" t="n">
        <f aca="false">SUM(C29:E29)</f>
        <v>18</v>
      </c>
      <c r="G29" s="6" t="n">
        <f aca="false">RANK(F29,F2:F31,0)</f>
        <v>1</v>
      </c>
      <c r="H29" s="6" t="str">
        <f aca="false">IF(G29/COUNTA(B2:B31)&lt;=0.3,"A",IF(G29/COUNTA(B2:B31)&lt;=0.7,"B","C"))</f>
        <v>A</v>
      </c>
      <c r="I29" s="6" t="str">
        <f aca="false">IF(H2="A","分量优先|月度回顾|战略对话",IF(H2="B","分量稳定|双周回顾|能力提升","分量压缩|周度跟踪|强制PIP"))</f>
        <v>分量优先|月度回顾|战略对话</v>
      </c>
    </row>
    <row r="30" customFormat="false" ht="15" hidden="false" customHeight="true" outlineLevel="0" collapsed="false">
      <c r="A30" s="3" t="n">
        <v>29</v>
      </c>
      <c r="B30" s="4" t="s">
        <v>37</v>
      </c>
      <c r="C30" s="4" t="n">
        <f aca="false">业务督导打分!I30</f>
        <v>0</v>
      </c>
      <c r="D30" s="4" t="n">
        <f aca="false">供应商管理打分!I30</f>
        <v>18</v>
      </c>
      <c r="E30" s="4" t="n">
        <f aca="false">质检打分!G30</f>
        <v>0</v>
      </c>
      <c r="F30" s="4" t="n">
        <f aca="false">SUM(C30:E30)</f>
        <v>18</v>
      </c>
      <c r="G30" s="4" t="n">
        <f aca="false">RANK(F30,F2:F31,0)</f>
        <v>1</v>
      </c>
      <c r="H30" s="4" t="str">
        <f aca="false">IF(G30/COUNTA(B2:B31)&lt;=0.3,"A",IF(G30/COUNTA(B2:B31)&lt;=0.7,"B","C"))</f>
        <v>A</v>
      </c>
      <c r="I30" s="4" t="str">
        <f aca="false">IF(H2="A","分量优先|月度回顾|战略对话",IF(H2="B","分量稳定|双周回顾|能力提升","分量压缩|周度跟踪|强制PIP"))</f>
        <v>分量优先|月度回顾|战略对话</v>
      </c>
    </row>
    <row r="31" customFormat="false" ht="15" hidden="false" customHeight="true" outlineLevel="0" collapsed="false">
      <c r="A31" s="5" t="n">
        <v>30</v>
      </c>
      <c r="B31" s="6" t="s">
        <v>38</v>
      </c>
      <c r="C31" s="6" t="n">
        <f aca="false">业务督导打分!I31</f>
        <v>0</v>
      </c>
      <c r="D31" s="6" t="n">
        <f aca="false">供应商管理打分!I31</f>
        <v>18</v>
      </c>
      <c r="E31" s="6" t="n">
        <f aca="false">质检打分!G31</f>
        <v>0</v>
      </c>
      <c r="F31" s="6" t="n">
        <f aca="false">SUM(C31:E31)</f>
        <v>18</v>
      </c>
      <c r="G31" s="6" t="n">
        <f aca="false">RANK(F31,F2:F31,0)</f>
        <v>1</v>
      </c>
      <c r="H31" s="6" t="str">
        <f aca="false">IF(G31/COUNTA(B2:B31)&lt;=0.3,"A",IF(G31/COUNTA(B2:B31)&lt;=0.7,"B","C"))</f>
        <v>A</v>
      </c>
      <c r="I31" s="6" t="str">
        <f aca="false">IF(H2="A","分量优先|月度回顾|战略对话",IF(H2="B","分量稳定|双周回顾|能力提升","分量压缩|周度跟踪|强制PIP"))</f>
        <v>分量优先|月度回顾|战略对话</v>
      </c>
    </row>
  </sheetData>
  <conditionalFormatting sqref="F2:F31">
    <cfRule type="expression" priority="2" aboveAverage="0" equalAverage="0" bottom="0" percent="0" rank="0" text="" dxfId="0">
      <formula>F2&gt;=80</formula>
    </cfRule>
    <cfRule type="expression" priority="3" aboveAverage="0" equalAverage="0" bottom="0" percent="0" rank="0" text="" dxfId="1">
      <formula>AND(F2&gt;=60,F2&lt;80)</formula>
    </cfRule>
    <cfRule type="expression" priority="4" aboveAverage="0" equalAverage="0" bottom="0" percent="0" rank="0" text="" dxfId="2">
      <formula>F2&lt;60</formula>
    </cfRule>
  </conditionalFormatting>
  <conditionalFormatting sqref="H2:H31">
    <cfRule type="cellIs" priority="5" operator="equal" aboveAverage="0" equalAverage="0" bottom="0" percent="0" rank="0" text="" dxfId="3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4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7.15" hidden="false" customHeight="false" outlineLevel="0" collapsed="false">
      <c r="A1" s="2" t="s">
        <v>1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</row>
    <row r="2" customFormat="false" ht="15" hidden="false" customHeight="false" outlineLevel="0" collapsed="false">
      <c r="A2" s="3" t="s">
        <v>9</v>
      </c>
      <c r="B2" s="4"/>
      <c r="C2" s="4" t="str">
        <f aca="false">IF(B2="","",IF(B2/30&gt;0.7,"",IF(B2/30&gt;0.3,"","黄色预警")))</f>
        <v/>
      </c>
      <c r="D2" s="4"/>
      <c r="E2" s="4" t="str">
        <f aca="false">IF(D2="","",IF(AND(D2/30&lt;=0.3,C2="黄色预警"),"橙色预警",IF(D2/30&lt;=0.3,"黄色预警","")))</f>
        <v/>
      </c>
      <c r="F2" s="4"/>
      <c r="G2" s="4" t="str">
        <f aca="false">IF(F2="","",IF(AND(F2/30&lt;=0.3,E2="橙色预警"),"红色PIP",IF(AND(F2/30&lt;=0.3,COUNTIF(C2:E2,"黄色预警")&gt;=1),"橙色预警",IF(F2/30&lt;=0.3,"黄色预警",""))))</f>
        <v/>
      </c>
      <c r="H2" s="4" t="str">
        <f aca="false">IF(G2="红色PIP","红色PIP",IF(E2="橙色预警","橙色预警",IF(COUNTIF(C2:E2,"黄色预警")&gt;=1,"黄色预警","正常")))</f>
        <v>正常</v>
      </c>
      <c r="I2" s="4" t="str">
        <f aca="false">打分总表!H2</f>
        <v>A</v>
      </c>
    </row>
    <row r="3" customFormat="false" ht="15" hidden="false" customHeight="false" outlineLevel="0" collapsed="false">
      <c r="A3" s="5" t="s">
        <v>10</v>
      </c>
      <c r="B3" s="6"/>
      <c r="C3" s="6" t="str">
        <f aca="false">IF(B3="","",IF(B3/30&gt;0.7,"",IF(B3/30&gt;0.3,"","黄色预警")))</f>
        <v/>
      </c>
      <c r="D3" s="6"/>
      <c r="E3" s="6" t="str">
        <f aca="false">IF(D3="","",IF(AND(D3/30&lt;=0.3,C3="黄色预警"),"橙色预警",IF(D3/30&lt;=0.3,"黄色预警","")))</f>
        <v/>
      </c>
      <c r="F3" s="6"/>
      <c r="G3" s="6" t="str">
        <f aca="false">IF(F3="","",IF(AND(F3/30&lt;=0.3,E3="橙色预警"),"红色PIP",IF(AND(F3/30&lt;=0.3,COUNTIF(C3:E3,"黄色预警")&gt;=1),"橙色预警",IF(F3/30&lt;=0.3,"黄色预警",""))))</f>
        <v/>
      </c>
      <c r="H3" s="6" t="str">
        <f aca="false">IF(G3="红色PIP","红色PIP",IF(E3="橙色预警","橙色预警",IF(COUNTIF(C3:E3,"黄色预警")&gt;=1,"黄色预警","正常")))</f>
        <v>正常</v>
      </c>
      <c r="I3" s="6" t="str">
        <f aca="false">打分总表!H3</f>
        <v>A</v>
      </c>
    </row>
    <row r="4" customFormat="false" ht="15" hidden="false" customHeight="false" outlineLevel="0" collapsed="false">
      <c r="A4" s="3" t="s">
        <v>11</v>
      </c>
      <c r="B4" s="4"/>
      <c r="C4" s="4" t="str">
        <f aca="false">IF(B4="","",IF(B4/30&gt;0.7,"",IF(B4/30&gt;0.3,"","黄色预警")))</f>
        <v/>
      </c>
      <c r="D4" s="4"/>
      <c r="E4" s="4" t="str">
        <f aca="false">IF(D4="","",IF(AND(D4/30&lt;=0.3,C4="黄色预警"),"橙色预警",IF(D4/30&lt;=0.3,"黄色预警","")))</f>
        <v/>
      </c>
      <c r="F4" s="4"/>
      <c r="G4" s="4" t="str">
        <f aca="false">IF(F4="","",IF(AND(F4/30&lt;=0.3,E4="橙色预警"),"红色PIP",IF(AND(F4/30&lt;=0.3,COUNTIF(C4:E4,"黄色预警")&gt;=1),"橙色预警",IF(F4/30&lt;=0.3,"黄色预警",""))))</f>
        <v/>
      </c>
      <c r="H4" s="4" t="str">
        <f aca="false">IF(G4="红色PIP","红色PIP",IF(E4="橙色预警","橙色预警",IF(COUNTIF(C4:E4,"黄色预警")&gt;=1,"黄色预警","正常")))</f>
        <v>正常</v>
      </c>
      <c r="I4" s="4" t="str">
        <f aca="false">打分总表!H4</f>
        <v>A</v>
      </c>
    </row>
    <row r="5" customFormat="false" ht="15" hidden="false" customHeight="false" outlineLevel="0" collapsed="false">
      <c r="A5" s="5" t="s">
        <v>12</v>
      </c>
      <c r="B5" s="6"/>
      <c r="C5" s="6" t="str">
        <f aca="false">IF(B5="","",IF(B5/30&gt;0.7,"",IF(B5/30&gt;0.3,"","黄色预警")))</f>
        <v/>
      </c>
      <c r="D5" s="6"/>
      <c r="E5" s="6" t="str">
        <f aca="false">IF(D5="","",IF(AND(D5/30&lt;=0.3,C5="黄色预警"),"橙色预警",IF(D5/30&lt;=0.3,"黄色预警","")))</f>
        <v/>
      </c>
      <c r="F5" s="6"/>
      <c r="G5" s="6" t="str">
        <f aca="false">IF(F5="","",IF(AND(F5/30&lt;=0.3,E5="橙色预警"),"红色PIP",IF(AND(F5/30&lt;=0.3,COUNTIF(C5:E5,"黄色预警")&gt;=1),"橙色预警",IF(F5/30&lt;=0.3,"黄色预警",""))))</f>
        <v/>
      </c>
      <c r="H5" s="6" t="str">
        <f aca="false">IF(G5="红色PIP","红色PIP",IF(E5="橙色预警","橙色预警",IF(COUNTIF(C5:E5,"黄色预警")&gt;=1,"黄色预警","正常")))</f>
        <v>正常</v>
      </c>
      <c r="I5" s="6" t="str">
        <f aca="false">打分总表!H5</f>
        <v>A</v>
      </c>
    </row>
    <row r="6" customFormat="false" ht="15" hidden="false" customHeight="false" outlineLevel="0" collapsed="false">
      <c r="A6" s="3" t="s">
        <v>13</v>
      </c>
      <c r="B6" s="4"/>
      <c r="C6" s="4" t="str">
        <f aca="false">IF(B6="","",IF(B6/30&gt;0.7,"",IF(B6/30&gt;0.3,"","黄色预警")))</f>
        <v/>
      </c>
      <c r="D6" s="4"/>
      <c r="E6" s="4" t="str">
        <f aca="false">IF(D6="","",IF(AND(D6/30&lt;=0.3,C6="黄色预警"),"橙色预警",IF(D6/30&lt;=0.3,"黄色预警","")))</f>
        <v/>
      </c>
      <c r="F6" s="4"/>
      <c r="G6" s="4" t="str">
        <f aca="false">IF(F6="","",IF(AND(F6/30&lt;=0.3,E6="橙色预警"),"红色PIP",IF(AND(F6/30&lt;=0.3,COUNTIF(C6:E6,"黄色预警")&gt;=1),"橙色预警",IF(F6/30&lt;=0.3,"黄色预警",""))))</f>
        <v/>
      </c>
      <c r="H6" s="4" t="str">
        <f aca="false">IF(G6="红色PIP","红色PIP",IF(E6="橙色预警","橙色预警",IF(COUNTIF(C6:E6,"黄色预警")&gt;=1,"黄色预警","正常")))</f>
        <v>正常</v>
      </c>
      <c r="I6" s="4" t="str">
        <f aca="false">打分总表!H6</f>
        <v>A</v>
      </c>
    </row>
    <row r="7" customFormat="false" ht="15" hidden="false" customHeight="false" outlineLevel="0" collapsed="false">
      <c r="A7" s="5" t="s">
        <v>14</v>
      </c>
      <c r="B7" s="6"/>
      <c r="C7" s="6" t="str">
        <f aca="false">IF(B7="","",IF(B7/30&gt;0.7,"",IF(B7/30&gt;0.3,"","黄色预警")))</f>
        <v/>
      </c>
      <c r="D7" s="6"/>
      <c r="E7" s="6" t="str">
        <f aca="false">IF(D7="","",IF(AND(D7/30&lt;=0.3,C7="黄色预警"),"橙色预警",IF(D7/30&lt;=0.3,"黄色预警","")))</f>
        <v/>
      </c>
      <c r="F7" s="6"/>
      <c r="G7" s="6" t="str">
        <f aca="false">IF(F7="","",IF(AND(F7/30&lt;=0.3,E7="橙色预警"),"红色PIP",IF(AND(F7/30&lt;=0.3,COUNTIF(C7:E7,"黄色预警")&gt;=1),"橙色预警",IF(F7/30&lt;=0.3,"黄色预警",""))))</f>
        <v/>
      </c>
      <c r="H7" s="6" t="str">
        <f aca="false">IF(G7="红色PIP","红色PIP",IF(E7="橙色预警","橙色预警",IF(COUNTIF(C7:E7,"黄色预警")&gt;=1,"黄色预警","正常")))</f>
        <v>正常</v>
      </c>
      <c r="I7" s="6" t="str">
        <f aca="false">打分总表!H7</f>
        <v>A</v>
      </c>
    </row>
    <row r="8" customFormat="false" ht="15" hidden="false" customHeight="false" outlineLevel="0" collapsed="false">
      <c r="A8" s="3" t="s">
        <v>15</v>
      </c>
      <c r="B8" s="4"/>
      <c r="C8" s="4" t="str">
        <f aca="false">IF(B8="","",IF(B8/30&gt;0.7,"",IF(B8/30&gt;0.3,"","黄色预警")))</f>
        <v/>
      </c>
      <c r="D8" s="4"/>
      <c r="E8" s="4" t="str">
        <f aca="false">IF(D8="","",IF(AND(D8/30&lt;=0.3,C8="黄色预警"),"橙色预警",IF(D8/30&lt;=0.3,"黄色预警","")))</f>
        <v/>
      </c>
      <c r="F8" s="4"/>
      <c r="G8" s="4" t="str">
        <f aca="false">IF(F8="","",IF(AND(F8/30&lt;=0.3,E8="橙色预警"),"红色PIP",IF(AND(F8/30&lt;=0.3,COUNTIF(C8:E8,"黄色预警")&gt;=1),"橙色预警",IF(F8/30&lt;=0.3,"黄色预警",""))))</f>
        <v/>
      </c>
      <c r="H8" s="4" t="str">
        <f aca="false">IF(G8="红色PIP","红色PIP",IF(E8="橙色预警","橙色预警",IF(COUNTIF(C8:E8,"黄色预警")&gt;=1,"黄色预警","正常")))</f>
        <v>正常</v>
      </c>
      <c r="I8" s="4" t="str">
        <f aca="false">打分总表!H8</f>
        <v>A</v>
      </c>
    </row>
    <row r="9" customFormat="false" ht="15" hidden="false" customHeight="false" outlineLevel="0" collapsed="false">
      <c r="A9" s="5" t="s">
        <v>16</v>
      </c>
      <c r="B9" s="6"/>
      <c r="C9" s="6" t="str">
        <f aca="false">IF(B9="","",IF(B9/30&gt;0.7,"",IF(B9/30&gt;0.3,"","黄色预警")))</f>
        <v/>
      </c>
      <c r="D9" s="6"/>
      <c r="E9" s="6" t="str">
        <f aca="false">IF(D9="","",IF(AND(D9/30&lt;=0.3,C9="黄色预警"),"橙色预警",IF(D9/30&lt;=0.3,"黄色预警","")))</f>
        <v/>
      </c>
      <c r="F9" s="6"/>
      <c r="G9" s="6" t="str">
        <f aca="false">IF(F9="","",IF(AND(F9/30&lt;=0.3,E9="橙色预警"),"红色PIP",IF(AND(F9/30&lt;=0.3,COUNTIF(C9:E9,"黄色预警")&gt;=1),"橙色预警",IF(F9/30&lt;=0.3,"黄色预警",""))))</f>
        <v/>
      </c>
      <c r="H9" s="6" t="str">
        <f aca="false">IF(G9="红色PIP","红色PIP",IF(E9="橙色预警","橙色预警",IF(COUNTIF(C9:E9,"黄色预警")&gt;=1,"黄色预警","正常")))</f>
        <v>正常</v>
      </c>
      <c r="I9" s="6" t="str">
        <f aca="false">打分总表!H9</f>
        <v>A</v>
      </c>
    </row>
    <row r="10" customFormat="false" ht="15" hidden="false" customHeight="false" outlineLevel="0" collapsed="false">
      <c r="A10" s="3" t="s">
        <v>17</v>
      </c>
      <c r="B10" s="4"/>
      <c r="C10" s="4" t="str">
        <f aca="false">IF(B10="","",IF(B10/30&gt;0.7,"",IF(B10/30&gt;0.3,"","黄色预警")))</f>
        <v/>
      </c>
      <c r="D10" s="4"/>
      <c r="E10" s="4" t="str">
        <f aca="false">IF(D10="","",IF(AND(D10/30&lt;=0.3,C10="黄色预警"),"橙色预警",IF(D10/30&lt;=0.3,"黄色预警","")))</f>
        <v/>
      </c>
      <c r="F10" s="4"/>
      <c r="G10" s="4" t="str">
        <f aca="false">IF(F10="","",IF(AND(F10/30&lt;=0.3,E10="橙色预警"),"红色PIP",IF(AND(F10/30&lt;=0.3,COUNTIF(C10:E10,"黄色预警")&gt;=1),"橙色预警",IF(F10/30&lt;=0.3,"黄色预警",""))))</f>
        <v/>
      </c>
      <c r="H10" s="4" t="str">
        <f aca="false">IF(G10="红色PIP","红色PIP",IF(E10="橙色预警","橙色预警",IF(COUNTIF(C10:E10,"黄色预警")&gt;=1,"黄色预警","正常")))</f>
        <v>正常</v>
      </c>
      <c r="I10" s="4" t="str">
        <f aca="false">打分总表!H10</f>
        <v>A</v>
      </c>
    </row>
    <row r="11" customFormat="false" ht="15" hidden="false" customHeight="false" outlineLevel="0" collapsed="false">
      <c r="A11" s="5" t="s">
        <v>18</v>
      </c>
      <c r="B11" s="6"/>
      <c r="C11" s="6" t="str">
        <f aca="false">IF(B11="","",IF(B11/30&gt;0.7,"",IF(B11/30&gt;0.3,"","黄色预警")))</f>
        <v/>
      </c>
      <c r="D11" s="6"/>
      <c r="E11" s="6" t="str">
        <f aca="false">IF(D11="","",IF(AND(D11/30&lt;=0.3,C11="黄色预警"),"橙色预警",IF(D11/30&lt;=0.3,"黄色预警","")))</f>
        <v/>
      </c>
      <c r="F11" s="6"/>
      <c r="G11" s="6" t="str">
        <f aca="false">IF(F11="","",IF(AND(F11/30&lt;=0.3,E11="橙色预警"),"红色PIP",IF(AND(F11/30&lt;=0.3,COUNTIF(C11:E11,"黄色预警")&gt;=1),"橙色预警",IF(F11/30&lt;=0.3,"黄色预警",""))))</f>
        <v/>
      </c>
      <c r="H11" s="6" t="str">
        <f aca="false">IF(G11="红色PIP","红色PIP",IF(E11="橙色预警","橙色预警",IF(COUNTIF(C11:E11,"黄色预警")&gt;=1,"黄色预警","正常")))</f>
        <v>正常</v>
      </c>
      <c r="I11" s="6" t="str">
        <f aca="false">打分总表!H11</f>
        <v>A</v>
      </c>
    </row>
    <row r="12" customFormat="false" ht="15" hidden="false" customHeight="false" outlineLevel="0" collapsed="false">
      <c r="A12" s="3" t="s">
        <v>19</v>
      </c>
      <c r="B12" s="4"/>
      <c r="C12" s="4" t="str">
        <f aca="false">IF(B12="","",IF(B12/30&gt;0.7,"",IF(B12/30&gt;0.3,"","黄色预警")))</f>
        <v/>
      </c>
      <c r="D12" s="4"/>
      <c r="E12" s="4" t="str">
        <f aca="false">IF(D12="","",IF(AND(D12/30&lt;=0.3,C12="黄色预警"),"橙色预警",IF(D12/30&lt;=0.3,"黄色预警","")))</f>
        <v/>
      </c>
      <c r="F12" s="4"/>
      <c r="G12" s="4" t="str">
        <f aca="false">IF(F12="","",IF(AND(F12/30&lt;=0.3,E12="橙色预警"),"红色PIP",IF(AND(F12/30&lt;=0.3,COUNTIF(C12:E12,"黄色预警")&gt;=1),"橙色预警",IF(F12/30&lt;=0.3,"黄色预警",""))))</f>
        <v/>
      </c>
      <c r="H12" s="4" t="str">
        <f aca="false">IF(G12="红色PIP","红色PIP",IF(E12="橙色预警","橙色预警",IF(COUNTIF(C12:E12,"黄色预警")&gt;=1,"黄色预警","正常")))</f>
        <v>正常</v>
      </c>
      <c r="I12" s="4" t="str">
        <f aca="false">打分总表!H12</f>
        <v>A</v>
      </c>
    </row>
    <row r="13" customFormat="false" ht="15" hidden="false" customHeight="false" outlineLevel="0" collapsed="false">
      <c r="A13" s="5" t="s">
        <v>20</v>
      </c>
      <c r="B13" s="6"/>
      <c r="C13" s="6" t="str">
        <f aca="false">IF(B13="","",IF(B13/30&gt;0.7,"",IF(B13/30&gt;0.3,"","黄色预警")))</f>
        <v/>
      </c>
      <c r="D13" s="6"/>
      <c r="E13" s="6" t="str">
        <f aca="false">IF(D13="","",IF(AND(D13/30&lt;=0.3,C13="黄色预警"),"橙色预警",IF(D13/30&lt;=0.3,"黄色预警","")))</f>
        <v/>
      </c>
      <c r="F13" s="6"/>
      <c r="G13" s="6" t="str">
        <f aca="false">IF(F13="","",IF(AND(F13/30&lt;=0.3,E13="橙色预警"),"红色PIP",IF(AND(F13/30&lt;=0.3,COUNTIF(C13:E13,"黄色预警")&gt;=1),"橙色预警",IF(F13/30&lt;=0.3,"黄色预警",""))))</f>
        <v/>
      </c>
      <c r="H13" s="6" t="str">
        <f aca="false">IF(G13="红色PIP","红色PIP",IF(E13="橙色预警","橙色预警",IF(COUNTIF(C13:E13,"黄色预警")&gt;=1,"黄色预警","正常")))</f>
        <v>正常</v>
      </c>
      <c r="I13" s="6" t="str">
        <f aca="false">打分总表!H13</f>
        <v>A</v>
      </c>
    </row>
    <row r="14" customFormat="false" ht="15" hidden="false" customHeight="false" outlineLevel="0" collapsed="false">
      <c r="A14" s="3" t="s">
        <v>21</v>
      </c>
      <c r="B14" s="4"/>
      <c r="C14" s="4" t="str">
        <f aca="false">IF(B14="","",IF(B14/30&gt;0.7,"",IF(B14/30&gt;0.3,"","黄色预警")))</f>
        <v/>
      </c>
      <c r="D14" s="4"/>
      <c r="E14" s="4" t="str">
        <f aca="false">IF(D14="","",IF(AND(D14/30&lt;=0.3,C14="黄色预警"),"橙色预警",IF(D14/30&lt;=0.3,"黄色预警","")))</f>
        <v/>
      </c>
      <c r="F14" s="4"/>
      <c r="G14" s="4" t="str">
        <f aca="false">IF(F14="","",IF(AND(F14/30&lt;=0.3,E14="橙色预警"),"红色PIP",IF(AND(F14/30&lt;=0.3,COUNTIF(C14:E14,"黄色预警")&gt;=1),"橙色预警",IF(F14/30&lt;=0.3,"黄色预警",""))))</f>
        <v/>
      </c>
      <c r="H14" s="4" t="str">
        <f aca="false">IF(G14="红色PIP","红色PIP",IF(E14="橙色预警","橙色预警",IF(COUNTIF(C14:E14,"黄色预警")&gt;=1,"黄色预警","正常")))</f>
        <v>正常</v>
      </c>
      <c r="I14" s="4" t="str">
        <f aca="false">打分总表!H14</f>
        <v>A</v>
      </c>
    </row>
    <row r="15" customFormat="false" ht="15" hidden="false" customHeight="false" outlineLevel="0" collapsed="false">
      <c r="A15" s="5" t="s">
        <v>22</v>
      </c>
      <c r="B15" s="6"/>
      <c r="C15" s="6" t="str">
        <f aca="false">IF(B15="","",IF(B15/30&gt;0.7,"",IF(B15/30&gt;0.3,"","黄色预警")))</f>
        <v/>
      </c>
      <c r="D15" s="6"/>
      <c r="E15" s="6" t="str">
        <f aca="false">IF(D15="","",IF(AND(D15/30&lt;=0.3,C15="黄色预警"),"橙色预警",IF(D15/30&lt;=0.3,"黄色预警","")))</f>
        <v/>
      </c>
      <c r="F15" s="6"/>
      <c r="G15" s="6" t="str">
        <f aca="false">IF(F15="","",IF(AND(F15/30&lt;=0.3,E15="橙色预警"),"红色PIP",IF(AND(F15/30&lt;=0.3,COUNTIF(C15:E15,"黄色预警")&gt;=1),"橙色预警",IF(F15/30&lt;=0.3,"黄色预警",""))))</f>
        <v/>
      </c>
      <c r="H15" s="6" t="str">
        <f aca="false">IF(G15="红色PIP","红色PIP",IF(E15="橙色预警","橙色预警",IF(COUNTIF(C15:E15,"黄色预警")&gt;=1,"黄色预警","正常")))</f>
        <v>正常</v>
      </c>
      <c r="I15" s="6" t="str">
        <f aca="false">打分总表!H15</f>
        <v>A</v>
      </c>
    </row>
    <row r="16" customFormat="false" ht="15" hidden="false" customHeight="false" outlineLevel="0" collapsed="false">
      <c r="A16" s="3" t="s">
        <v>23</v>
      </c>
      <c r="B16" s="4"/>
      <c r="C16" s="4" t="str">
        <f aca="false">IF(B16="","",IF(B16/30&gt;0.7,"",IF(B16/30&gt;0.3,"","黄色预警")))</f>
        <v/>
      </c>
      <c r="D16" s="4"/>
      <c r="E16" s="4" t="str">
        <f aca="false">IF(D16="","",IF(AND(D16/30&lt;=0.3,C16="黄色预警"),"橙色预警",IF(D16/30&lt;=0.3,"黄色预警","")))</f>
        <v/>
      </c>
      <c r="F16" s="4"/>
      <c r="G16" s="4" t="str">
        <f aca="false">IF(F16="","",IF(AND(F16/30&lt;=0.3,E16="橙色预警"),"红色PIP",IF(AND(F16/30&lt;=0.3,COUNTIF(C16:E16,"黄色预警")&gt;=1),"橙色预警",IF(F16/30&lt;=0.3,"黄色预警",""))))</f>
        <v/>
      </c>
      <c r="H16" s="4" t="str">
        <f aca="false">IF(G16="红色PIP","红色PIP",IF(E16="橙色预警","橙色预警",IF(COUNTIF(C16:E16,"黄色预警")&gt;=1,"黄色预警","正常")))</f>
        <v>正常</v>
      </c>
      <c r="I16" s="4" t="str">
        <f aca="false">打分总表!H16</f>
        <v>A</v>
      </c>
    </row>
    <row r="17" customFormat="false" ht="15" hidden="false" customHeight="false" outlineLevel="0" collapsed="false">
      <c r="A17" s="5" t="s">
        <v>24</v>
      </c>
      <c r="B17" s="6"/>
      <c r="C17" s="6" t="str">
        <f aca="false">IF(B17="","",IF(B17/30&gt;0.7,"",IF(B17/30&gt;0.3,"","黄色预警")))</f>
        <v/>
      </c>
      <c r="D17" s="6"/>
      <c r="E17" s="6" t="str">
        <f aca="false">IF(D17="","",IF(AND(D17/30&lt;=0.3,C17="黄色预警"),"橙色预警",IF(D17/30&lt;=0.3,"黄色预警","")))</f>
        <v/>
      </c>
      <c r="F17" s="6"/>
      <c r="G17" s="6" t="str">
        <f aca="false">IF(F17="","",IF(AND(F17/30&lt;=0.3,E17="橙色预警"),"红色PIP",IF(AND(F17/30&lt;=0.3,COUNTIF(C17:E17,"黄色预警")&gt;=1),"橙色预警",IF(F17/30&lt;=0.3,"黄色预警",""))))</f>
        <v/>
      </c>
      <c r="H17" s="6" t="str">
        <f aca="false">IF(G17="红色PIP","红色PIP",IF(E17="橙色预警","橙色预警",IF(COUNTIF(C17:E17,"黄色预警")&gt;=1,"黄色预警","正常")))</f>
        <v>正常</v>
      </c>
      <c r="I17" s="6" t="str">
        <f aca="false">打分总表!H17</f>
        <v>A</v>
      </c>
    </row>
    <row r="18" customFormat="false" ht="15" hidden="false" customHeight="false" outlineLevel="0" collapsed="false">
      <c r="A18" s="3" t="s">
        <v>25</v>
      </c>
      <c r="B18" s="4"/>
      <c r="C18" s="4" t="str">
        <f aca="false">IF(B18="","",IF(B18/30&gt;0.7,"",IF(B18/30&gt;0.3,"","黄色预警")))</f>
        <v/>
      </c>
      <c r="D18" s="4"/>
      <c r="E18" s="4" t="str">
        <f aca="false">IF(D18="","",IF(AND(D18/30&lt;=0.3,C18="黄色预警"),"橙色预警",IF(D18/30&lt;=0.3,"黄色预警","")))</f>
        <v/>
      </c>
      <c r="F18" s="4"/>
      <c r="G18" s="4" t="str">
        <f aca="false">IF(F18="","",IF(AND(F18/30&lt;=0.3,E18="橙色预警"),"红色PIP",IF(AND(F18/30&lt;=0.3,COUNTIF(C18:E18,"黄色预警")&gt;=1),"橙色预警",IF(F18/30&lt;=0.3,"黄色预警",""))))</f>
        <v/>
      </c>
      <c r="H18" s="4" t="str">
        <f aca="false">IF(G18="红色PIP","红色PIP",IF(E18="橙色预警","橙色预警",IF(COUNTIF(C18:E18,"黄色预警")&gt;=1,"黄色预警","正常")))</f>
        <v>正常</v>
      </c>
      <c r="I18" s="4" t="str">
        <f aca="false">打分总表!H18</f>
        <v>A</v>
      </c>
    </row>
    <row r="19" customFormat="false" ht="15" hidden="false" customHeight="false" outlineLevel="0" collapsed="false">
      <c r="A19" s="5" t="s">
        <v>26</v>
      </c>
      <c r="B19" s="6"/>
      <c r="C19" s="6" t="str">
        <f aca="false">IF(B19="","",IF(B19/30&gt;0.7,"",IF(B19/30&gt;0.3,"","黄色预警")))</f>
        <v/>
      </c>
      <c r="D19" s="6"/>
      <c r="E19" s="6" t="str">
        <f aca="false">IF(D19="","",IF(AND(D19/30&lt;=0.3,C19="黄色预警"),"橙色预警",IF(D19/30&lt;=0.3,"黄色预警","")))</f>
        <v/>
      </c>
      <c r="F19" s="6"/>
      <c r="G19" s="6" t="str">
        <f aca="false">IF(F19="","",IF(AND(F19/30&lt;=0.3,E19="橙色预警"),"红色PIP",IF(AND(F19/30&lt;=0.3,COUNTIF(C19:E19,"黄色预警")&gt;=1),"橙色预警",IF(F19/30&lt;=0.3,"黄色预警",""))))</f>
        <v/>
      </c>
      <c r="H19" s="6" t="str">
        <f aca="false">IF(G19="红色PIP","红色PIP",IF(E19="橙色预警","橙色预警",IF(COUNTIF(C19:E19,"黄色预警")&gt;=1,"黄色预警","正常")))</f>
        <v>正常</v>
      </c>
      <c r="I19" s="6" t="str">
        <f aca="false">打分总表!H19</f>
        <v>A</v>
      </c>
    </row>
    <row r="20" customFormat="false" ht="15" hidden="false" customHeight="false" outlineLevel="0" collapsed="false">
      <c r="A20" s="3" t="s">
        <v>27</v>
      </c>
      <c r="B20" s="4"/>
      <c r="C20" s="4" t="str">
        <f aca="false">IF(B20="","",IF(B20/30&gt;0.7,"",IF(B20/30&gt;0.3,"","黄色预警")))</f>
        <v/>
      </c>
      <c r="D20" s="4"/>
      <c r="E20" s="4" t="str">
        <f aca="false">IF(D20="","",IF(AND(D20/30&lt;=0.3,C20="黄色预警"),"橙色预警",IF(D20/30&lt;=0.3,"黄色预警","")))</f>
        <v/>
      </c>
      <c r="F20" s="4"/>
      <c r="G20" s="4" t="str">
        <f aca="false">IF(F20="","",IF(AND(F20/30&lt;=0.3,E20="橙色预警"),"红色PIP",IF(AND(F20/30&lt;=0.3,COUNTIF(C20:E20,"黄色预警")&gt;=1),"橙色预警",IF(F20/30&lt;=0.3,"黄色预警",""))))</f>
        <v/>
      </c>
      <c r="H20" s="4" t="str">
        <f aca="false">IF(G20="红色PIP","红色PIP",IF(E20="橙色预警","橙色预警",IF(COUNTIF(C20:E20,"黄色预警")&gt;=1,"黄色预警","正常")))</f>
        <v>正常</v>
      </c>
      <c r="I20" s="4" t="str">
        <f aca="false">打分总表!H20</f>
        <v>A</v>
      </c>
    </row>
    <row r="21" customFormat="false" ht="15" hidden="false" customHeight="false" outlineLevel="0" collapsed="false">
      <c r="A21" s="5" t="s">
        <v>28</v>
      </c>
      <c r="B21" s="6"/>
      <c r="C21" s="6" t="str">
        <f aca="false">IF(B21="","",IF(B21/30&gt;0.7,"",IF(B21/30&gt;0.3,"","黄色预警")))</f>
        <v/>
      </c>
      <c r="D21" s="6"/>
      <c r="E21" s="6" t="str">
        <f aca="false">IF(D21="","",IF(AND(D21/30&lt;=0.3,C21="黄色预警"),"橙色预警",IF(D21/30&lt;=0.3,"黄色预警","")))</f>
        <v/>
      </c>
      <c r="F21" s="6"/>
      <c r="G21" s="6" t="str">
        <f aca="false">IF(F21="","",IF(AND(F21/30&lt;=0.3,E21="橙色预警"),"红色PIP",IF(AND(F21/30&lt;=0.3,COUNTIF(C21:E21,"黄色预警")&gt;=1),"橙色预警",IF(F21/30&lt;=0.3,"黄色预警",""))))</f>
        <v/>
      </c>
      <c r="H21" s="6" t="str">
        <f aca="false">IF(G21="红色PIP","红色PIP",IF(E21="橙色预警","橙色预警",IF(COUNTIF(C21:E21,"黄色预警")&gt;=1,"黄色预警","正常")))</f>
        <v>正常</v>
      </c>
      <c r="I21" s="6" t="str">
        <f aca="false">打分总表!H21</f>
        <v>A</v>
      </c>
    </row>
    <row r="22" customFormat="false" ht="15" hidden="false" customHeight="false" outlineLevel="0" collapsed="false">
      <c r="A22" s="3" t="s">
        <v>29</v>
      </c>
      <c r="B22" s="4"/>
      <c r="C22" s="4" t="str">
        <f aca="false">IF(B22="","",IF(B22/30&gt;0.7,"",IF(B22/30&gt;0.3,"","黄色预警")))</f>
        <v/>
      </c>
      <c r="D22" s="4"/>
      <c r="E22" s="4" t="str">
        <f aca="false">IF(D22="","",IF(AND(D22/30&lt;=0.3,C22="黄色预警"),"橙色预警",IF(D22/30&lt;=0.3,"黄色预警","")))</f>
        <v/>
      </c>
      <c r="F22" s="4"/>
      <c r="G22" s="4" t="str">
        <f aca="false">IF(F22="","",IF(AND(F22/30&lt;=0.3,E22="橙色预警"),"红色PIP",IF(AND(F22/30&lt;=0.3,COUNTIF(C22:E22,"黄色预警")&gt;=1),"橙色预警",IF(F22/30&lt;=0.3,"黄色预警",""))))</f>
        <v/>
      </c>
      <c r="H22" s="4" t="str">
        <f aca="false">IF(G22="红色PIP","红色PIP",IF(E22="橙色预警","橙色预警",IF(COUNTIF(C22:E22,"黄色预警")&gt;=1,"黄色预警","正常")))</f>
        <v>正常</v>
      </c>
      <c r="I22" s="4" t="str">
        <f aca="false">打分总表!H22</f>
        <v>A</v>
      </c>
    </row>
    <row r="23" customFormat="false" ht="15" hidden="false" customHeight="false" outlineLevel="0" collapsed="false">
      <c r="A23" s="5" t="s">
        <v>30</v>
      </c>
      <c r="B23" s="6"/>
      <c r="C23" s="6" t="str">
        <f aca="false">IF(B23="","",IF(B23/30&gt;0.7,"",IF(B23/30&gt;0.3,"","黄色预警")))</f>
        <v/>
      </c>
      <c r="D23" s="6"/>
      <c r="E23" s="6" t="str">
        <f aca="false">IF(D23="","",IF(AND(D23/30&lt;=0.3,C23="黄色预警"),"橙色预警",IF(D23/30&lt;=0.3,"黄色预警","")))</f>
        <v/>
      </c>
      <c r="F23" s="6"/>
      <c r="G23" s="6" t="str">
        <f aca="false">IF(F23="","",IF(AND(F23/30&lt;=0.3,E23="橙色预警"),"红色PIP",IF(AND(F23/30&lt;=0.3,COUNTIF(C23:E23,"黄色预警")&gt;=1),"橙色预警",IF(F23/30&lt;=0.3,"黄色预警",""))))</f>
        <v/>
      </c>
      <c r="H23" s="6" t="str">
        <f aca="false">IF(G23="红色PIP","红色PIP",IF(E23="橙色预警","橙色预警",IF(COUNTIF(C23:E23,"黄色预警")&gt;=1,"黄色预警","正常")))</f>
        <v>正常</v>
      </c>
      <c r="I23" s="6" t="str">
        <f aca="false">打分总表!H23</f>
        <v>A</v>
      </c>
    </row>
    <row r="24" customFormat="false" ht="15" hidden="false" customHeight="false" outlineLevel="0" collapsed="false">
      <c r="A24" s="3" t="s">
        <v>31</v>
      </c>
      <c r="B24" s="4"/>
      <c r="C24" s="4" t="str">
        <f aca="false">IF(B24="","",IF(B24/30&gt;0.7,"",IF(B24/30&gt;0.3,"","黄色预警")))</f>
        <v/>
      </c>
      <c r="D24" s="4"/>
      <c r="E24" s="4" t="str">
        <f aca="false">IF(D24="","",IF(AND(D24/30&lt;=0.3,C24="黄色预警"),"橙色预警",IF(D24/30&lt;=0.3,"黄色预警","")))</f>
        <v/>
      </c>
      <c r="F24" s="4"/>
      <c r="G24" s="4" t="str">
        <f aca="false">IF(F24="","",IF(AND(F24/30&lt;=0.3,E24="橙色预警"),"红色PIP",IF(AND(F24/30&lt;=0.3,COUNTIF(C24:E24,"黄色预警")&gt;=1),"橙色预警",IF(F24/30&lt;=0.3,"黄色预警",""))))</f>
        <v/>
      </c>
      <c r="H24" s="4" t="str">
        <f aca="false">IF(G24="红色PIP","红色PIP",IF(E24="橙色预警","橙色预警",IF(COUNTIF(C24:E24,"黄色预警")&gt;=1,"黄色预警","正常")))</f>
        <v>正常</v>
      </c>
      <c r="I24" s="4" t="str">
        <f aca="false">打分总表!H24</f>
        <v>A</v>
      </c>
    </row>
    <row r="25" customFormat="false" ht="15" hidden="false" customHeight="false" outlineLevel="0" collapsed="false">
      <c r="A25" s="5" t="s">
        <v>32</v>
      </c>
      <c r="B25" s="6"/>
      <c r="C25" s="6" t="str">
        <f aca="false">IF(B25="","",IF(B25/30&gt;0.7,"",IF(B25/30&gt;0.3,"","黄色预警")))</f>
        <v/>
      </c>
      <c r="D25" s="6"/>
      <c r="E25" s="6" t="str">
        <f aca="false">IF(D25="","",IF(AND(D25/30&lt;=0.3,C25="黄色预警"),"橙色预警",IF(D25/30&lt;=0.3,"黄色预警","")))</f>
        <v/>
      </c>
      <c r="F25" s="6"/>
      <c r="G25" s="6" t="str">
        <f aca="false">IF(F25="","",IF(AND(F25/30&lt;=0.3,E25="橙色预警"),"红色PIP",IF(AND(F25/30&lt;=0.3,COUNTIF(C25:E25,"黄色预警")&gt;=1),"橙色预警",IF(F25/30&lt;=0.3,"黄色预警",""))))</f>
        <v/>
      </c>
      <c r="H25" s="6" t="str">
        <f aca="false">IF(G25="红色PIP","红色PIP",IF(E25="橙色预警","橙色预警",IF(COUNTIF(C25:E25,"黄色预警")&gt;=1,"黄色预警","正常")))</f>
        <v>正常</v>
      </c>
      <c r="I25" s="6" t="str">
        <f aca="false">打分总表!H25</f>
        <v>A</v>
      </c>
    </row>
    <row r="26" customFormat="false" ht="15" hidden="false" customHeight="false" outlineLevel="0" collapsed="false">
      <c r="A26" s="3" t="s">
        <v>33</v>
      </c>
      <c r="B26" s="4"/>
      <c r="C26" s="4" t="str">
        <f aca="false">IF(B26="","",IF(B26/30&gt;0.7,"",IF(B26/30&gt;0.3,"","黄色预警")))</f>
        <v/>
      </c>
      <c r="D26" s="4"/>
      <c r="E26" s="4" t="str">
        <f aca="false">IF(D26="","",IF(AND(D26/30&lt;=0.3,C26="黄色预警"),"橙色预警",IF(D26/30&lt;=0.3,"黄色预警","")))</f>
        <v/>
      </c>
      <c r="F26" s="4"/>
      <c r="G26" s="4" t="str">
        <f aca="false">IF(F26="","",IF(AND(F26/30&lt;=0.3,E26="橙色预警"),"红色PIP",IF(AND(F26/30&lt;=0.3,COUNTIF(C26:E26,"黄色预警")&gt;=1),"橙色预警",IF(F26/30&lt;=0.3,"黄色预警",""))))</f>
        <v/>
      </c>
      <c r="H26" s="4" t="str">
        <f aca="false">IF(G26="红色PIP","红色PIP",IF(E26="橙色预警","橙色预警",IF(COUNTIF(C26:E26,"黄色预警")&gt;=1,"黄色预警","正常")))</f>
        <v>正常</v>
      </c>
      <c r="I26" s="4" t="str">
        <f aca="false">打分总表!H26</f>
        <v>A</v>
      </c>
    </row>
    <row r="27" customFormat="false" ht="15" hidden="false" customHeight="false" outlineLevel="0" collapsed="false">
      <c r="A27" s="5" t="s">
        <v>34</v>
      </c>
      <c r="B27" s="6"/>
      <c r="C27" s="6" t="str">
        <f aca="false">IF(B27="","",IF(B27/30&gt;0.7,"",IF(B27/30&gt;0.3,"","黄色预警")))</f>
        <v/>
      </c>
      <c r="D27" s="6"/>
      <c r="E27" s="6" t="str">
        <f aca="false">IF(D27="","",IF(AND(D27/30&lt;=0.3,C27="黄色预警"),"橙色预警",IF(D27/30&lt;=0.3,"黄色预警","")))</f>
        <v/>
      </c>
      <c r="F27" s="6"/>
      <c r="G27" s="6" t="str">
        <f aca="false">IF(F27="","",IF(AND(F27/30&lt;=0.3,E27="橙色预警"),"红色PIP",IF(AND(F27/30&lt;=0.3,COUNTIF(C27:E27,"黄色预警")&gt;=1),"橙色预警",IF(F27/30&lt;=0.3,"黄色预警",""))))</f>
        <v/>
      </c>
      <c r="H27" s="6" t="str">
        <f aca="false">IF(G27="红色PIP","红色PIP",IF(E27="橙色预警","橙色预警",IF(COUNTIF(C27:E27,"黄色预警")&gt;=1,"黄色预警","正常")))</f>
        <v>正常</v>
      </c>
      <c r="I27" s="6" t="str">
        <f aca="false">打分总表!H27</f>
        <v>A</v>
      </c>
    </row>
    <row r="28" customFormat="false" ht="15" hidden="false" customHeight="false" outlineLevel="0" collapsed="false">
      <c r="A28" s="3" t="s">
        <v>35</v>
      </c>
      <c r="B28" s="4"/>
      <c r="C28" s="4" t="str">
        <f aca="false">IF(B28="","",IF(B28/30&gt;0.7,"",IF(B28/30&gt;0.3,"","黄色预警")))</f>
        <v/>
      </c>
      <c r="D28" s="4"/>
      <c r="E28" s="4" t="str">
        <f aca="false">IF(D28="","",IF(AND(D28/30&lt;=0.3,C28="黄色预警"),"橙色预警",IF(D28/30&lt;=0.3,"黄色预警","")))</f>
        <v/>
      </c>
      <c r="F28" s="4"/>
      <c r="G28" s="4" t="str">
        <f aca="false">IF(F28="","",IF(AND(F28/30&lt;=0.3,E28="橙色预警"),"红色PIP",IF(AND(F28/30&lt;=0.3,COUNTIF(C28:E28,"黄色预警")&gt;=1),"橙色预警",IF(F28/30&lt;=0.3,"黄色预警",""))))</f>
        <v/>
      </c>
      <c r="H28" s="4" t="str">
        <f aca="false">IF(G28="红色PIP","红色PIP",IF(E28="橙色预警","橙色预警",IF(COUNTIF(C28:E28,"黄色预警")&gt;=1,"黄色预警","正常")))</f>
        <v>正常</v>
      </c>
      <c r="I28" s="4" t="str">
        <f aca="false">打分总表!H28</f>
        <v>A</v>
      </c>
    </row>
    <row r="29" customFormat="false" ht="15" hidden="false" customHeight="false" outlineLevel="0" collapsed="false">
      <c r="A29" s="5" t="s">
        <v>36</v>
      </c>
      <c r="B29" s="6"/>
      <c r="C29" s="6" t="str">
        <f aca="false">IF(B29="","",IF(B29/30&gt;0.7,"",IF(B29/30&gt;0.3,"","黄色预警")))</f>
        <v/>
      </c>
      <c r="D29" s="6"/>
      <c r="E29" s="6" t="str">
        <f aca="false">IF(D29="","",IF(AND(D29/30&lt;=0.3,C29="黄色预警"),"橙色预警",IF(D29/30&lt;=0.3,"黄色预警","")))</f>
        <v/>
      </c>
      <c r="F29" s="6"/>
      <c r="G29" s="6" t="str">
        <f aca="false">IF(F29="","",IF(AND(F29/30&lt;=0.3,E29="橙色预警"),"红色PIP",IF(AND(F29/30&lt;=0.3,COUNTIF(C29:E29,"黄色预警")&gt;=1),"橙色预警",IF(F29/30&lt;=0.3,"黄色预警",""))))</f>
        <v/>
      </c>
      <c r="H29" s="6" t="str">
        <f aca="false">IF(G29="红色PIP","红色PIP",IF(E29="橙色预警","橙色预警",IF(COUNTIF(C29:E29,"黄色预警")&gt;=1,"黄色预警","正常")))</f>
        <v>正常</v>
      </c>
      <c r="I29" s="6" t="str">
        <f aca="false">打分总表!H29</f>
        <v>A</v>
      </c>
    </row>
    <row r="30" customFormat="false" ht="15" hidden="false" customHeight="false" outlineLevel="0" collapsed="false">
      <c r="A30" s="3" t="s">
        <v>37</v>
      </c>
      <c r="B30" s="4"/>
      <c r="C30" s="4" t="str">
        <f aca="false">IF(B30="","",IF(B30/30&gt;0.7,"",IF(B30/30&gt;0.3,"","黄色预警")))</f>
        <v/>
      </c>
      <c r="D30" s="4"/>
      <c r="E30" s="4" t="str">
        <f aca="false">IF(D30="","",IF(AND(D30/30&lt;=0.3,C30="黄色预警"),"橙色预警",IF(D30/30&lt;=0.3,"黄色预警","")))</f>
        <v/>
      </c>
      <c r="F30" s="4"/>
      <c r="G30" s="4" t="str">
        <f aca="false">IF(F30="","",IF(AND(F30/30&lt;=0.3,E30="橙色预警"),"红色PIP",IF(AND(F30/30&lt;=0.3,COUNTIF(C30:E30,"黄色预警")&gt;=1),"橙色预警",IF(F30/30&lt;=0.3,"黄色预警",""))))</f>
        <v/>
      </c>
      <c r="H30" s="4" t="str">
        <f aca="false">IF(G30="红色PIP","红色PIP",IF(E30="橙色预警","橙色预警",IF(COUNTIF(C30:E30,"黄色预警")&gt;=1,"黄色预警","正常")))</f>
        <v>正常</v>
      </c>
      <c r="I30" s="4" t="str">
        <f aca="false">打分总表!H30</f>
        <v>A</v>
      </c>
    </row>
    <row r="31" customFormat="false" ht="15" hidden="false" customHeight="false" outlineLevel="0" collapsed="false">
      <c r="A31" s="5" t="s">
        <v>38</v>
      </c>
      <c r="B31" s="6"/>
      <c r="C31" s="6" t="str">
        <f aca="false">IF(B31="","",IF(B31/30&gt;0.7,"",IF(B31/30&gt;0.3,"","黄色预警")))</f>
        <v/>
      </c>
      <c r="D31" s="6"/>
      <c r="E31" s="6" t="str">
        <f aca="false">IF(D31="","",IF(AND(D31/30&lt;=0.3,C31="黄色预警"),"橙色预警",IF(D31/30&lt;=0.3,"黄色预警","")))</f>
        <v/>
      </c>
      <c r="F31" s="6"/>
      <c r="G31" s="6" t="str">
        <f aca="false">IF(F31="","",IF(AND(F31/30&lt;=0.3,E31="橙色预警"),"红色PIP",IF(AND(F31/30&lt;=0.3,COUNTIF(C31:E31,"黄色预警")&gt;=1),"橙色预警",IF(F31/30&lt;=0.3,"黄色预警",""))))</f>
        <v/>
      </c>
      <c r="H31" s="6" t="str">
        <f aca="false">IF(G31="红色PIP","红色PIP",IF(E31="橙色预警","橙色预警",IF(COUNTIF(C31:E31,"黄色预警")&gt;=1,"黄色预警","正常")))</f>
        <v>正常</v>
      </c>
      <c r="I31" s="6" t="str">
        <f aca="false">打分总表!H31</f>
        <v>A</v>
      </c>
    </row>
    <row r="35" customFormat="false" ht="15" hidden="false" customHeight="false" outlineLevel="0" collapsed="false">
      <c r="A35" s="7" t="s">
        <v>47</v>
      </c>
    </row>
    <row r="36" customFormat="false" ht="15" hidden="false" customHeight="false" outlineLevel="0" collapsed="false">
      <c r="A36" s="8" t="s">
        <v>48</v>
      </c>
      <c r="B36" s="8" t="s">
        <v>49</v>
      </c>
      <c r="C36" s="8" t="s">
        <v>8</v>
      </c>
      <c r="D36" s="8" t="s">
        <v>50</v>
      </c>
    </row>
    <row r="37" customFormat="false" ht="41.75" hidden="false" customHeight="false" outlineLevel="0" collapsed="false">
      <c r="A37" s="3" t="s">
        <v>51</v>
      </c>
      <c r="B37" s="3" t="s">
        <v>52</v>
      </c>
      <c r="C37" s="3" t="s">
        <v>53</v>
      </c>
      <c r="D37" s="3" t="s">
        <v>54</v>
      </c>
    </row>
    <row r="38" customFormat="false" ht="41.75" hidden="false" customHeight="false" outlineLevel="0" collapsed="false">
      <c r="A38" s="5" t="s">
        <v>55</v>
      </c>
      <c r="B38" s="5" t="s">
        <v>56</v>
      </c>
      <c r="C38" s="5" t="s">
        <v>57</v>
      </c>
      <c r="D38" s="5" t="s">
        <v>58</v>
      </c>
    </row>
    <row r="39" customFormat="false" ht="28.35" hidden="false" customHeight="false" outlineLevel="0" collapsed="false">
      <c r="A39" s="3" t="s">
        <v>59</v>
      </c>
      <c r="B39" s="3" t="s">
        <v>60</v>
      </c>
      <c r="C39" s="3" t="s">
        <v>61</v>
      </c>
      <c r="D39" s="3" t="s">
        <v>62</v>
      </c>
    </row>
    <row r="40" customFormat="false" ht="28.35" hidden="false" customHeight="false" outlineLevel="0" collapsed="false">
      <c r="A40" s="5" t="s">
        <v>63</v>
      </c>
      <c r="B40" s="5" t="s">
        <v>64</v>
      </c>
      <c r="C40" s="5" t="s">
        <v>65</v>
      </c>
      <c r="D40" s="5" t="s">
        <v>66</v>
      </c>
    </row>
  </sheetData>
  <conditionalFormatting sqref="C3:C32">
    <cfRule type="cellIs" priority="2" operator="equal" aboveAverage="0" equalAverage="0" bottom="0" percent="0" rank="0" text="" dxfId="5">
      <formula>"黄色预警"</formula>
    </cfRule>
    <cfRule type="cellIs" priority="3" operator="equal" aboveAverage="0" equalAverage="0" bottom="0" percent="0" rank="0" text="" dxfId="6">
      <formula>"橙色预警"</formula>
    </cfRule>
    <cfRule type="cellIs" priority="4" operator="equal" aboveAverage="0" equalAverage="0" bottom="0" percent="0" rank="0" text="" dxfId="7">
      <formula>"红色PIP"</formula>
    </cfRule>
  </conditionalFormatting>
  <conditionalFormatting sqref="E3:E32">
    <cfRule type="cellIs" priority="5" operator="equal" aboveAverage="0" equalAverage="0" bottom="0" percent="0" rank="0" text="" dxfId="5">
      <formula>"黄色预警"</formula>
    </cfRule>
    <cfRule type="cellIs" priority="6" operator="equal" aboveAverage="0" equalAverage="0" bottom="0" percent="0" rank="0" text="" dxfId="6">
      <formula>"橙色预警"</formula>
    </cfRule>
    <cfRule type="cellIs" priority="7" operator="equal" aboveAverage="0" equalAverage="0" bottom="0" percent="0" rank="0" text="" dxfId="7">
      <formula>"红色PIP"</formula>
    </cfRule>
  </conditionalFormatting>
  <conditionalFormatting sqref="G3:G32">
    <cfRule type="cellIs" priority="8" operator="equal" aboveAverage="0" equalAverage="0" bottom="0" percent="0" rank="0" text="" dxfId="5">
      <formula>"黄色预警"</formula>
    </cfRule>
    <cfRule type="cellIs" priority="9" operator="equal" aboveAverage="0" equalAverage="0" bottom="0" percent="0" rank="0" text="" dxfId="6">
      <formula>"橙色预警"</formula>
    </cfRule>
    <cfRule type="cellIs" priority="10" operator="equal" aboveAverage="0" equalAverage="0" bottom="0" percent="0" rank="0" text="" dxfId="7">
      <formula>"红色PIP"</formula>
    </cfRule>
  </conditionalFormatting>
  <conditionalFormatting sqref="H3:H32">
    <cfRule type="cellIs" priority="11" operator="equal" aboveAverage="0" equalAverage="0" bottom="0" percent="0" rank="0" text="" dxfId="5">
      <formula>"黄色预警"</formula>
    </cfRule>
    <cfRule type="cellIs" priority="12" operator="equal" aboveAverage="0" equalAverage="0" bottom="0" percent="0" rank="0" text="" dxfId="6">
      <formula>"橙色预警"</formula>
    </cfRule>
    <cfRule type="cellIs" priority="13" operator="equal" aboveAverage="0" equalAverage="0" bottom="0" percent="0" rank="0" text="" dxfId="7">
      <formula>"红色PIP"</formula>
    </cfRule>
  </conditionalFormatting>
  <conditionalFormatting sqref="I3:I32">
    <cfRule type="cellIs" priority="14" operator="equal" aboveAverage="0" equalAverage="0" bottom="0" percent="0" rank="0" text="" dxfId="8">
      <formula>"A"</formula>
    </cfRule>
    <cfRule type="cellIs" priority="15" operator="equal" aboveAverage="0" equalAverage="0" bottom="0" percent="0" rank="0" text="" dxfId="5">
      <formula>"B"</formula>
    </cfRule>
    <cfRule type="cellIs" priority="16" operator="equal" aboveAverage="0" equalAverage="0" bottom="0" percent="0" rank="0" text="" dxfId="7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1" width="21.84"/>
    <col collapsed="false" customWidth="true" hidden="false" outlineLevel="0" max="8" min="3" style="1" width="16.38"/>
    <col collapsed="false" customWidth="true" hidden="false" outlineLevel="0" max="9" min="9" style="1" width="14.56"/>
  </cols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</row>
    <row r="2" customFormat="false" ht="15" hidden="false" customHeight="true" outlineLevel="0" collapsed="false">
      <c r="A2" s="3" t="n">
        <v>1</v>
      </c>
      <c r="B2" s="4" t="s">
        <v>9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f aca="false">SUM(C2:H2)</f>
        <v>0</v>
      </c>
    </row>
    <row r="3" customFormat="false" ht="15" hidden="false" customHeight="true" outlineLevel="0" collapsed="false">
      <c r="A3" s="5" t="n">
        <v>2</v>
      </c>
      <c r="B3" s="6" t="s">
        <v>10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f aca="false">SUM(C3:H3)</f>
        <v>0</v>
      </c>
    </row>
    <row r="4" customFormat="false" ht="15" hidden="false" customHeight="true" outlineLevel="0" collapsed="false">
      <c r="A4" s="3" t="n">
        <v>3</v>
      </c>
      <c r="B4" s="4" t="s">
        <v>11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f aca="false">SUM(C4:H4)</f>
        <v>0</v>
      </c>
    </row>
    <row r="5" customFormat="false" ht="15" hidden="false" customHeight="true" outlineLevel="0" collapsed="false">
      <c r="A5" s="5" t="n">
        <v>4</v>
      </c>
      <c r="B5" s="6" t="s">
        <v>12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f aca="false">SUM(C5:H5)</f>
        <v>0</v>
      </c>
    </row>
    <row r="6" customFormat="false" ht="15" hidden="false" customHeight="true" outlineLevel="0" collapsed="false">
      <c r="A6" s="3" t="n">
        <v>5</v>
      </c>
      <c r="B6" s="4" t="s">
        <v>13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f aca="false">SUM(C6:H6)</f>
        <v>0</v>
      </c>
    </row>
    <row r="7" customFormat="false" ht="15" hidden="false" customHeight="true" outlineLevel="0" collapsed="false">
      <c r="A7" s="5" t="n">
        <v>6</v>
      </c>
      <c r="B7" s="6" t="s">
        <v>14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f aca="false">SUM(C7:H7)</f>
        <v>0</v>
      </c>
    </row>
    <row r="8" customFormat="false" ht="15" hidden="false" customHeight="true" outlineLevel="0" collapsed="false">
      <c r="A8" s="3" t="n">
        <v>7</v>
      </c>
      <c r="B8" s="4" t="s">
        <v>15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f aca="false">SUM(C8:H8)</f>
        <v>0</v>
      </c>
    </row>
    <row r="9" customFormat="false" ht="15" hidden="false" customHeight="true" outlineLevel="0" collapsed="false">
      <c r="A9" s="5" t="n">
        <v>8</v>
      </c>
      <c r="B9" s="6" t="s">
        <v>16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f aca="false">SUM(C9:H9)</f>
        <v>0</v>
      </c>
    </row>
    <row r="10" customFormat="false" ht="15" hidden="false" customHeight="true" outlineLevel="0" collapsed="false">
      <c r="A10" s="3" t="n">
        <v>9</v>
      </c>
      <c r="B10" s="4" t="s">
        <v>17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f aca="false">SUM(C10:H10)</f>
        <v>0</v>
      </c>
    </row>
    <row r="11" customFormat="false" ht="15" hidden="false" customHeight="true" outlineLevel="0" collapsed="false">
      <c r="A11" s="5" t="n">
        <v>10</v>
      </c>
      <c r="B11" s="6" t="s">
        <v>18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f aca="false">SUM(C11:H11)</f>
        <v>0</v>
      </c>
    </row>
    <row r="12" customFormat="false" ht="15" hidden="false" customHeight="true" outlineLevel="0" collapsed="false">
      <c r="A12" s="3" t="n">
        <v>11</v>
      </c>
      <c r="B12" s="4" t="s">
        <v>19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f aca="false">SUM(C12:H12)</f>
        <v>0</v>
      </c>
    </row>
    <row r="13" customFormat="false" ht="15" hidden="false" customHeight="true" outlineLevel="0" collapsed="false">
      <c r="A13" s="5" t="n">
        <v>12</v>
      </c>
      <c r="B13" s="6" t="s">
        <v>20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f aca="false">SUM(C13:H13)</f>
        <v>0</v>
      </c>
    </row>
    <row r="14" customFormat="false" ht="15" hidden="false" customHeight="true" outlineLevel="0" collapsed="false">
      <c r="A14" s="3" t="n">
        <v>13</v>
      </c>
      <c r="B14" s="4" t="s">
        <v>21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f aca="false">SUM(C14:H14)</f>
        <v>0</v>
      </c>
    </row>
    <row r="15" customFormat="false" ht="15" hidden="false" customHeight="true" outlineLevel="0" collapsed="false">
      <c r="A15" s="5" t="n">
        <v>14</v>
      </c>
      <c r="B15" s="6" t="s">
        <v>22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f aca="false">SUM(C15:H15)</f>
        <v>0</v>
      </c>
    </row>
    <row r="16" customFormat="false" ht="15" hidden="false" customHeight="true" outlineLevel="0" collapsed="false">
      <c r="A16" s="3" t="n">
        <v>15</v>
      </c>
      <c r="B16" s="4" t="s">
        <v>23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f aca="false">SUM(C16:H16)</f>
        <v>0</v>
      </c>
    </row>
    <row r="17" customFormat="false" ht="15" hidden="false" customHeight="true" outlineLevel="0" collapsed="false">
      <c r="A17" s="5" t="n">
        <v>16</v>
      </c>
      <c r="B17" s="6" t="s">
        <v>24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f aca="false">SUM(C17:H17)</f>
        <v>0</v>
      </c>
    </row>
    <row r="18" customFormat="false" ht="15" hidden="false" customHeight="true" outlineLevel="0" collapsed="false">
      <c r="A18" s="3" t="n">
        <v>17</v>
      </c>
      <c r="B18" s="4" t="s">
        <v>25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f aca="false">SUM(C18:H18)</f>
        <v>0</v>
      </c>
    </row>
    <row r="19" customFormat="false" ht="15" hidden="false" customHeight="true" outlineLevel="0" collapsed="false">
      <c r="A19" s="5" t="n">
        <v>18</v>
      </c>
      <c r="B19" s="6" t="s">
        <v>26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f aca="false">SUM(C19:H19)</f>
        <v>0</v>
      </c>
    </row>
    <row r="20" customFormat="false" ht="15" hidden="false" customHeight="true" outlineLevel="0" collapsed="false">
      <c r="A20" s="3" t="n">
        <v>19</v>
      </c>
      <c r="B20" s="4" t="s">
        <v>27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f aca="false">SUM(C20:H20)</f>
        <v>0</v>
      </c>
    </row>
    <row r="21" customFormat="false" ht="15" hidden="false" customHeight="true" outlineLevel="0" collapsed="false">
      <c r="A21" s="5" t="n">
        <v>20</v>
      </c>
      <c r="B21" s="6" t="s">
        <v>28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f aca="false">SUM(C21:H21)</f>
        <v>0</v>
      </c>
    </row>
    <row r="22" customFormat="false" ht="15" hidden="false" customHeight="true" outlineLevel="0" collapsed="false">
      <c r="A22" s="3" t="n">
        <v>21</v>
      </c>
      <c r="B22" s="4" t="s">
        <v>29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f aca="false">SUM(C22:H22)</f>
        <v>0</v>
      </c>
    </row>
    <row r="23" customFormat="false" ht="15" hidden="false" customHeight="true" outlineLevel="0" collapsed="false">
      <c r="A23" s="5" t="n">
        <v>22</v>
      </c>
      <c r="B23" s="6" t="s">
        <v>30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f aca="false">SUM(C23:H23)</f>
        <v>0</v>
      </c>
    </row>
    <row r="24" customFormat="false" ht="15" hidden="false" customHeight="true" outlineLevel="0" collapsed="false">
      <c r="A24" s="3" t="n">
        <v>23</v>
      </c>
      <c r="B24" s="4" t="s">
        <v>31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f aca="false">SUM(C24:H24)</f>
        <v>0</v>
      </c>
    </row>
    <row r="25" customFormat="false" ht="15" hidden="false" customHeight="true" outlineLevel="0" collapsed="false">
      <c r="A25" s="5" t="n">
        <v>24</v>
      </c>
      <c r="B25" s="6" t="s">
        <v>32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f aca="false">SUM(C25:H25)</f>
        <v>0</v>
      </c>
    </row>
    <row r="26" customFormat="false" ht="15" hidden="false" customHeight="true" outlineLevel="0" collapsed="false">
      <c r="A26" s="3" t="n">
        <v>25</v>
      </c>
      <c r="B26" s="4" t="s">
        <v>33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f aca="false">SUM(C26:H26)</f>
        <v>0</v>
      </c>
    </row>
    <row r="27" customFormat="false" ht="15" hidden="false" customHeight="true" outlineLevel="0" collapsed="false">
      <c r="A27" s="5" t="n">
        <v>26</v>
      </c>
      <c r="B27" s="6" t="s">
        <v>34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f aca="false">SUM(C27:H27)</f>
        <v>0</v>
      </c>
    </row>
    <row r="28" customFormat="false" ht="15" hidden="false" customHeight="true" outlineLevel="0" collapsed="false">
      <c r="A28" s="3" t="n">
        <v>27</v>
      </c>
      <c r="B28" s="4" t="s">
        <v>35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f aca="false">SUM(C28:H28)</f>
        <v>0</v>
      </c>
    </row>
    <row r="29" customFormat="false" ht="15" hidden="false" customHeight="true" outlineLevel="0" collapsed="false">
      <c r="A29" s="5" t="n">
        <v>28</v>
      </c>
      <c r="B29" s="6" t="s">
        <v>36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f aca="false">SUM(C29:H29)</f>
        <v>0</v>
      </c>
    </row>
    <row r="30" customFormat="false" ht="15" hidden="false" customHeight="true" outlineLevel="0" collapsed="false">
      <c r="A30" s="3" t="n">
        <v>29</v>
      </c>
      <c r="B30" s="4" t="s">
        <v>37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f aca="false">SUM(C30:H30)</f>
        <v>0</v>
      </c>
    </row>
    <row r="31" customFormat="false" ht="15" hidden="false" customHeight="true" outlineLevel="0" collapsed="false">
      <c r="A31" s="5" t="n">
        <v>30</v>
      </c>
      <c r="B31" s="6" t="s">
        <v>38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f aca="false">SUM(C31:H31)</f>
        <v>0</v>
      </c>
    </row>
    <row r="34" customFormat="false" ht="15" hidden="false" customHeight="true" outlineLevel="0" collapsed="false">
      <c r="A34" s="9" t="s">
        <v>74</v>
      </c>
    </row>
    <row r="35" customFormat="false" ht="27.75" hidden="false" customHeight="true" outlineLevel="0" collapsed="false">
      <c r="A35" s="10" t="s">
        <v>75</v>
      </c>
      <c r="B35" s="10" t="s">
        <v>76</v>
      </c>
      <c r="C35" s="10" t="s">
        <v>77</v>
      </c>
      <c r="D35" s="10" t="s">
        <v>78</v>
      </c>
    </row>
    <row r="36" customFormat="false" ht="122.25" hidden="false" customHeight="true" outlineLevel="0" collapsed="false">
      <c r="A36" s="4" t="s">
        <v>79</v>
      </c>
      <c r="B36" s="4" t="s">
        <v>80</v>
      </c>
      <c r="C36" s="4" t="s">
        <v>81</v>
      </c>
      <c r="D36" s="4" t="s">
        <v>82</v>
      </c>
    </row>
    <row r="37" customFormat="false" ht="122.25" hidden="false" customHeight="true" outlineLevel="0" collapsed="false">
      <c r="A37" s="6" t="s">
        <v>83</v>
      </c>
      <c r="B37" s="6" t="s">
        <v>84</v>
      </c>
      <c r="C37" s="6" t="s">
        <v>85</v>
      </c>
      <c r="D37" s="6" t="s">
        <v>86</v>
      </c>
    </row>
    <row r="38" customFormat="false" ht="95.25" hidden="false" customHeight="true" outlineLevel="0" collapsed="false">
      <c r="A38" s="4" t="s">
        <v>69</v>
      </c>
      <c r="B38" s="4" t="s">
        <v>87</v>
      </c>
      <c r="C38" s="4" t="s">
        <v>88</v>
      </c>
      <c r="D38" s="4" t="s">
        <v>89</v>
      </c>
    </row>
    <row r="39" customFormat="false" ht="122.25" hidden="false" customHeight="true" outlineLevel="0" collapsed="false">
      <c r="A39" s="6" t="s">
        <v>90</v>
      </c>
      <c r="B39" s="6" t="s">
        <v>91</v>
      </c>
      <c r="C39" s="6" t="s">
        <v>92</v>
      </c>
      <c r="D39" s="6" t="s">
        <v>93</v>
      </c>
    </row>
    <row r="40" customFormat="false" ht="122.25" hidden="false" customHeight="true" outlineLevel="0" collapsed="false">
      <c r="A40" s="4" t="s">
        <v>94</v>
      </c>
      <c r="B40" s="4" t="s">
        <v>95</v>
      </c>
      <c r="C40" s="4" t="s">
        <v>96</v>
      </c>
      <c r="D40" s="4" t="s">
        <v>97</v>
      </c>
    </row>
    <row r="41" customFormat="false" ht="95.25" hidden="false" customHeight="true" outlineLevel="0" collapsed="false">
      <c r="A41" s="6" t="s">
        <v>72</v>
      </c>
      <c r="B41" s="6" t="s">
        <v>98</v>
      </c>
      <c r="C41" s="6" t="s">
        <v>99</v>
      </c>
      <c r="D41" s="6" t="s">
        <v>100</v>
      </c>
    </row>
  </sheetData>
  <dataValidations count="4">
    <dataValidation allowBlank="true" error="请输入0-15之间的数字" errorStyle="stop" errorTitle="输入错误" operator="between" showDropDown="false" showErrorMessage="false" showInputMessage="false" sqref="C2:C31" type="decimal">
      <formula1>0</formula1>
      <formula2>15</formula2>
    </dataValidation>
    <dataValidation allowBlank="true" error="请输入0-10之间的数字" errorStyle="stop" operator="between" showDropDown="false" showErrorMessage="false" showInputMessage="false" sqref="D2:F31" type="decimal">
      <formula1>0</formula1>
      <formula2>10</formula2>
    </dataValidation>
    <dataValidation allowBlank="true" errorStyle="stop" operator="between" showDropDown="false" showErrorMessage="false" showInputMessage="false" sqref="G2:G31" type="decimal">
      <formula1>0</formula1>
      <formula2>8</formula2>
    </dataValidation>
    <dataValidation allowBlank="true" errorStyle="stop" operator="between" showDropDown="false" showErrorMessage="false" showInputMessage="false" sqref="H2:H31" type="decimal">
      <formula1>0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1" width="21.84"/>
    <col collapsed="false" customWidth="true" hidden="false" outlineLevel="0" max="9" min="3" style="1" width="14.56"/>
  </cols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73</v>
      </c>
    </row>
    <row r="2" customFormat="false" ht="15" hidden="false" customHeight="true" outlineLevel="0" collapsed="false">
      <c r="A2" s="3" t="n">
        <v>1</v>
      </c>
      <c r="B2" s="4" t="s">
        <v>9</v>
      </c>
      <c r="C2" s="4" t="n">
        <v>3</v>
      </c>
      <c r="D2" s="4" t="n">
        <v>3</v>
      </c>
      <c r="E2" s="4" t="n">
        <v>3</v>
      </c>
      <c r="F2" s="4" t="n">
        <v>3</v>
      </c>
      <c r="G2" s="4" t="n">
        <v>3</v>
      </c>
      <c r="H2" s="4" t="n">
        <v>3</v>
      </c>
      <c r="I2" s="4" t="n">
        <f aca="false">C2/5*6+D2/5*5+E2/5*5+F2/5*5+G2/5*5+H2/5*4</f>
        <v>18</v>
      </c>
    </row>
    <row r="3" customFormat="false" ht="15" hidden="false" customHeight="true" outlineLevel="0" collapsed="false">
      <c r="A3" s="5" t="n">
        <v>2</v>
      </c>
      <c r="B3" s="6" t="s">
        <v>10</v>
      </c>
      <c r="C3" s="6" t="n">
        <v>3</v>
      </c>
      <c r="D3" s="6" t="n">
        <v>3</v>
      </c>
      <c r="E3" s="6" t="n">
        <v>3</v>
      </c>
      <c r="F3" s="6" t="n">
        <v>3</v>
      </c>
      <c r="G3" s="6" t="n">
        <v>3</v>
      </c>
      <c r="H3" s="6" t="n">
        <v>3</v>
      </c>
      <c r="I3" s="6" t="n">
        <f aca="false">C3/5*6+D3/5*5+E3/5*5+F3/5*5+G3/5*5+H3/5*4</f>
        <v>18</v>
      </c>
    </row>
    <row r="4" customFormat="false" ht="15" hidden="false" customHeight="true" outlineLevel="0" collapsed="false">
      <c r="A4" s="3" t="n">
        <v>3</v>
      </c>
      <c r="B4" s="4" t="s">
        <v>11</v>
      </c>
      <c r="C4" s="4" t="n">
        <v>3</v>
      </c>
      <c r="D4" s="4" t="n">
        <v>3</v>
      </c>
      <c r="E4" s="4" t="n">
        <v>3</v>
      </c>
      <c r="F4" s="4" t="n">
        <v>3</v>
      </c>
      <c r="G4" s="4" t="n">
        <v>3</v>
      </c>
      <c r="H4" s="4" t="n">
        <v>3</v>
      </c>
      <c r="I4" s="4" t="n">
        <f aca="false">C4/5*6+D4/5*5+E4/5*5+F4/5*5+G4/5*5+H4/5*4</f>
        <v>18</v>
      </c>
    </row>
    <row r="5" customFormat="false" ht="15" hidden="false" customHeight="true" outlineLevel="0" collapsed="false">
      <c r="A5" s="5" t="n">
        <v>4</v>
      </c>
      <c r="B5" s="6" t="s">
        <v>12</v>
      </c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f aca="false">C5/5*6+D5/5*5+E5/5*5+F5/5*5+G5/5*5+H5/5*4</f>
        <v>18</v>
      </c>
    </row>
    <row r="6" customFormat="false" ht="15" hidden="false" customHeight="true" outlineLevel="0" collapsed="false">
      <c r="A6" s="3" t="n">
        <v>5</v>
      </c>
      <c r="B6" s="4" t="s">
        <v>13</v>
      </c>
      <c r="C6" s="4" t="n">
        <v>3</v>
      </c>
      <c r="D6" s="4" t="n">
        <v>3</v>
      </c>
      <c r="E6" s="4" t="n">
        <v>3</v>
      </c>
      <c r="F6" s="4" t="n">
        <v>3</v>
      </c>
      <c r="G6" s="4" t="n">
        <v>3</v>
      </c>
      <c r="H6" s="4" t="n">
        <v>3</v>
      </c>
      <c r="I6" s="4" t="n">
        <f aca="false">C6/5*6+D6/5*5+E6/5*5+F6/5*5+G6/5*5+H6/5*4</f>
        <v>18</v>
      </c>
    </row>
    <row r="7" customFormat="false" ht="15" hidden="false" customHeight="true" outlineLevel="0" collapsed="false">
      <c r="A7" s="5" t="n">
        <v>6</v>
      </c>
      <c r="B7" s="6" t="s">
        <v>14</v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f aca="false">C7/5*6+D7/5*5+E7/5*5+F7/5*5+G7/5*5+H7/5*4</f>
        <v>18</v>
      </c>
    </row>
    <row r="8" customFormat="false" ht="15" hidden="false" customHeight="true" outlineLevel="0" collapsed="false">
      <c r="A8" s="3" t="n">
        <v>7</v>
      </c>
      <c r="B8" s="4" t="s">
        <v>15</v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f aca="false">C8/5*6+D8/5*5+E8/5*5+F8/5*5+G8/5*5+H8/5*4</f>
        <v>18</v>
      </c>
    </row>
    <row r="9" customFormat="false" ht="15" hidden="false" customHeight="true" outlineLevel="0" collapsed="false">
      <c r="A9" s="5" t="n">
        <v>8</v>
      </c>
      <c r="B9" s="6" t="s">
        <v>16</v>
      </c>
      <c r="C9" s="6" t="n">
        <v>3</v>
      </c>
      <c r="D9" s="6" t="n">
        <v>3</v>
      </c>
      <c r="E9" s="6" t="n">
        <v>3</v>
      </c>
      <c r="F9" s="6" t="n">
        <v>3</v>
      </c>
      <c r="G9" s="6" t="n">
        <v>3</v>
      </c>
      <c r="H9" s="6" t="n">
        <v>3</v>
      </c>
      <c r="I9" s="6" t="n">
        <f aca="false">C9/5*6+D9/5*5+E9/5*5+F9/5*5+G9/5*5+H9/5*4</f>
        <v>18</v>
      </c>
    </row>
    <row r="10" customFormat="false" ht="15" hidden="false" customHeight="true" outlineLevel="0" collapsed="false">
      <c r="A10" s="3" t="n">
        <v>9</v>
      </c>
      <c r="B10" s="4" t="s">
        <v>17</v>
      </c>
      <c r="C10" s="4" t="n">
        <v>3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f aca="false">C10/5*6+D10/5*5+E10/5*5+F10/5*5+G10/5*5+H10/5*4</f>
        <v>18</v>
      </c>
    </row>
    <row r="11" customFormat="false" ht="15" hidden="false" customHeight="true" outlineLevel="0" collapsed="false">
      <c r="A11" s="5" t="n">
        <v>10</v>
      </c>
      <c r="B11" s="6" t="s">
        <v>18</v>
      </c>
      <c r="C11" s="6" t="n">
        <v>3</v>
      </c>
      <c r="D11" s="6" t="n">
        <v>3</v>
      </c>
      <c r="E11" s="6" t="n">
        <v>3</v>
      </c>
      <c r="F11" s="6" t="n">
        <v>3</v>
      </c>
      <c r="G11" s="6" t="n">
        <v>3</v>
      </c>
      <c r="H11" s="6" t="n">
        <v>3</v>
      </c>
      <c r="I11" s="6" t="n">
        <f aca="false">C11/5*6+D11/5*5+E11/5*5+F11/5*5+G11/5*5+H11/5*4</f>
        <v>18</v>
      </c>
    </row>
    <row r="12" customFormat="false" ht="15" hidden="false" customHeight="true" outlineLevel="0" collapsed="false">
      <c r="A12" s="3" t="n">
        <v>11</v>
      </c>
      <c r="B12" s="4" t="s">
        <v>19</v>
      </c>
      <c r="C12" s="4" t="n">
        <v>3</v>
      </c>
      <c r="D12" s="4" t="n">
        <v>3</v>
      </c>
      <c r="E12" s="4" t="n">
        <v>3</v>
      </c>
      <c r="F12" s="4" t="n">
        <v>3</v>
      </c>
      <c r="G12" s="4" t="n">
        <v>3</v>
      </c>
      <c r="H12" s="4" t="n">
        <v>3</v>
      </c>
      <c r="I12" s="4" t="n">
        <f aca="false">C12/5*6+D12/5*5+E12/5*5+F12/5*5+G12/5*5+H12/5*4</f>
        <v>18</v>
      </c>
    </row>
    <row r="13" customFormat="false" ht="15" hidden="false" customHeight="true" outlineLevel="0" collapsed="false">
      <c r="A13" s="5" t="n">
        <v>12</v>
      </c>
      <c r="B13" s="6" t="s">
        <v>20</v>
      </c>
      <c r="C13" s="6" t="n">
        <v>3</v>
      </c>
      <c r="D13" s="6" t="n">
        <v>3</v>
      </c>
      <c r="E13" s="6" t="n">
        <v>3</v>
      </c>
      <c r="F13" s="6" t="n">
        <v>3</v>
      </c>
      <c r="G13" s="6" t="n">
        <v>3</v>
      </c>
      <c r="H13" s="6" t="n">
        <v>3</v>
      </c>
      <c r="I13" s="6" t="n">
        <f aca="false">C13/5*6+D13/5*5+E13/5*5+F13/5*5+G13/5*5+H13/5*4</f>
        <v>18</v>
      </c>
    </row>
    <row r="14" customFormat="false" ht="15" hidden="false" customHeight="true" outlineLevel="0" collapsed="false">
      <c r="A14" s="3" t="n">
        <v>13</v>
      </c>
      <c r="B14" s="4" t="s">
        <v>21</v>
      </c>
      <c r="C14" s="4" t="n">
        <v>3</v>
      </c>
      <c r="D14" s="4" t="n">
        <v>3</v>
      </c>
      <c r="E14" s="4" t="n">
        <v>3</v>
      </c>
      <c r="F14" s="4" t="n">
        <v>3</v>
      </c>
      <c r="G14" s="4" t="n">
        <v>3</v>
      </c>
      <c r="H14" s="4" t="n">
        <v>3</v>
      </c>
      <c r="I14" s="4" t="n">
        <f aca="false">C14/5*6+D14/5*5+E14/5*5+F14/5*5+G14/5*5+H14/5*4</f>
        <v>18</v>
      </c>
    </row>
    <row r="15" customFormat="false" ht="15" hidden="false" customHeight="true" outlineLevel="0" collapsed="false">
      <c r="A15" s="5" t="n">
        <v>14</v>
      </c>
      <c r="B15" s="6" t="s">
        <v>22</v>
      </c>
      <c r="C15" s="6" t="n">
        <v>3</v>
      </c>
      <c r="D15" s="6" t="n">
        <v>3</v>
      </c>
      <c r="E15" s="6" t="n">
        <v>3</v>
      </c>
      <c r="F15" s="6" t="n">
        <v>3</v>
      </c>
      <c r="G15" s="6" t="n">
        <v>3</v>
      </c>
      <c r="H15" s="6" t="n">
        <v>3</v>
      </c>
      <c r="I15" s="6" t="n">
        <f aca="false">C15/5*6+D15/5*5+E15/5*5+F15/5*5+G15/5*5+H15/5*4</f>
        <v>18</v>
      </c>
    </row>
    <row r="16" customFormat="false" ht="15" hidden="false" customHeight="true" outlineLevel="0" collapsed="false">
      <c r="A16" s="3" t="n">
        <v>15</v>
      </c>
      <c r="B16" s="4" t="s">
        <v>23</v>
      </c>
      <c r="C16" s="4" t="n">
        <v>3</v>
      </c>
      <c r="D16" s="4" t="n">
        <v>3</v>
      </c>
      <c r="E16" s="4" t="n">
        <v>3</v>
      </c>
      <c r="F16" s="4" t="n">
        <v>3</v>
      </c>
      <c r="G16" s="4" t="n">
        <v>3</v>
      </c>
      <c r="H16" s="4" t="n">
        <v>3</v>
      </c>
      <c r="I16" s="4" t="n">
        <f aca="false">C16/5*6+D16/5*5+E16/5*5+F16/5*5+G16/5*5+H16/5*4</f>
        <v>18</v>
      </c>
    </row>
    <row r="17" customFormat="false" ht="15" hidden="false" customHeight="true" outlineLevel="0" collapsed="false">
      <c r="A17" s="5" t="n">
        <v>16</v>
      </c>
      <c r="B17" s="6" t="s">
        <v>24</v>
      </c>
      <c r="C17" s="6" t="n">
        <v>3</v>
      </c>
      <c r="D17" s="6" t="n">
        <v>3</v>
      </c>
      <c r="E17" s="6" t="n">
        <v>3</v>
      </c>
      <c r="F17" s="6" t="n">
        <v>3</v>
      </c>
      <c r="G17" s="6" t="n">
        <v>3</v>
      </c>
      <c r="H17" s="6" t="n">
        <v>3</v>
      </c>
      <c r="I17" s="6" t="n">
        <f aca="false">C17/5*6+D17/5*5+E17/5*5+F17/5*5+G17/5*5+H17/5*4</f>
        <v>18</v>
      </c>
    </row>
    <row r="18" customFormat="false" ht="15" hidden="false" customHeight="true" outlineLevel="0" collapsed="false">
      <c r="A18" s="3" t="n">
        <v>17</v>
      </c>
      <c r="B18" s="4" t="s">
        <v>25</v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f aca="false">C18/5*6+D18/5*5+E18/5*5+F18/5*5+G18/5*5+H18/5*4</f>
        <v>18</v>
      </c>
    </row>
    <row r="19" customFormat="false" ht="15" hidden="false" customHeight="true" outlineLevel="0" collapsed="false">
      <c r="A19" s="5" t="n">
        <v>18</v>
      </c>
      <c r="B19" s="6" t="s">
        <v>26</v>
      </c>
      <c r="C19" s="6" t="n">
        <v>3</v>
      </c>
      <c r="D19" s="6" t="n">
        <v>3</v>
      </c>
      <c r="E19" s="6" t="n">
        <v>3</v>
      </c>
      <c r="F19" s="6" t="n">
        <v>3</v>
      </c>
      <c r="G19" s="6" t="n">
        <v>3</v>
      </c>
      <c r="H19" s="6" t="n">
        <v>3</v>
      </c>
      <c r="I19" s="6" t="n">
        <f aca="false">C19/5*6+D19/5*5+E19/5*5+F19/5*5+G19/5*5+H19/5*4</f>
        <v>18</v>
      </c>
    </row>
    <row r="20" customFormat="false" ht="15" hidden="false" customHeight="true" outlineLevel="0" collapsed="false">
      <c r="A20" s="3" t="n">
        <v>19</v>
      </c>
      <c r="B20" s="4" t="s">
        <v>27</v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f aca="false">C20/5*6+D20/5*5+E20/5*5+F20/5*5+G20/5*5+H20/5*4</f>
        <v>18</v>
      </c>
    </row>
    <row r="21" customFormat="false" ht="15" hidden="false" customHeight="true" outlineLevel="0" collapsed="false">
      <c r="A21" s="5" t="n">
        <v>20</v>
      </c>
      <c r="B21" s="6" t="s">
        <v>28</v>
      </c>
      <c r="C21" s="6" t="n">
        <v>3</v>
      </c>
      <c r="D21" s="6" t="n">
        <v>3</v>
      </c>
      <c r="E21" s="6" t="n">
        <v>3</v>
      </c>
      <c r="F21" s="6" t="n">
        <v>3</v>
      </c>
      <c r="G21" s="6" t="n">
        <v>3</v>
      </c>
      <c r="H21" s="6" t="n">
        <v>3</v>
      </c>
      <c r="I21" s="6" t="n">
        <f aca="false">C21/5*6+D21/5*5+E21/5*5+F21/5*5+G21/5*5+H21/5*4</f>
        <v>18</v>
      </c>
    </row>
    <row r="22" customFormat="false" ht="15" hidden="false" customHeight="true" outlineLevel="0" collapsed="false">
      <c r="A22" s="3" t="n">
        <v>21</v>
      </c>
      <c r="B22" s="4" t="s">
        <v>29</v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f aca="false">C22/5*6+D22/5*5+E22/5*5+F22/5*5+G22/5*5+H22/5*4</f>
        <v>18</v>
      </c>
    </row>
    <row r="23" customFormat="false" ht="15" hidden="false" customHeight="true" outlineLevel="0" collapsed="false">
      <c r="A23" s="5" t="n">
        <v>22</v>
      </c>
      <c r="B23" s="6" t="s">
        <v>30</v>
      </c>
      <c r="C23" s="6" t="n">
        <v>3</v>
      </c>
      <c r="D23" s="6" t="n">
        <v>3</v>
      </c>
      <c r="E23" s="6" t="n">
        <v>3</v>
      </c>
      <c r="F23" s="6" t="n">
        <v>3</v>
      </c>
      <c r="G23" s="6" t="n">
        <v>3</v>
      </c>
      <c r="H23" s="6" t="n">
        <v>3</v>
      </c>
      <c r="I23" s="6" t="n">
        <f aca="false">C23/5*6+D23/5*5+E23/5*5+F23/5*5+G23/5*5+H23/5*4</f>
        <v>18</v>
      </c>
    </row>
    <row r="24" customFormat="false" ht="15" hidden="false" customHeight="true" outlineLevel="0" collapsed="false">
      <c r="A24" s="3" t="n">
        <v>23</v>
      </c>
      <c r="B24" s="4" t="s">
        <v>31</v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f aca="false">C24/5*6+D24/5*5+E24/5*5+F24/5*5+G24/5*5+H24/5*4</f>
        <v>18</v>
      </c>
    </row>
    <row r="25" customFormat="false" ht="15" hidden="false" customHeight="true" outlineLevel="0" collapsed="false">
      <c r="A25" s="5" t="n">
        <v>24</v>
      </c>
      <c r="B25" s="6" t="s">
        <v>32</v>
      </c>
      <c r="C25" s="6" t="n">
        <v>3</v>
      </c>
      <c r="D25" s="6" t="n">
        <v>3</v>
      </c>
      <c r="E25" s="6" t="n">
        <v>3</v>
      </c>
      <c r="F25" s="6" t="n">
        <v>3</v>
      </c>
      <c r="G25" s="6" t="n">
        <v>3</v>
      </c>
      <c r="H25" s="6" t="n">
        <v>3</v>
      </c>
      <c r="I25" s="6" t="n">
        <f aca="false">C25/5*6+D25/5*5+E25/5*5+F25/5*5+G25/5*5+H25/5*4</f>
        <v>18</v>
      </c>
    </row>
    <row r="26" customFormat="false" ht="15" hidden="false" customHeight="true" outlineLevel="0" collapsed="false">
      <c r="A26" s="3" t="n">
        <v>25</v>
      </c>
      <c r="B26" s="4" t="s">
        <v>33</v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f aca="false">C26/5*6+D26/5*5+E26/5*5+F26/5*5+G26/5*5+H26/5*4</f>
        <v>18</v>
      </c>
    </row>
    <row r="27" customFormat="false" ht="15" hidden="false" customHeight="true" outlineLevel="0" collapsed="false">
      <c r="A27" s="5" t="n">
        <v>26</v>
      </c>
      <c r="B27" s="6" t="s">
        <v>34</v>
      </c>
      <c r="C27" s="6" t="n">
        <v>3</v>
      </c>
      <c r="D27" s="6" t="n">
        <v>3</v>
      </c>
      <c r="E27" s="6" t="n">
        <v>3</v>
      </c>
      <c r="F27" s="6" t="n">
        <v>3</v>
      </c>
      <c r="G27" s="6" t="n">
        <v>3</v>
      </c>
      <c r="H27" s="6" t="n">
        <v>3</v>
      </c>
      <c r="I27" s="6" t="n">
        <f aca="false">C27/5*6+D27/5*5+E27/5*5+F27/5*5+G27/5*5+H27/5*4</f>
        <v>18</v>
      </c>
    </row>
    <row r="28" customFormat="false" ht="15" hidden="false" customHeight="true" outlineLevel="0" collapsed="false">
      <c r="A28" s="3" t="n">
        <v>27</v>
      </c>
      <c r="B28" s="4" t="s">
        <v>35</v>
      </c>
      <c r="C28" s="4" t="n">
        <v>3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f aca="false">C28/5*6+D28/5*5+E28/5*5+F28/5*5+G28/5*5+H28/5*4</f>
        <v>18</v>
      </c>
    </row>
    <row r="29" customFormat="false" ht="15" hidden="false" customHeight="true" outlineLevel="0" collapsed="false">
      <c r="A29" s="5" t="n">
        <v>28</v>
      </c>
      <c r="B29" s="6" t="s">
        <v>36</v>
      </c>
      <c r="C29" s="6" t="n">
        <v>3</v>
      </c>
      <c r="D29" s="6" t="n">
        <v>3</v>
      </c>
      <c r="E29" s="6" t="n">
        <v>3</v>
      </c>
      <c r="F29" s="6" t="n">
        <v>3</v>
      </c>
      <c r="G29" s="6" t="n">
        <v>3</v>
      </c>
      <c r="H29" s="6" t="n">
        <v>3</v>
      </c>
      <c r="I29" s="6" t="n">
        <f aca="false">C29/5*6+D29/5*5+E29/5*5+F29/5*5+G29/5*5+H29/5*4</f>
        <v>18</v>
      </c>
    </row>
    <row r="30" customFormat="false" ht="15" hidden="false" customHeight="true" outlineLevel="0" collapsed="false">
      <c r="A30" s="3" t="n">
        <v>29</v>
      </c>
      <c r="B30" s="4" t="s">
        <v>37</v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f aca="false">C30/5*6+D30/5*5+E30/5*5+F30/5*5+G30/5*5+H30/5*4</f>
        <v>18</v>
      </c>
    </row>
    <row r="31" customFormat="false" ht="15" hidden="false" customHeight="true" outlineLevel="0" collapsed="false">
      <c r="A31" s="5" t="n">
        <v>30</v>
      </c>
      <c r="B31" s="6" t="s">
        <v>38</v>
      </c>
      <c r="C31" s="6" t="n">
        <v>3</v>
      </c>
      <c r="D31" s="6" t="n">
        <v>3</v>
      </c>
      <c r="E31" s="6" t="n">
        <v>3</v>
      </c>
      <c r="F31" s="6" t="n">
        <v>3</v>
      </c>
      <c r="G31" s="6" t="n">
        <v>3</v>
      </c>
      <c r="H31" s="6" t="n">
        <v>3</v>
      </c>
      <c r="I31" s="6" t="n">
        <f aca="false">C31/5*6+D31/5*5+E31/5*5+F31/5*5+G31/5*5+H31/5*4</f>
        <v>18</v>
      </c>
    </row>
    <row r="34" customFormat="false" ht="16.5" hidden="false" customHeight="true" outlineLevel="0" collapsed="false">
      <c r="A34" s="9" t="s">
        <v>107</v>
      </c>
    </row>
    <row r="35" customFormat="false" ht="27.75" hidden="false" customHeight="true" outlineLevel="0" collapsed="false">
      <c r="A35" s="8" t="s">
        <v>108</v>
      </c>
      <c r="B35" s="8" t="s">
        <v>109</v>
      </c>
    </row>
    <row r="36" customFormat="false" ht="41.25" hidden="false" customHeight="true" outlineLevel="0" collapsed="false">
      <c r="A36" s="3" t="s">
        <v>110</v>
      </c>
      <c r="B36" s="3" t="s">
        <v>111</v>
      </c>
    </row>
    <row r="37" customFormat="false" ht="41.25" hidden="false" customHeight="true" outlineLevel="0" collapsed="false">
      <c r="A37" s="5" t="s">
        <v>112</v>
      </c>
      <c r="B37" s="5" t="s">
        <v>113</v>
      </c>
    </row>
    <row r="38" customFormat="false" ht="41.25" hidden="false" customHeight="true" outlineLevel="0" collapsed="false">
      <c r="A38" s="3" t="s">
        <v>114</v>
      </c>
      <c r="B38" s="3" t="s">
        <v>115</v>
      </c>
    </row>
    <row r="39" customFormat="false" ht="54.75" hidden="false" customHeight="true" outlineLevel="0" collapsed="false">
      <c r="A39" s="5" t="s">
        <v>116</v>
      </c>
      <c r="B39" s="5" t="s">
        <v>117</v>
      </c>
    </row>
    <row r="40" customFormat="false" ht="27.75" hidden="false" customHeight="true" outlineLevel="0" collapsed="false">
      <c r="A40" s="3" t="s">
        <v>118</v>
      </c>
      <c r="B40" s="3" t="s">
        <v>119</v>
      </c>
    </row>
    <row r="41" customFormat="false" ht="15" hidden="false" customHeight="true" outlineLevel="0" collapsed="false">
      <c r="A41" s="3"/>
      <c r="B41" s="3"/>
    </row>
    <row r="42" customFormat="false" ht="27.75" hidden="false" customHeight="true" outlineLevel="0" collapsed="false">
      <c r="A42" s="11" t="s">
        <v>75</v>
      </c>
      <c r="B42" s="11" t="s">
        <v>120</v>
      </c>
    </row>
    <row r="43" customFormat="false" ht="68.25" hidden="false" customHeight="true" outlineLevel="0" collapsed="false">
      <c r="A43" s="3" t="s">
        <v>101</v>
      </c>
      <c r="B43" s="3" t="s">
        <v>121</v>
      </c>
    </row>
    <row r="44" customFormat="false" ht="68.25" hidden="false" customHeight="true" outlineLevel="0" collapsed="false">
      <c r="A44" s="3" t="s">
        <v>102</v>
      </c>
      <c r="B44" s="3" t="s">
        <v>122</v>
      </c>
    </row>
    <row r="45" customFormat="false" ht="68.25" hidden="false" customHeight="true" outlineLevel="0" collapsed="false">
      <c r="A45" s="3" t="s">
        <v>103</v>
      </c>
      <c r="B45" s="3" t="s">
        <v>123</v>
      </c>
    </row>
    <row r="46" customFormat="false" ht="68.25" hidden="false" customHeight="true" outlineLevel="0" collapsed="false">
      <c r="A46" s="3" t="s">
        <v>104</v>
      </c>
      <c r="B46" s="3" t="s">
        <v>124</v>
      </c>
    </row>
    <row r="47" customFormat="false" ht="68.25" hidden="false" customHeight="true" outlineLevel="0" collapsed="false">
      <c r="A47" s="3" t="s">
        <v>105</v>
      </c>
      <c r="B47" s="3" t="s">
        <v>125</v>
      </c>
    </row>
    <row r="48" customFormat="false" ht="68.25" hidden="false" customHeight="true" outlineLevel="0" collapsed="false">
      <c r="A48" s="3" t="s">
        <v>106</v>
      </c>
      <c r="B48" s="3" t="s">
        <v>126</v>
      </c>
    </row>
  </sheetData>
  <dataValidations count="1">
    <dataValidation allowBlank="true" error="请输入1-5的整数（1=差, 2=需改进, 3=合格, 4=良好, 5=优秀）" errorStyle="stop" operator="between" showDropDown="false" showErrorMessage="false" showInputMessage="false" sqref="C2:H3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1" width="21.84"/>
    <col collapsed="false" customWidth="true" hidden="false" outlineLevel="0" max="4" min="3" style="1" width="18.2"/>
    <col collapsed="false" customWidth="true" hidden="false" outlineLevel="0" max="5" min="5" style="1" width="16.38"/>
    <col collapsed="false" customWidth="true" hidden="false" outlineLevel="0" max="6" min="6" style="1" width="18.2"/>
    <col collapsed="false" customWidth="true" hidden="false" outlineLevel="0" max="7" min="7" style="1" width="14.56"/>
  </cols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73</v>
      </c>
    </row>
    <row r="2" customFormat="false" ht="15" hidden="false" customHeight="true" outlineLevel="0" collapsed="false">
      <c r="A2" s="3" t="n">
        <v>1</v>
      </c>
      <c r="B2" s="4" t="s">
        <v>9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f aca="false">SUM(C2:F2)</f>
        <v>0</v>
      </c>
    </row>
    <row r="3" customFormat="false" ht="15" hidden="false" customHeight="true" outlineLevel="0" collapsed="false">
      <c r="A3" s="5" t="n">
        <v>2</v>
      </c>
      <c r="B3" s="6" t="s">
        <v>10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f aca="false">SUM(C3:F3)</f>
        <v>0</v>
      </c>
    </row>
    <row r="4" customFormat="false" ht="15" hidden="false" customHeight="true" outlineLevel="0" collapsed="false">
      <c r="A4" s="3" t="n">
        <v>3</v>
      </c>
      <c r="B4" s="4" t="s">
        <v>11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f aca="false">SUM(C4:F4)</f>
        <v>0</v>
      </c>
    </row>
    <row r="5" customFormat="false" ht="15" hidden="false" customHeight="true" outlineLevel="0" collapsed="false">
      <c r="A5" s="5" t="n">
        <v>4</v>
      </c>
      <c r="B5" s="6" t="s">
        <v>12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f aca="false">SUM(C5:F5)</f>
        <v>0</v>
      </c>
    </row>
    <row r="6" customFormat="false" ht="15" hidden="false" customHeight="true" outlineLevel="0" collapsed="false">
      <c r="A6" s="3" t="n">
        <v>5</v>
      </c>
      <c r="B6" s="4" t="s">
        <v>13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f aca="false">SUM(C6:F6)</f>
        <v>0</v>
      </c>
    </row>
    <row r="7" customFormat="false" ht="15" hidden="false" customHeight="true" outlineLevel="0" collapsed="false">
      <c r="A7" s="5" t="n">
        <v>6</v>
      </c>
      <c r="B7" s="6" t="s">
        <v>14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f aca="false">SUM(C7:F7)</f>
        <v>0</v>
      </c>
    </row>
    <row r="8" customFormat="false" ht="15" hidden="false" customHeight="true" outlineLevel="0" collapsed="false">
      <c r="A8" s="3" t="n">
        <v>7</v>
      </c>
      <c r="B8" s="4" t="s">
        <v>15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f aca="false">SUM(C8:F8)</f>
        <v>0</v>
      </c>
    </row>
    <row r="9" customFormat="false" ht="15" hidden="false" customHeight="true" outlineLevel="0" collapsed="false">
      <c r="A9" s="5" t="n">
        <v>8</v>
      </c>
      <c r="B9" s="6" t="s">
        <v>16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f aca="false">SUM(C9:F9)</f>
        <v>0</v>
      </c>
    </row>
    <row r="10" customFormat="false" ht="15" hidden="false" customHeight="true" outlineLevel="0" collapsed="false">
      <c r="A10" s="3" t="n">
        <v>9</v>
      </c>
      <c r="B10" s="4" t="s">
        <v>17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f aca="false">SUM(C10:F10)</f>
        <v>0</v>
      </c>
    </row>
    <row r="11" customFormat="false" ht="15" hidden="false" customHeight="true" outlineLevel="0" collapsed="false">
      <c r="A11" s="5" t="n">
        <v>10</v>
      </c>
      <c r="B11" s="6" t="s">
        <v>18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f aca="false">SUM(C11:F11)</f>
        <v>0</v>
      </c>
    </row>
    <row r="12" customFormat="false" ht="15" hidden="false" customHeight="true" outlineLevel="0" collapsed="false">
      <c r="A12" s="3" t="n">
        <v>11</v>
      </c>
      <c r="B12" s="4" t="s">
        <v>19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f aca="false">SUM(C12:F12)</f>
        <v>0</v>
      </c>
    </row>
    <row r="13" customFormat="false" ht="15" hidden="false" customHeight="true" outlineLevel="0" collapsed="false">
      <c r="A13" s="5" t="n">
        <v>12</v>
      </c>
      <c r="B13" s="6" t="s">
        <v>20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f aca="false">SUM(C13:F13)</f>
        <v>0</v>
      </c>
    </row>
    <row r="14" customFormat="false" ht="15" hidden="false" customHeight="true" outlineLevel="0" collapsed="false">
      <c r="A14" s="3" t="n">
        <v>13</v>
      </c>
      <c r="B14" s="4" t="s">
        <v>21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f aca="false">SUM(C14:F14)</f>
        <v>0</v>
      </c>
    </row>
    <row r="15" customFormat="false" ht="15" hidden="false" customHeight="true" outlineLevel="0" collapsed="false">
      <c r="A15" s="5" t="n">
        <v>14</v>
      </c>
      <c r="B15" s="6" t="s">
        <v>22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f aca="false">SUM(C15:F15)</f>
        <v>0</v>
      </c>
    </row>
    <row r="16" customFormat="false" ht="15" hidden="false" customHeight="true" outlineLevel="0" collapsed="false">
      <c r="A16" s="3" t="n">
        <v>15</v>
      </c>
      <c r="B16" s="4" t="s">
        <v>23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f aca="false">SUM(C16:F16)</f>
        <v>0</v>
      </c>
    </row>
    <row r="17" customFormat="false" ht="15" hidden="false" customHeight="true" outlineLevel="0" collapsed="false">
      <c r="A17" s="5" t="n">
        <v>16</v>
      </c>
      <c r="B17" s="6" t="s">
        <v>24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f aca="false">SUM(C17:F17)</f>
        <v>0</v>
      </c>
    </row>
    <row r="18" customFormat="false" ht="15" hidden="false" customHeight="true" outlineLevel="0" collapsed="false">
      <c r="A18" s="3" t="n">
        <v>17</v>
      </c>
      <c r="B18" s="4" t="s">
        <v>25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f aca="false">SUM(C18:F18)</f>
        <v>0</v>
      </c>
    </row>
    <row r="19" customFormat="false" ht="15" hidden="false" customHeight="true" outlineLevel="0" collapsed="false">
      <c r="A19" s="5" t="n">
        <v>18</v>
      </c>
      <c r="B19" s="6" t="s">
        <v>26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f aca="false">SUM(C19:F19)</f>
        <v>0</v>
      </c>
    </row>
    <row r="20" customFormat="false" ht="15" hidden="false" customHeight="true" outlineLevel="0" collapsed="false">
      <c r="A20" s="3" t="n">
        <v>19</v>
      </c>
      <c r="B20" s="4" t="s">
        <v>27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f aca="false">SUM(C20:F20)</f>
        <v>0</v>
      </c>
    </row>
    <row r="21" customFormat="false" ht="15" hidden="false" customHeight="true" outlineLevel="0" collapsed="false">
      <c r="A21" s="5" t="n">
        <v>20</v>
      </c>
      <c r="B21" s="6" t="s">
        <v>28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f aca="false">SUM(C21:F21)</f>
        <v>0</v>
      </c>
    </row>
    <row r="22" customFormat="false" ht="15" hidden="false" customHeight="true" outlineLevel="0" collapsed="false">
      <c r="A22" s="3" t="n">
        <v>21</v>
      </c>
      <c r="B22" s="4" t="s">
        <v>29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f aca="false">SUM(C22:F22)</f>
        <v>0</v>
      </c>
    </row>
    <row r="23" customFormat="false" ht="15" hidden="false" customHeight="true" outlineLevel="0" collapsed="false">
      <c r="A23" s="5" t="n">
        <v>22</v>
      </c>
      <c r="B23" s="6" t="s">
        <v>30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f aca="false">SUM(C23:F23)</f>
        <v>0</v>
      </c>
    </row>
    <row r="24" customFormat="false" ht="15" hidden="false" customHeight="true" outlineLevel="0" collapsed="false">
      <c r="A24" s="3" t="n">
        <v>23</v>
      </c>
      <c r="B24" s="4" t="s">
        <v>31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f aca="false">SUM(C24:F24)</f>
        <v>0</v>
      </c>
    </row>
    <row r="25" customFormat="false" ht="15" hidden="false" customHeight="true" outlineLevel="0" collapsed="false">
      <c r="A25" s="5" t="n">
        <v>24</v>
      </c>
      <c r="B25" s="6" t="s">
        <v>32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f aca="false">SUM(C25:F25)</f>
        <v>0</v>
      </c>
    </row>
    <row r="26" customFormat="false" ht="15" hidden="false" customHeight="true" outlineLevel="0" collapsed="false">
      <c r="A26" s="3" t="n">
        <v>25</v>
      </c>
      <c r="B26" s="4" t="s">
        <v>33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f aca="false">SUM(C26:F26)</f>
        <v>0</v>
      </c>
    </row>
    <row r="27" customFormat="false" ht="15" hidden="false" customHeight="true" outlineLevel="0" collapsed="false">
      <c r="A27" s="5" t="n">
        <v>26</v>
      </c>
      <c r="B27" s="6" t="s">
        <v>34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f aca="false">SUM(C27:F27)</f>
        <v>0</v>
      </c>
    </row>
    <row r="28" customFormat="false" ht="15" hidden="false" customHeight="true" outlineLevel="0" collapsed="false">
      <c r="A28" s="3" t="n">
        <v>27</v>
      </c>
      <c r="B28" s="4" t="s">
        <v>35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f aca="false">SUM(C28:F28)</f>
        <v>0</v>
      </c>
    </row>
    <row r="29" customFormat="false" ht="15" hidden="false" customHeight="true" outlineLevel="0" collapsed="false">
      <c r="A29" s="5" t="n">
        <v>28</v>
      </c>
      <c r="B29" s="6" t="s">
        <v>36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f aca="false">SUM(C29:F29)</f>
        <v>0</v>
      </c>
    </row>
    <row r="30" customFormat="false" ht="15" hidden="false" customHeight="true" outlineLevel="0" collapsed="false">
      <c r="A30" s="3" t="n">
        <v>29</v>
      </c>
      <c r="B30" s="4" t="s">
        <v>37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f aca="false">SUM(C30:F30)</f>
        <v>0</v>
      </c>
    </row>
    <row r="31" customFormat="false" ht="15" hidden="false" customHeight="true" outlineLevel="0" collapsed="false">
      <c r="A31" s="5" t="n">
        <v>30</v>
      </c>
      <c r="B31" s="6" t="s">
        <v>38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f aca="false">SUM(C31:F31)</f>
        <v>0</v>
      </c>
    </row>
    <row r="34" customFormat="false" ht="15" hidden="false" customHeight="true" outlineLevel="0" collapsed="false">
      <c r="A34" s="9" t="s">
        <v>131</v>
      </c>
    </row>
    <row r="35" customFormat="false" ht="27.75" hidden="false" customHeight="true" outlineLevel="0" collapsed="false">
      <c r="A35" s="10" t="s">
        <v>75</v>
      </c>
      <c r="B35" s="10" t="s">
        <v>132</v>
      </c>
      <c r="C35" s="10" t="s">
        <v>133</v>
      </c>
    </row>
    <row r="36" customFormat="false" ht="81.75" hidden="false" customHeight="true" outlineLevel="0" collapsed="false">
      <c r="A36" s="3" t="s">
        <v>127</v>
      </c>
      <c r="B36" s="3" t="s">
        <v>134</v>
      </c>
      <c r="C36" s="3" t="s">
        <v>135</v>
      </c>
    </row>
    <row r="37" customFormat="false" ht="95.25" hidden="false" customHeight="true" outlineLevel="0" collapsed="false">
      <c r="A37" s="5" t="s">
        <v>128</v>
      </c>
      <c r="B37" s="5" t="s">
        <v>136</v>
      </c>
      <c r="C37" s="5" t="s">
        <v>137</v>
      </c>
    </row>
    <row r="38" customFormat="false" ht="81.75" hidden="false" customHeight="true" outlineLevel="0" collapsed="false">
      <c r="A38" s="3" t="s">
        <v>129</v>
      </c>
      <c r="B38" s="3" t="s">
        <v>138</v>
      </c>
      <c r="C38" s="3" t="s">
        <v>139</v>
      </c>
    </row>
    <row r="39" customFormat="false" ht="108.75" hidden="false" customHeight="true" outlineLevel="0" collapsed="false">
      <c r="A39" s="5" t="s">
        <v>130</v>
      </c>
      <c r="B39" s="5" t="s">
        <v>140</v>
      </c>
      <c r="C39" s="5" t="s">
        <v>141</v>
      </c>
    </row>
  </sheetData>
  <dataValidations count="4">
    <dataValidation allowBlank="true" errorStyle="stop" operator="between" showDropDown="false" showErrorMessage="false" showInputMessage="false" sqref="C2:C31" type="decimal">
      <formula1>0</formula1>
      <formula2>4</formula2>
    </dataValidation>
    <dataValidation allowBlank="true" errorStyle="stop" operator="between" showDropDown="false" showErrorMessage="false" showInputMessage="false" sqref="D2:D31" type="decimal">
      <formula1>0</formula1>
      <formula2>3</formula2>
    </dataValidation>
    <dataValidation allowBlank="true" errorStyle="stop" operator="between" showDropDown="false" showErrorMessage="false" showInputMessage="false" sqref="E2:E31" type="decimal">
      <formula1>0</formula1>
      <formula2>2</formula2>
    </dataValidation>
    <dataValidation allowBlank="true" errorStyle="stop" operator="between" showDropDown="false" showErrorMessage="false" showInputMessage="false" sqref="F2:F31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1" width="21.84"/>
    <col collapsed="false" customWidth="true" hidden="false" outlineLevel="0" max="3" min="3" style="1" width="12.74"/>
    <col collapsed="false" customWidth="true" hidden="false" outlineLevel="0" max="4" min="4" style="1" width="10.92"/>
    <col collapsed="false" customWidth="true" hidden="false" outlineLevel="0" max="5" min="5" style="1" width="12.74"/>
    <col collapsed="false" customWidth="true" hidden="false" outlineLevel="0" max="6" min="6" style="1" width="45.49"/>
  </cols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142</v>
      </c>
      <c r="D1" s="2" t="s">
        <v>6</v>
      </c>
      <c r="E1" s="2" t="s">
        <v>7</v>
      </c>
      <c r="F1" s="2" t="s">
        <v>8</v>
      </c>
    </row>
    <row r="2" customFormat="false" ht="27.75" hidden="false" customHeight="true" outlineLevel="0" collapsed="false">
      <c r="A2" s="3" t="n">
        <v>1</v>
      </c>
      <c r="B2" s="4" t="str">
        <f aca="false">打分总表!B2</f>
        <v>供应商1</v>
      </c>
      <c r="C2" s="4" t="n">
        <f aca="false">打分总表!F2</f>
        <v>18</v>
      </c>
      <c r="D2" s="4" t="n">
        <f aca="false">打分总表!G2</f>
        <v>1</v>
      </c>
      <c r="E2" s="4" t="str">
        <f aca="false">打分总表!H2</f>
        <v>A</v>
      </c>
      <c r="F2" s="4" t="str">
        <f aca="false">IF(E2="A","分量优先倾斜|月度经营回顾|季度战略对话|新项目优先准入|质检频次50%",IF(E2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3" customFormat="false" ht="27.75" hidden="false" customHeight="true" outlineLevel="0" collapsed="false">
      <c r="A3" s="5" t="n">
        <v>2</v>
      </c>
      <c r="B3" s="6" t="str">
        <f aca="false">打分总表!B3</f>
        <v>供应商2</v>
      </c>
      <c r="C3" s="6" t="n">
        <f aca="false">打分总表!F3</f>
        <v>18</v>
      </c>
      <c r="D3" s="6" t="n">
        <f aca="false">打分总表!G3</f>
        <v>1</v>
      </c>
      <c r="E3" s="6" t="str">
        <f aca="false">打分总表!H3</f>
        <v>A</v>
      </c>
      <c r="F3" s="6" t="str">
        <f aca="false">IF(E3="A","分量优先倾斜|月度经营回顾|季度战略对话|新项目优先准入|质检频次50%",IF(E3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4" customFormat="false" ht="27.75" hidden="false" customHeight="true" outlineLevel="0" collapsed="false">
      <c r="A4" s="3" t="n">
        <v>3</v>
      </c>
      <c r="B4" s="4" t="str">
        <f aca="false">打分总表!B4</f>
        <v>供应商3</v>
      </c>
      <c r="C4" s="4" t="n">
        <f aca="false">打分总表!F4</f>
        <v>18</v>
      </c>
      <c r="D4" s="4" t="n">
        <f aca="false">打分总表!G4</f>
        <v>1</v>
      </c>
      <c r="E4" s="4" t="str">
        <f aca="false">打分总表!H4</f>
        <v>A</v>
      </c>
      <c r="F4" s="4" t="str">
        <f aca="false">IF(E4="A","分量优先倾斜|月度经营回顾|季度战略对话|新项目优先准入|质检频次50%",IF(E4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5" customFormat="false" ht="27.75" hidden="false" customHeight="true" outlineLevel="0" collapsed="false">
      <c r="A5" s="5" t="n">
        <v>4</v>
      </c>
      <c r="B5" s="6" t="str">
        <f aca="false">打分总表!B5</f>
        <v>供应商4</v>
      </c>
      <c r="C5" s="6" t="n">
        <f aca="false">打分总表!F5</f>
        <v>18</v>
      </c>
      <c r="D5" s="6" t="n">
        <f aca="false">打分总表!G5</f>
        <v>1</v>
      </c>
      <c r="E5" s="6" t="str">
        <f aca="false">打分总表!H5</f>
        <v>A</v>
      </c>
      <c r="F5" s="6" t="str">
        <f aca="false">IF(E5="A","分量优先倾斜|月度经营回顾|季度战略对话|新项目优先准入|质检频次50%",IF(E5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6" customFormat="false" ht="27.75" hidden="false" customHeight="true" outlineLevel="0" collapsed="false">
      <c r="A6" s="3" t="n">
        <v>5</v>
      </c>
      <c r="B6" s="4" t="str">
        <f aca="false">打分总表!B6</f>
        <v>供应商5</v>
      </c>
      <c r="C6" s="4" t="n">
        <f aca="false">打分总表!F6</f>
        <v>18</v>
      </c>
      <c r="D6" s="4" t="n">
        <f aca="false">打分总表!G6</f>
        <v>1</v>
      </c>
      <c r="E6" s="4" t="str">
        <f aca="false">打分总表!H6</f>
        <v>A</v>
      </c>
      <c r="F6" s="4" t="str">
        <f aca="false">IF(E6="A","分量优先倾斜|月度经营回顾|季度战略对话|新项目优先准入|质检频次50%",IF(E6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7" customFormat="false" ht="27.75" hidden="false" customHeight="true" outlineLevel="0" collapsed="false">
      <c r="A7" s="5" t="n">
        <v>6</v>
      </c>
      <c r="B7" s="6" t="str">
        <f aca="false">打分总表!B7</f>
        <v>供应商6</v>
      </c>
      <c r="C7" s="6" t="n">
        <f aca="false">打分总表!F7</f>
        <v>18</v>
      </c>
      <c r="D7" s="6" t="n">
        <f aca="false">打分总表!G7</f>
        <v>1</v>
      </c>
      <c r="E7" s="6" t="str">
        <f aca="false">打分总表!H7</f>
        <v>A</v>
      </c>
      <c r="F7" s="6" t="str">
        <f aca="false">IF(E7="A","分量优先倾斜|月度经营回顾|季度战略对话|新项目优先准入|质检频次50%",IF(E7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8" customFormat="false" ht="27.75" hidden="false" customHeight="true" outlineLevel="0" collapsed="false">
      <c r="A8" s="3" t="n">
        <v>7</v>
      </c>
      <c r="B8" s="4" t="str">
        <f aca="false">打分总表!B8</f>
        <v>供应商7</v>
      </c>
      <c r="C8" s="4" t="n">
        <f aca="false">打分总表!F8</f>
        <v>18</v>
      </c>
      <c r="D8" s="4" t="n">
        <f aca="false">打分总表!G8</f>
        <v>1</v>
      </c>
      <c r="E8" s="4" t="str">
        <f aca="false">打分总表!H8</f>
        <v>A</v>
      </c>
      <c r="F8" s="4" t="str">
        <f aca="false">IF(E8="A","分量优先倾斜|月度经营回顾|季度战略对话|新项目优先准入|质检频次50%",IF(E8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9" customFormat="false" ht="27.75" hidden="false" customHeight="true" outlineLevel="0" collapsed="false">
      <c r="A9" s="5" t="n">
        <v>8</v>
      </c>
      <c r="B9" s="6" t="str">
        <f aca="false">打分总表!B9</f>
        <v>供应商8</v>
      </c>
      <c r="C9" s="6" t="n">
        <f aca="false">打分总表!F9</f>
        <v>18</v>
      </c>
      <c r="D9" s="6" t="n">
        <f aca="false">打分总表!G9</f>
        <v>1</v>
      </c>
      <c r="E9" s="6" t="str">
        <f aca="false">打分总表!H9</f>
        <v>A</v>
      </c>
      <c r="F9" s="6" t="str">
        <f aca="false">IF(E9="A","分量优先倾斜|月度经营回顾|季度战略对话|新项目优先准入|质检频次50%",IF(E9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0" customFormat="false" ht="27.75" hidden="false" customHeight="true" outlineLevel="0" collapsed="false">
      <c r="A10" s="3" t="n">
        <v>9</v>
      </c>
      <c r="B10" s="4" t="str">
        <f aca="false">打分总表!B10</f>
        <v>供应商9</v>
      </c>
      <c r="C10" s="4" t="n">
        <f aca="false">打分总表!F10</f>
        <v>18</v>
      </c>
      <c r="D10" s="4" t="n">
        <f aca="false">打分总表!G10</f>
        <v>1</v>
      </c>
      <c r="E10" s="4" t="str">
        <f aca="false">打分总表!H10</f>
        <v>A</v>
      </c>
      <c r="F10" s="4" t="str">
        <f aca="false">IF(E10="A","分量优先倾斜|月度经营回顾|季度战略对话|新项目优先准入|质检频次50%",IF(E10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1" customFormat="false" ht="27.75" hidden="false" customHeight="true" outlineLevel="0" collapsed="false">
      <c r="A11" s="5" t="n">
        <v>10</v>
      </c>
      <c r="B11" s="6" t="str">
        <f aca="false">打分总表!B11</f>
        <v>供应商10</v>
      </c>
      <c r="C11" s="6" t="n">
        <f aca="false">打分总表!F11</f>
        <v>18</v>
      </c>
      <c r="D11" s="6" t="n">
        <f aca="false">打分总表!G11</f>
        <v>1</v>
      </c>
      <c r="E11" s="6" t="str">
        <f aca="false">打分总表!H11</f>
        <v>A</v>
      </c>
      <c r="F11" s="6" t="str">
        <f aca="false">IF(E11="A","分量优先倾斜|月度经营回顾|季度战略对话|新项目优先准入|质检频次50%",IF(E11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2" customFormat="false" ht="27.75" hidden="false" customHeight="true" outlineLevel="0" collapsed="false">
      <c r="A12" s="3" t="n">
        <v>11</v>
      </c>
      <c r="B12" s="4" t="str">
        <f aca="false">打分总表!B12</f>
        <v>供应商11</v>
      </c>
      <c r="C12" s="4" t="n">
        <f aca="false">打分总表!F12</f>
        <v>18</v>
      </c>
      <c r="D12" s="4" t="n">
        <f aca="false">打分总表!G12</f>
        <v>1</v>
      </c>
      <c r="E12" s="4" t="str">
        <f aca="false">打分总表!H12</f>
        <v>A</v>
      </c>
      <c r="F12" s="4" t="str">
        <f aca="false">IF(E12="A","分量优先倾斜|月度经营回顾|季度战略对话|新项目优先准入|质检频次50%",IF(E12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3" customFormat="false" ht="27.75" hidden="false" customHeight="true" outlineLevel="0" collapsed="false">
      <c r="A13" s="5" t="n">
        <v>12</v>
      </c>
      <c r="B13" s="6" t="str">
        <f aca="false">打分总表!B13</f>
        <v>供应商12</v>
      </c>
      <c r="C13" s="6" t="n">
        <f aca="false">打分总表!F13</f>
        <v>18</v>
      </c>
      <c r="D13" s="6" t="n">
        <f aca="false">打分总表!G13</f>
        <v>1</v>
      </c>
      <c r="E13" s="6" t="str">
        <f aca="false">打分总表!H13</f>
        <v>A</v>
      </c>
      <c r="F13" s="6" t="str">
        <f aca="false">IF(E13="A","分量优先倾斜|月度经营回顾|季度战略对话|新项目优先准入|质检频次50%",IF(E13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4" customFormat="false" ht="27.75" hidden="false" customHeight="true" outlineLevel="0" collapsed="false">
      <c r="A14" s="3" t="n">
        <v>13</v>
      </c>
      <c r="B14" s="4" t="str">
        <f aca="false">打分总表!B14</f>
        <v>供应商13</v>
      </c>
      <c r="C14" s="4" t="n">
        <f aca="false">打分总表!F14</f>
        <v>18</v>
      </c>
      <c r="D14" s="4" t="n">
        <f aca="false">打分总表!G14</f>
        <v>1</v>
      </c>
      <c r="E14" s="4" t="str">
        <f aca="false">打分总表!H14</f>
        <v>A</v>
      </c>
      <c r="F14" s="4" t="str">
        <f aca="false">IF(E14="A","分量优先倾斜|月度经营回顾|季度战略对话|新项目优先准入|质检频次50%",IF(E14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5" customFormat="false" ht="27.75" hidden="false" customHeight="true" outlineLevel="0" collapsed="false">
      <c r="A15" s="5" t="n">
        <v>14</v>
      </c>
      <c r="B15" s="6" t="str">
        <f aca="false">打分总表!B15</f>
        <v>供应商14</v>
      </c>
      <c r="C15" s="6" t="n">
        <f aca="false">打分总表!F15</f>
        <v>18</v>
      </c>
      <c r="D15" s="6" t="n">
        <f aca="false">打分总表!G15</f>
        <v>1</v>
      </c>
      <c r="E15" s="6" t="str">
        <f aca="false">打分总表!H15</f>
        <v>A</v>
      </c>
      <c r="F15" s="6" t="str">
        <f aca="false">IF(E15="A","分量优先倾斜|月度经营回顾|季度战略对话|新项目优先准入|质检频次50%",IF(E15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6" customFormat="false" ht="27.75" hidden="false" customHeight="true" outlineLevel="0" collapsed="false">
      <c r="A16" s="3" t="n">
        <v>15</v>
      </c>
      <c r="B16" s="4" t="str">
        <f aca="false">打分总表!B16</f>
        <v>供应商15</v>
      </c>
      <c r="C16" s="4" t="n">
        <f aca="false">打分总表!F16</f>
        <v>18</v>
      </c>
      <c r="D16" s="4" t="n">
        <f aca="false">打分总表!G16</f>
        <v>1</v>
      </c>
      <c r="E16" s="4" t="str">
        <f aca="false">打分总表!H16</f>
        <v>A</v>
      </c>
      <c r="F16" s="4" t="str">
        <f aca="false">IF(E16="A","分量优先倾斜|月度经营回顾|季度战略对话|新项目优先准入|质检频次50%",IF(E16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7" customFormat="false" ht="27.75" hidden="false" customHeight="true" outlineLevel="0" collapsed="false">
      <c r="A17" s="5" t="n">
        <v>16</v>
      </c>
      <c r="B17" s="6" t="str">
        <f aca="false">打分总表!B17</f>
        <v>供应商16</v>
      </c>
      <c r="C17" s="6" t="n">
        <f aca="false">打分总表!F17</f>
        <v>18</v>
      </c>
      <c r="D17" s="6" t="n">
        <f aca="false">打分总表!G17</f>
        <v>1</v>
      </c>
      <c r="E17" s="6" t="str">
        <f aca="false">打分总表!H17</f>
        <v>A</v>
      </c>
      <c r="F17" s="6" t="str">
        <f aca="false">IF(E17="A","分量优先倾斜|月度经营回顾|季度战略对话|新项目优先准入|质检频次50%",IF(E17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8" customFormat="false" ht="27.75" hidden="false" customHeight="true" outlineLevel="0" collapsed="false">
      <c r="A18" s="3" t="n">
        <v>17</v>
      </c>
      <c r="B18" s="4" t="str">
        <f aca="false">打分总表!B18</f>
        <v>供应商17</v>
      </c>
      <c r="C18" s="4" t="n">
        <f aca="false">打分总表!F18</f>
        <v>18</v>
      </c>
      <c r="D18" s="4" t="n">
        <f aca="false">打分总表!G18</f>
        <v>1</v>
      </c>
      <c r="E18" s="4" t="str">
        <f aca="false">打分总表!H18</f>
        <v>A</v>
      </c>
      <c r="F18" s="4" t="str">
        <f aca="false">IF(E18="A","分量优先倾斜|月度经营回顾|季度战略对话|新项目优先准入|质检频次50%",IF(E18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19" customFormat="false" ht="27.75" hidden="false" customHeight="true" outlineLevel="0" collapsed="false">
      <c r="A19" s="5" t="n">
        <v>18</v>
      </c>
      <c r="B19" s="6" t="str">
        <f aca="false">打分总表!B19</f>
        <v>供应商18</v>
      </c>
      <c r="C19" s="6" t="n">
        <f aca="false">打分总表!F19</f>
        <v>18</v>
      </c>
      <c r="D19" s="6" t="n">
        <f aca="false">打分总表!G19</f>
        <v>1</v>
      </c>
      <c r="E19" s="6" t="str">
        <f aca="false">打分总表!H19</f>
        <v>A</v>
      </c>
      <c r="F19" s="6" t="str">
        <f aca="false">IF(E19="A","分量优先倾斜|月度经营回顾|季度战略对话|新项目优先准入|质检频次50%",IF(E19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0" customFormat="false" ht="27.75" hidden="false" customHeight="true" outlineLevel="0" collapsed="false">
      <c r="A20" s="3" t="n">
        <v>19</v>
      </c>
      <c r="B20" s="4" t="str">
        <f aca="false">打分总表!B20</f>
        <v>供应商19</v>
      </c>
      <c r="C20" s="4" t="n">
        <f aca="false">打分总表!F20</f>
        <v>18</v>
      </c>
      <c r="D20" s="4" t="n">
        <f aca="false">打分总表!G20</f>
        <v>1</v>
      </c>
      <c r="E20" s="4" t="str">
        <f aca="false">打分总表!H20</f>
        <v>A</v>
      </c>
      <c r="F20" s="4" t="str">
        <f aca="false">IF(E20="A","分量优先倾斜|月度经营回顾|季度战略对话|新项目优先准入|质检频次50%",IF(E20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1" customFormat="false" ht="27.75" hidden="false" customHeight="true" outlineLevel="0" collapsed="false">
      <c r="A21" s="5" t="n">
        <v>20</v>
      </c>
      <c r="B21" s="6" t="str">
        <f aca="false">打分总表!B21</f>
        <v>供应商20</v>
      </c>
      <c r="C21" s="6" t="n">
        <f aca="false">打分总表!F21</f>
        <v>18</v>
      </c>
      <c r="D21" s="6" t="n">
        <f aca="false">打分总表!G21</f>
        <v>1</v>
      </c>
      <c r="E21" s="6" t="str">
        <f aca="false">打分总表!H21</f>
        <v>A</v>
      </c>
      <c r="F21" s="6" t="str">
        <f aca="false">IF(E21="A","分量优先倾斜|月度经营回顾|季度战略对话|新项目优先准入|质检频次50%",IF(E21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2" customFormat="false" ht="27.75" hidden="false" customHeight="true" outlineLevel="0" collapsed="false">
      <c r="A22" s="3" t="n">
        <v>21</v>
      </c>
      <c r="B22" s="4" t="str">
        <f aca="false">打分总表!B22</f>
        <v>供应商21</v>
      </c>
      <c r="C22" s="4" t="n">
        <f aca="false">打分总表!F22</f>
        <v>18</v>
      </c>
      <c r="D22" s="4" t="n">
        <f aca="false">打分总表!G22</f>
        <v>1</v>
      </c>
      <c r="E22" s="4" t="str">
        <f aca="false">打分总表!H22</f>
        <v>A</v>
      </c>
      <c r="F22" s="4" t="str">
        <f aca="false">IF(E22="A","分量优先倾斜|月度经营回顾|季度战略对话|新项目优先准入|质检频次50%",IF(E22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3" customFormat="false" ht="27.75" hidden="false" customHeight="true" outlineLevel="0" collapsed="false">
      <c r="A23" s="5" t="n">
        <v>22</v>
      </c>
      <c r="B23" s="6" t="str">
        <f aca="false">打分总表!B23</f>
        <v>供应商22</v>
      </c>
      <c r="C23" s="6" t="n">
        <f aca="false">打分总表!F23</f>
        <v>18</v>
      </c>
      <c r="D23" s="6" t="n">
        <f aca="false">打分总表!G23</f>
        <v>1</v>
      </c>
      <c r="E23" s="6" t="str">
        <f aca="false">打分总表!H23</f>
        <v>A</v>
      </c>
      <c r="F23" s="6" t="str">
        <f aca="false">IF(E23="A","分量优先倾斜|月度经营回顾|季度战略对话|新项目优先准入|质检频次50%",IF(E23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4" customFormat="false" ht="27.75" hidden="false" customHeight="true" outlineLevel="0" collapsed="false">
      <c r="A24" s="3" t="n">
        <v>23</v>
      </c>
      <c r="B24" s="4" t="str">
        <f aca="false">打分总表!B24</f>
        <v>供应商23</v>
      </c>
      <c r="C24" s="4" t="n">
        <f aca="false">打分总表!F24</f>
        <v>18</v>
      </c>
      <c r="D24" s="4" t="n">
        <f aca="false">打分总表!G24</f>
        <v>1</v>
      </c>
      <c r="E24" s="4" t="str">
        <f aca="false">打分总表!H24</f>
        <v>A</v>
      </c>
      <c r="F24" s="4" t="str">
        <f aca="false">IF(E24="A","分量优先倾斜|月度经营回顾|季度战略对话|新项目优先准入|质检频次50%",IF(E24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5" customFormat="false" ht="27.75" hidden="false" customHeight="true" outlineLevel="0" collapsed="false">
      <c r="A25" s="5" t="n">
        <v>24</v>
      </c>
      <c r="B25" s="6" t="str">
        <f aca="false">打分总表!B25</f>
        <v>供应商24</v>
      </c>
      <c r="C25" s="6" t="n">
        <f aca="false">打分总表!F25</f>
        <v>18</v>
      </c>
      <c r="D25" s="6" t="n">
        <f aca="false">打分总表!G25</f>
        <v>1</v>
      </c>
      <c r="E25" s="6" t="str">
        <f aca="false">打分总表!H25</f>
        <v>A</v>
      </c>
      <c r="F25" s="6" t="str">
        <f aca="false">IF(E25="A","分量优先倾斜|月度经营回顾|季度战略对话|新项目优先准入|质检频次50%",IF(E25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6" customFormat="false" ht="27.75" hidden="false" customHeight="true" outlineLevel="0" collapsed="false">
      <c r="A26" s="3" t="n">
        <v>25</v>
      </c>
      <c r="B26" s="4" t="str">
        <f aca="false">打分总表!B26</f>
        <v>供应商25</v>
      </c>
      <c r="C26" s="4" t="n">
        <f aca="false">打分总表!F26</f>
        <v>18</v>
      </c>
      <c r="D26" s="4" t="n">
        <f aca="false">打分总表!G26</f>
        <v>1</v>
      </c>
      <c r="E26" s="4" t="str">
        <f aca="false">打分总表!H26</f>
        <v>A</v>
      </c>
      <c r="F26" s="4" t="str">
        <f aca="false">IF(E26="A","分量优先倾斜|月度经营回顾|季度战略对话|新项目优先准入|质检频次50%",IF(E26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7" customFormat="false" ht="27.75" hidden="false" customHeight="true" outlineLevel="0" collapsed="false">
      <c r="A27" s="5" t="n">
        <v>26</v>
      </c>
      <c r="B27" s="6" t="str">
        <f aca="false">打分总表!B27</f>
        <v>供应商26</v>
      </c>
      <c r="C27" s="6" t="n">
        <f aca="false">打分总表!F27</f>
        <v>18</v>
      </c>
      <c r="D27" s="6" t="n">
        <f aca="false">打分总表!G27</f>
        <v>1</v>
      </c>
      <c r="E27" s="6" t="str">
        <f aca="false">打分总表!H27</f>
        <v>A</v>
      </c>
      <c r="F27" s="6" t="str">
        <f aca="false">IF(E27="A","分量优先倾斜|月度经营回顾|季度战略对话|新项目优先准入|质检频次50%",IF(E27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8" customFormat="false" ht="27.75" hidden="false" customHeight="true" outlineLevel="0" collapsed="false">
      <c r="A28" s="3" t="n">
        <v>27</v>
      </c>
      <c r="B28" s="4" t="str">
        <f aca="false">打分总表!B28</f>
        <v>供应商27</v>
      </c>
      <c r="C28" s="4" t="n">
        <f aca="false">打分总表!F28</f>
        <v>18</v>
      </c>
      <c r="D28" s="4" t="n">
        <f aca="false">打分总表!G28</f>
        <v>1</v>
      </c>
      <c r="E28" s="4" t="str">
        <f aca="false">打分总表!H28</f>
        <v>A</v>
      </c>
      <c r="F28" s="4" t="str">
        <f aca="false">IF(E28="A","分量优先倾斜|月度经营回顾|季度战略对话|新项目优先准入|质检频次50%",IF(E28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29" customFormat="false" ht="27.75" hidden="false" customHeight="true" outlineLevel="0" collapsed="false">
      <c r="A29" s="5" t="n">
        <v>28</v>
      </c>
      <c r="B29" s="6" t="str">
        <f aca="false">打分总表!B29</f>
        <v>供应商28</v>
      </c>
      <c r="C29" s="6" t="n">
        <f aca="false">打分总表!F29</f>
        <v>18</v>
      </c>
      <c r="D29" s="6" t="n">
        <f aca="false">打分总表!G29</f>
        <v>1</v>
      </c>
      <c r="E29" s="6" t="str">
        <f aca="false">打分总表!H29</f>
        <v>A</v>
      </c>
      <c r="F29" s="6" t="str">
        <f aca="false">IF(E29="A","分量优先倾斜|月度经营回顾|季度战略对话|新项目优先准入|质检频次50%",IF(E29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30" customFormat="false" ht="27.75" hidden="false" customHeight="true" outlineLevel="0" collapsed="false">
      <c r="A30" s="3" t="n">
        <v>29</v>
      </c>
      <c r="B30" s="4" t="str">
        <f aca="false">打分总表!B30</f>
        <v>供应商29</v>
      </c>
      <c r="C30" s="4" t="n">
        <f aca="false">打分总表!F30</f>
        <v>18</v>
      </c>
      <c r="D30" s="4" t="n">
        <f aca="false">打分总表!G30</f>
        <v>1</v>
      </c>
      <c r="E30" s="4" t="str">
        <f aca="false">打分总表!H30</f>
        <v>A</v>
      </c>
      <c r="F30" s="4" t="str">
        <f aca="false">IF(E30="A","分量优先倾斜|月度经营回顾|季度战略对话|新项目优先准入|质检频次50%",IF(E30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  <row r="31" customFormat="false" ht="27.75" hidden="false" customHeight="true" outlineLevel="0" collapsed="false">
      <c r="A31" s="5" t="n">
        <v>30</v>
      </c>
      <c r="B31" s="6" t="str">
        <f aca="false">打分总表!B31</f>
        <v>供应商30</v>
      </c>
      <c r="C31" s="6" t="n">
        <f aca="false">打分总表!F31</f>
        <v>18</v>
      </c>
      <c r="D31" s="6" t="n">
        <f aca="false">打分总表!G31</f>
        <v>1</v>
      </c>
      <c r="E31" s="6" t="str">
        <f aca="false">打分总表!H31</f>
        <v>A</v>
      </c>
      <c r="F31" s="6" t="str">
        <f aca="false">IF(E31="A","分量优先倾斜|月度经营回顾|季度战略对话|新项目优先准入|质检频次50%",IF(E31="B","分量维持稳定|双周运营回顾|针对性辅导|季度能力提升计划|风险预警","分量压缩至15%以下|周度改善会|强制PIP|质检频次翻倍|负责人约谈"))</f>
        <v>分量优先倾斜|月度经营回顾|季度战略对话|新项目优先准入|质检频次50%</v>
      </c>
    </row>
  </sheetData>
  <conditionalFormatting sqref="E2:E31">
    <cfRule type="cellIs" priority="2" operator="equal" aboveAverage="0" equalAverage="0" bottom="0" percent="0" rank="0" text="" dxfId="3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4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2026-04-13T12:05:23Z</dcterms:created>
  <dc:creator>openpyxl</dc:creator>
  <dc:description/>
  <dc:language>zh-CN</dc:language>
  <cp:lastModifiedBy/>
  <dcterms:modified xsi:type="dcterms:W3CDTF">2026-04-14T10:53:11Z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