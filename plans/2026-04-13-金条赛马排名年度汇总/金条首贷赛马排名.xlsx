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条首贷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  <font>
      <name val="微软雅黑"/>
      <i val="1"/>
      <color rgb="00857d74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6" customWidth="1" min="14" max="14"/>
    <col width="16" customWidth="1" min="15" max="15"/>
    <col width="16" customWidth="1" min="16" max="16"/>
  </cols>
  <sheetData>
    <row r="1" ht="35" customHeight="1">
      <c r="A1" s="1" t="inlineStr">
        <is>
          <t>金条首贷业务 — 年度赛马排名总览（2026年）</t>
        </is>
      </c>
    </row>
    <row r="3" ht="28" customHeight="1">
      <c r="A3" s="2" t="inlineStr">
        <is>
          <t>供应商</t>
        </is>
      </c>
      <c r="B3" s="2" t="inlineStr">
        <is>
          <t>1月</t>
        </is>
      </c>
      <c r="C3" s="2" t="inlineStr">
        <is>
          <t>2月</t>
        </is>
      </c>
      <c r="D3" s="2" t="inlineStr">
        <is>
          <t>3月</t>
        </is>
      </c>
      <c r="E3" s="2" t="inlineStr">
        <is>
          <t>4月</t>
        </is>
      </c>
      <c r="F3" s="2" t="inlineStr">
        <is>
          <t>5月</t>
        </is>
      </c>
      <c r="G3" s="2" t="inlineStr">
        <is>
          <t>6月</t>
        </is>
      </c>
      <c r="H3" s="2" t="inlineStr">
        <is>
          <t>7月</t>
        </is>
      </c>
      <c r="I3" s="2" t="inlineStr">
        <is>
          <t>8月</t>
        </is>
      </c>
      <c r="J3" s="2" t="inlineStr">
        <is>
          <t>9月</t>
        </is>
      </c>
      <c r="K3" s="2" t="inlineStr">
        <is>
          <t>10月</t>
        </is>
      </c>
      <c r="L3" s="2" t="inlineStr">
        <is>
          <t>11月</t>
        </is>
      </c>
      <c r="M3" s="2" t="inlineStr">
        <is>
          <t>12月</t>
        </is>
      </c>
      <c r="N3" s="2" t="inlineStr">
        <is>
          <t>连续后30%</t>
        </is>
      </c>
      <c r="O3" s="2" t="inlineStr">
        <is>
          <t>近3月后30%月数</t>
        </is>
      </c>
      <c r="P3" s="2" t="inlineStr">
        <is>
          <t>近3月≥2次</t>
        </is>
      </c>
    </row>
    <row r="4" ht="24" customHeight="1">
      <c r="A4" s="3" t="inlineStr">
        <is>
          <t>毅航合肥职场</t>
        </is>
      </c>
      <c r="B4" s="4" t="n">
        <v>1</v>
      </c>
      <c r="C4" s="4" t="n">
        <v>1</v>
      </c>
      <c r="D4" s="4" t="n">
        <v>1</v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6">
        <f>IF(AND(B4&gt;$B$15,C4&gt;$C$15,D4&gt;$D$15),"⚠ 连续3月后30%","")</f>
        <v/>
      </c>
      <c r="O4" s="7">
        <f>(IF(B4&gt;$B$15,1,0)+IF(C4&gt;$C$15,1,0)+IF(D4&gt;$D$15,1,0))</f>
        <v/>
      </c>
      <c r="P4" s="6">
        <f>IF((IF(B4&gt;$B$15,1,0)+IF(C4&gt;$C$15,1,0)+IF(D4&gt;$D$15,1,0))&gt;=2,"⚡ 2次及以上","")</f>
        <v/>
      </c>
    </row>
    <row r="5" ht="24" customHeight="1">
      <c r="A5" s="8" t="inlineStr">
        <is>
          <t>毛毛虫职场</t>
        </is>
      </c>
      <c r="B5" s="9" t="n">
        <v>2</v>
      </c>
      <c r="C5" s="10" t="n">
        <v>4</v>
      </c>
      <c r="D5" s="9" t="n">
        <v>2</v>
      </c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6">
        <f>IF(AND(B5&gt;$B$15,C5&gt;$C$15,D5&gt;$D$15),"⚠ 连续3月后30%","")</f>
        <v/>
      </c>
      <c r="O5" s="7">
        <f>(IF(B5&gt;$B$15,1,0)+IF(C5&gt;$C$15,1,0)+IF(D5&gt;$D$15,1,0))</f>
        <v/>
      </c>
      <c r="P5" s="6">
        <f>IF((IF(B5&gt;$B$15,1,0)+IF(C5&gt;$C$15,1,0)+IF(D5&gt;$D$15,1,0))&gt;=2,"⚡ 2次及以上","")</f>
        <v/>
      </c>
    </row>
    <row r="6" ht="24" customHeight="1">
      <c r="A6" s="3" t="inlineStr">
        <is>
          <t>赛维斯职场</t>
        </is>
      </c>
      <c r="B6" s="12" t="n">
        <v>3</v>
      </c>
      <c r="C6" s="13" t="n">
        <v>5</v>
      </c>
      <c r="D6" s="13" t="n">
        <v>7</v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>
        <f>IF(AND(B6&gt;$B$15,C6&gt;$C$15,D6&gt;$D$15),"⚠ 连续3月后30%","")</f>
        <v/>
      </c>
      <c r="O6" s="7">
        <f>(IF(B6&gt;$B$15,1,0)+IF(C6&gt;$C$15,1,0)+IF(D6&gt;$D$15,1,0))</f>
        <v/>
      </c>
      <c r="P6" s="6">
        <f>IF((IF(B6&gt;$B$15,1,0)+IF(C6&gt;$C$15,1,0)+IF(D6&gt;$D$15,1,0))&gt;=2,"⚡ 2次及以上","")</f>
        <v/>
      </c>
    </row>
    <row r="7" ht="24" customHeight="1">
      <c r="A7" s="8" t="inlineStr">
        <is>
          <t>博岳石家庄职场</t>
        </is>
      </c>
      <c r="B7" s="10" t="n">
        <v>4</v>
      </c>
      <c r="C7" s="12" t="n">
        <v>3</v>
      </c>
      <c r="D7" s="10" t="n">
        <v>5</v>
      </c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6">
        <f>IF(AND(B7&gt;$B$15,C7&gt;$C$15,D7&gt;$D$15),"⚠ 连续3月后30%","")</f>
        <v/>
      </c>
      <c r="O7" s="7">
        <f>(IF(B7&gt;$B$15,1,0)+IF(C7&gt;$C$15,1,0)+IF(D7&gt;$D$15,1,0))</f>
        <v/>
      </c>
      <c r="P7" s="6">
        <f>IF((IF(B7&gt;$B$15,1,0)+IF(C7&gt;$C$15,1,0)+IF(D7&gt;$D$15,1,0))&gt;=2,"⚡ 2次及以上","")</f>
        <v/>
      </c>
    </row>
    <row r="8" ht="24" customHeight="1">
      <c r="A8" s="3" t="inlineStr">
        <is>
          <t>汇讯职场</t>
        </is>
      </c>
      <c r="B8" s="13" t="n">
        <v>5</v>
      </c>
      <c r="C8" s="13" t="n">
        <v>9</v>
      </c>
      <c r="D8" s="13" t="n">
        <v>6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6">
        <f>IF(AND(B8&gt;$B$15,C8&gt;$C$15,D8&gt;$D$15),"⚠ 连续3月后30%","")</f>
        <v/>
      </c>
      <c r="O8" s="7">
        <f>(IF(B8&gt;$B$15,1,0)+IF(C8&gt;$C$15,1,0)+IF(D8&gt;$D$15,1,0))</f>
        <v/>
      </c>
      <c r="P8" s="6">
        <f>IF((IF(B8&gt;$B$15,1,0)+IF(C8&gt;$C$15,1,0)+IF(D8&gt;$D$15,1,0))&gt;=2,"⚡ 2次及以上","")</f>
        <v/>
      </c>
    </row>
    <row r="9" ht="24" customHeight="1">
      <c r="A9" s="8" t="inlineStr">
        <is>
          <t>伽玛职场</t>
        </is>
      </c>
      <c r="B9" s="10" t="n">
        <v>6</v>
      </c>
      <c r="C9" s="10" t="n">
        <v>7</v>
      </c>
      <c r="D9" s="10" t="n">
        <v>8</v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6">
        <f>IF(AND(B9&gt;$B$15,C9&gt;$C$15,D9&gt;$D$15),"⚠ 连续3月后30%","")</f>
        <v/>
      </c>
      <c r="O9" s="7">
        <f>(IF(B9&gt;$B$15,1,0)+IF(C9&gt;$C$15,1,0)+IF(D9&gt;$D$15,1,0))</f>
        <v/>
      </c>
      <c r="P9" s="6">
        <f>IF((IF(B9&gt;$B$15,1,0)+IF(C9&gt;$C$15,1,0)+IF(D9&gt;$D$15,1,0))&gt;=2,"⚡ 2次及以上","")</f>
        <v/>
      </c>
    </row>
    <row r="10" ht="24" customHeight="1">
      <c r="A10" s="3" t="inlineStr">
        <is>
          <t>翰锐曲靖职场</t>
        </is>
      </c>
      <c r="B10" s="13" t="n">
        <v>7</v>
      </c>
      <c r="C10" s="9" t="n">
        <v>2</v>
      </c>
      <c r="D10" s="13" t="n">
        <v>9</v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6">
        <f>IF(AND(B10&gt;$B$15,C10&gt;$C$15,D10&gt;$D$15),"⚠ 连续3月后30%","")</f>
        <v/>
      </c>
      <c r="O10" s="7">
        <f>(IF(B10&gt;$B$15,1,0)+IF(C10&gt;$C$15,1,0)+IF(D10&gt;$D$15,1,0))</f>
        <v/>
      </c>
      <c r="P10" s="6">
        <f>IF((IF(B10&gt;$B$15,1,0)+IF(C10&gt;$C$15,1,0)+IF(D10&gt;$D$15,1,0))&gt;=2,"⚡ 2次及以上","")</f>
        <v/>
      </c>
    </row>
    <row r="11" ht="24" customHeight="1">
      <c r="A11" s="8" t="inlineStr">
        <is>
          <t>广达陕西职场</t>
        </is>
      </c>
      <c r="B11" s="10" t="n">
        <v>8</v>
      </c>
      <c r="C11" s="10" t="n">
        <v>6</v>
      </c>
      <c r="D11" s="10" t="n">
        <v>4</v>
      </c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6">
        <f>IF(AND(B11&gt;$B$15,C11&gt;$C$15,D11&gt;$D$15),"⚠ 连续3月后30%","")</f>
        <v/>
      </c>
      <c r="O11" s="7">
        <f>(IF(B11&gt;$B$15,1,0)+IF(C11&gt;$C$15,1,0)+IF(D11&gt;$D$15,1,0))</f>
        <v/>
      </c>
      <c r="P11" s="6">
        <f>IF((IF(B11&gt;$B$15,1,0)+IF(C11&gt;$C$15,1,0)+IF(D11&gt;$D$15,1,0))&gt;=2,"⚡ 2次及以上","")</f>
        <v/>
      </c>
    </row>
    <row r="12" ht="24" customHeight="1">
      <c r="A12" s="3" t="inlineStr">
        <is>
          <t>人和职场</t>
        </is>
      </c>
      <c r="B12" s="13" t="n">
        <v>9</v>
      </c>
      <c r="C12" s="13" t="n">
        <v>8</v>
      </c>
      <c r="D12" s="12" t="n">
        <v>3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6">
        <f>IF(AND(B12&gt;$B$15,C12&gt;$C$15,D12&gt;$D$15),"⚠ 连续3月后30%","")</f>
        <v/>
      </c>
      <c r="O12" s="7">
        <f>(IF(B12&gt;$B$15,1,0)+IF(C12&gt;$C$15,1,0)+IF(D12&gt;$D$15,1,0))</f>
        <v/>
      </c>
      <c r="P12" s="6">
        <f>IF((IF(B12&gt;$B$15,1,0)+IF(C12&gt;$C$15,1,0)+IF(D12&gt;$D$15,1,0))&gt;=2,"⚡ 2次及以上","")</f>
        <v/>
      </c>
    </row>
    <row r="13" ht="24" customHeight="1">
      <c r="A13" s="8" t="inlineStr">
        <is>
          <t>岐力职场</t>
        </is>
      </c>
      <c r="B13" s="11" t="n"/>
      <c r="C13" s="11" t="n"/>
      <c r="D13" s="10" t="n">
        <v>10</v>
      </c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6">
        <f>IF(AND(B13&gt;$B$15,C13&gt;$C$15,D13&gt;$D$15),"⚠ 连续3月后30%","")</f>
        <v/>
      </c>
      <c r="O13" s="7">
        <f>(IF(B13&gt;$B$15,1,0)+IF(C13&gt;$C$15,1,0)+IF(D13&gt;$D$15,1,0))</f>
        <v/>
      </c>
      <c r="P13" s="6">
        <f>IF((IF(B13&gt;$B$15,1,0)+IF(C13&gt;$C$15,1,0)+IF(D13&gt;$D$15,1,0))&gt;=2,"⚡ 2次及以上","")</f>
        <v/>
      </c>
    </row>
    <row r="14" ht="24" customHeight="1">
      <c r="A14" s="3" t="inlineStr">
        <is>
          <t>华啸职场</t>
        </is>
      </c>
      <c r="B14" s="5" t="n"/>
      <c r="C14" s="5" t="n"/>
      <c r="D14" s="13" t="n">
        <v>11</v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6">
        <f>IF(AND(B14&gt;$B$15,C14&gt;$C$15,D14&gt;$D$15),"⚠ 连续3月后30%","")</f>
        <v/>
      </c>
      <c r="O14" s="7">
        <f>(IF(B14&gt;$B$15,1,0)+IF(C14&gt;$C$15,1,0)+IF(D14&gt;$D$15,1,0))</f>
        <v/>
      </c>
      <c r="P14" s="6">
        <f>IF((IF(B14&gt;$B$15,1,0)+IF(C14&gt;$C$15,1,0)+IF(D14&gt;$D$15,1,0))&gt;=2,"⚡ 2次及以上","")</f>
        <v/>
      </c>
    </row>
    <row r="15">
      <c r="A15" s="14" t="inlineStr">
        <is>
          <t>后30%阈值(排名&gt;此值)</t>
        </is>
      </c>
      <c r="B15" s="15">
        <f>COUNT(B4:B14)-CEILING(COUNT(B4:B14)*0.3,1)</f>
        <v/>
      </c>
      <c r="C15" s="15">
        <f>COUNT(C4:C14)-CEILING(COUNT(C4:C14)*0.3,1)</f>
        <v/>
      </c>
      <c r="D15" s="15">
        <f>COUNT(D4:D14)-CEILING(COUNT(D4:D14)*0.3,1)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2026-04-13T10:17:01Z</dcterms:created>
  <dcterms:modified xmlns:dcterms="http://purl.org/dc/terms/" xmlns:xsi="http://www.w3.org/2001/XMLSchema-instance" xsi:type="dcterms:W3CDTF">2026-04-13T10:17:01Z</dcterms:modified>
</cp:coreProperties>
</file>