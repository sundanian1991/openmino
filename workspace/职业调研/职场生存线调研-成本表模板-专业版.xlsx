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sundanian/Documents/projects/ai-agents/my-agent/workspace/"/>
    </mc:Choice>
  </mc:AlternateContent>
  <xr:revisionPtr revIDLastSave="0" documentId="13_ncr:1_{BF87CD93-1AD9-A747-A90D-E8BA3840310A}" xr6:coauthVersionLast="47" xr6:coauthVersionMax="47" xr10:uidLastSave="{00000000-0000-0000-0000-000000000000}"/>
  <bookViews>
    <workbookView xWindow="0" yWindow="760" windowWidth="30240" windowHeight="17180" xr2:uid="{00000000-000D-0000-FFFF-FFFF00000000}"/>
  </bookViews>
  <sheets>
    <sheet name="成本结构分析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4" i="1" l="1"/>
  <c r="D65" i="1"/>
  <c r="D51" i="1"/>
  <c r="D42" i="1"/>
  <c r="C42" i="1"/>
  <c r="B79" i="1"/>
  <c r="B81" i="1" s="1"/>
  <c r="B82" i="1" s="1"/>
  <c r="B73" i="1"/>
  <c r="C73" i="1" s="1"/>
  <c r="B71" i="1"/>
  <c r="C71" i="1" s="1"/>
  <c r="B70" i="1"/>
  <c r="C70" i="1" s="1"/>
  <c r="B69" i="1"/>
  <c r="D69" i="1" s="1"/>
  <c r="B62" i="1"/>
  <c r="D62" i="1" s="1"/>
  <c r="B61" i="1"/>
  <c r="D61" i="1" s="1"/>
  <c r="B58" i="1"/>
  <c r="D58" i="1" s="1"/>
  <c r="B54" i="1"/>
  <c r="B63" i="1" s="1"/>
  <c r="C51" i="1"/>
  <c r="B47" i="1"/>
  <c r="C43" i="1" s="1"/>
  <c r="E45" i="1"/>
  <c r="D45" i="1"/>
  <c r="C45" i="1"/>
  <c r="E44" i="1"/>
  <c r="D44" i="1"/>
  <c r="C44" i="1"/>
  <c r="E43" i="1"/>
  <c r="D43" i="1"/>
  <c r="E42" i="1"/>
  <c r="B37" i="1"/>
  <c r="C33" i="1" s="1"/>
  <c r="E35" i="1"/>
  <c r="D35" i="1"/>
  <c r="C35" i="1"/>
  <c r="E34" i="1"/>
  <c r="D34" i="1"/>
  <c r="E33" i="1"/>
  <c r="D33" i="1"/>
  <c r="B28" i="1"/>
  <c r="B60" i="1" s="1"/>
  <c r="C27" i="1"/>
  <c r="C26" i="1"/>
  <c r="C24" i="1"/>
  <c r="C23" i="1"/>
  <c r="B19" i="1"/>
  <c r="B64" i="1" s="1"/>
  <c r="B65" i="1" s="1"/>
  <c r="B75" i="1" s="1"/>
  <c r="C75" i="1" s="1"/>
  <c r="E18" i="1"/>
  <c r="E17" i="1"/>
  <c r="D17" i="1"/>
  <c r="E16" i="1"/>
  <c r="D16" i="1"/>
  <c r="C12" i="1"/>
  <c r="E25" i="1" s="1"/>
  <c r="B12" i="1"/>
  <c r="B74" i="1" l="1"/>
  <c r="C74" i="1" s="1"/>
  <c r="C34" i="1"/>
  <c r="D63" i="1"/>
  <c r="C63" i="1"/>
  <c r="D60" i="1"/>
  <c r="C60" i="1"/>
  <c r="D26" i="1"/>
  <c r="C61" i="1"/>
  <c r="E26" i="1"/>
  <c r="C69" i="1"/>
  <c r="C62" i="1"/>
  <c r="C17" i="1"/>
  <c r="C25" i="1"/>
  <c r="D23" i="1"/>
  <c r="D27" i="1"/>
  <c r="B59" i="1"/>
  <c r="E27" i="1"/>
  <c r="C18" i="1"/>
  <c r="D25" i="1"/>
  <c r="B72" i="1"/>
  <c r="C16" i="1"/>
  <c r="E23" i="1"/>
  <c r="D24" i="1"/>
  <c r="E24" i="1"/>
  <c r="C72" i="1" l="1"/>
  <c r="D72" i="1"/>
  <c r="D59" i="1"/>
  <c r="C59" i="1"/>
</calcChain>
</file>

<file path=xl/sharedStrings.xml><?xml version="1.0" encoding="utf-8"?>
<sst xmlns="http://schemas.openxmlformats.org/spreadsheetml/2006/main" count="138" uniqueCount="107">
  <si>
    <t>供应商成本结构调研表</t>
  </si>
  <si>
    <t>Supplier Cost Structure Analysis Form</t>
  </si>
  <si>
    <t>供应商名称</t>
  </si>
  <si>
    <t>数据月份</t>
  </si>
  <si>
    <t>业务线</t>
  </si>
  <si>
    <t>职场名称</t>
  </si>
  <si>
    <t>填写日期</t>
  </si>
  <si>
    <t>（请填写）</t>
  </si>
  <si>
    <t>（近3个月平均）</t>
  </si>
  <si>
    <t>金条-首贷</t>
  </si>
  <si>
    <t>YYYY-MM-DD</t>
  </si>
  <si>
    <t>京东当月结算金额（元）</t>
  </si>
  <si>
    <t>填写实际结算金额</t>
  </si>
  <si>
    <t>一、人力规模</t>
  </si>
  <si>
    <t>坐席人数（人）</t>
  </si>
  <si>
    <t>全职+兼职</t>
  </si>
  <si>
    <t>管理人员（人）</t>
  </si>
  <si>
    <t>项目经理/组长</t>
  </si>
  <si>
    <t>职场总人数</t>
  </si>
  <si>
    <t>坐席+管理</t>
  </si>
  <si>
    <t>二、人力成本（该业务线）</t>
  </si>
  <si>
    <t>项目</t>
  </si>
  <si>
    <t>金额</t>
  </si>
  <si>
    <t>占人力%</t>
  </si>
  <si>
    <t>人均</t>
  </si>
  <si>
    <t>占结算%</t>
  </si>
  <si>
    <t>说明</t>
  </si>
  <si>
    <t>坐席税前薪资总额</t>
  </si>
  <si>
    <t>人均×人数</t>
  </si>
  <si>
    <t>社保公积金-公司承担</t>
  </si>
  <si>
    <t>五险一金</t>
  </si>
  <si>
    <t>管理人员薪资分摊</t>
  </si>
  <si>
    <t>-</t>
  </si>
  <si>
    <t>按业务线</t>
  </si>
  <si>
    <t>人力成本小计</t>
  </si>
  <si>
    <t>三、职场运营成本（全职场分摊）</t>
  </si>
  <si>
    <t>占运营%</t>
  </si>
  <si>
    <t>职场人均</t>
  </si>
  <si>
    <t>业务线分摊</t>
  </si>
  <si>
    <t>房租</t>
  </si>
  <si>
    <t>水电物业</t>
  </si>
  <si>
    <t>网费通讯</t>
  </si>
  <si>
    <t>硬件摊销</t>
  </si>
  <si>
    <t>其他运营</t>
  </si>
  <si>
    <t>职场运营成本小计</t>
  </si>
  <si>
    <t>四、激励成本（该业务线）</t>
  </si>
  <si>
    <t>占激励%</t>
  </si>
  <si>
    <t>节日发放</t>
  </si>
  <si>
    <t>奖金提成</t>
  </si>
  <si>
    <t>团建活动</t>
  </si>
  <si>
    <t>激励成本小计</t>
  </si>
  <si>
    <t>五、业务直接成本（该业务线）</t>
  </si>
  <si>
    <t>占业务%</t>
  </si>
  <si>
    <t>线路费</t>
  </si>
  <si>
    <t>系统使用费</t>
  </si>
  <si>
    <t>基建费用</t>
  </si>
  <si>
    <t>质检扣罚</t>
  </si>
  <si>
    <t>业务直接成本小计</t>
  </si>
  <si>
    <t>六、其他隐性成本</t>
  </si>
  <si>
    <t>招聘培训成本</t>
  </si>
  <si>
    <t>按年分摊</t>
  </si>
  <si>
    <t>税费</t>
  </si>
  <si>
    <t>增值税及附加</t>
  </si>
  <si>
    <t>账期资金成本</t>
  </si>
  <si>
    <t>如有垫资</t>
  </si>
  <si>
    <t>其他成本小计</t>
  </si>
  <si>
    <t>七、成本结构汇总分析</t>
  </si>
  <si>
    <t>占总成本%</t>
  </si>
  <si>
    <t>京东结算金额</t>
  </si>
  <si>
    <t>100%</t>
  </si>
  <si>
    <t>人力成本</t>
  </si>
  <si>
    <t>职场运营成本</t>
  </si>
  <si>
    <t>激励成本</t>
  </si>
  <si>
    <t>业务直接成本</t>
  </si>
  <si>
    <t>其他成本</t>
  </si>
  <si>
    <t>总成本</t>
  </si>
  <si>
    <t>供应商利润</t>
  </si>
  <si>
    <t>八、利益分配分析</t>
  </si>
  <si>
    <t>分配对象</t>
  </si>
  <si>
    <t>分配给坐席</t>
  </si>
  <si>
    <t>税前+社保</t>
  </si>
  <si>
    <t xml:space="preserve">  ├─ 税前薪资</t>
  </si>
  <si>
    <t>坐席直接收入</t>
  </si>
  <si>
    <t xml:space="preserve">  ├─ 社保公积金</t>
  </si>
  <si>
    <t>公司承担</t>
  </si>
  <si>
    <t>分配给公司</t>
  </si>
  <si>
    <t>管理+激励+利润</t>
  </si>
  <si>
    <t xml:space="preserve">  ├─ 管理分摊</t>
  </si>
  <si>
    <t xml:space="preserve">  ├─ 激励成本</t>
  </si>
  <si>
    <t xml:space="preserve">  └─ 供应商利润</t>
  </si>
  <si>
    <t>九、生存线对比分析</t>
  </si>
  <si>
    <t>指标</t>
  </si>
  <si>
    <t>数值</t>
  </si>
  <si>
    <t>理论可获得收入</t>
  </si>
  <si>
    <t>实际坐席税后到手</t>
  </si>
  <si>
    <t>供应商填写</t>
  </si>
  <si>
    <t>差异（合理-实际）</t>
  </si>
  <si>
    <t>差额</t>
  </si>
  <si>
    <t>差异率</t>
  </si>
  <si>
    <t>补充说明</t>
  </si>
  <si>
    <t>如有其他需要说明的内容，请填写：</t>
  </si>
  <si>
    <t>填表说明：</t>
  </si>
  <si>
    <t>1. 请填写最近一个完整月份的真实数据</t>
  </si>
  <si>
    <t>2. 灰色单元格为公式自动计算，请勿修改</t>
  </si>
  <si>
    <t>3. 占比列自动计算各项成本的比例关系</t>
  </si>
  <si>
    <t>4. 数据仅供内部分析使用，严格保密</t>
  </si>
  <si>
    <t>坐席合理收入（税前+社保）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</si>
</sst>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%"/>
    <numFmt numFmtId="177" formatCode="0.0"/>
  </numFmts>
  <fonts count="14">
    <font>
      <sz val="11"/>
      <color theme="1"/>
      <name val="宋体"/>
      <family val="2"/>
      <scheme val="minor"/>
    </font>
    <font>
      <b/>
      <sz val="20"/>
      <color rgb="FF1F4E78"/>
      <name val="宋体"/>
      <family val="3"/>
      <charset val="134"/>
    </font>
    <font>
      <i/>
      <sz val="11"/>
      <color rgb="FF7F7F7F"/>
      <name val="宋体"/>
      <family val="3"/>
      <charset val="134"/>
    </font>
    <font>
      <b/>
      <sz val="10"/>
      <color rgb="FF1F4E78"/>
      <name val="宋体"/>
      <family val="3"/>
      <charset val="134"/>
    </font>
    <font>
      <b/>
      <sz val="11"/>
      <name val="宋体"/>
      <family val="3"/>
      <charset val="134"/>
    </font>
    <font>
      <b/>
      <sz val="12"/>
      <color rgb="FFC55A11"/>
      <name val="宋体"/>
      <family val="3"/>
      <charset val="134"/>
    </font>
    <font>
      <b/>
      <sz val="13"/>
      <color rgb="FFC55A11"/>
      <name val="宋体"/>
      <family val="3"/>
      <charset val="134"/>
    </font>
    <font>
      <b/>
      <sz val="10"/>
      <name val="宋体"/>
      <family val="3"/>
      <charset val="134"/>
    </font>
    <font>
      <b/>
      <sz val="11"/>
      <name val="宋体"/>
      <family val="3"/>
      <charset val="134"/>
    </font>
    <font>
      <b/>
      <sz val="14"/>
      <color rgb="FF1F4E78"/>
      <name val="宋体"/>
      <family val="3"/>
      <charset val="134"/>
    </font>
    <font>
      <b/>
      <sz val="12"/>
      <color rgb="FF1F4E78"/>
      <name val="宋体"/>
      <family val="3"/>
      <charset val="134"/>
    </font>
    <font>
      <sz val="9"/>
      <name val="宋体"/>
      <family val="3"/>
      <charset val="134"/>
    </font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2">
    <xf numFmtId="0" fontId="0" fillId="0" borderId="0"/>
    <xf numFmtId="9" fontId="12" fillId="0" borderId="0" applyFont="0" applyFill="0" applyBorder="0" applyAlignment="0" applyProtection="0">
      <alignment vertical="center"/>
    </xf>
  </cellStyleXfs>
  <cellXfs count="28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/>
    <xf numFmtId="0" fontId="4" fillId="0" borderId="1" xfId="0" applyFont="1" applyBorder="1"/>
    <xf numFmtId="3" fontId="5" fillId="0" borderId="1" xfId="0" applyNumberFormat="1" applyFont="1" applyBorder="1" applyAlignment="1">
      <alignment horizontal="right"/>
    </xf>
    <xf numFmtId="0" fontId="7" fillId="2" borderId="1" xfId="0" applyFont="1" applyFill="1" applyBorder="1"/>
    <xf numFmtId="0" fontId="8" fillId="3" borderId="1" xfId="0" applyFont="1" applyFill="1" applyBorder="1"/>
    <xf numFmtId="3" fontId="0" fillId="0" borderId="1" xfId="0" applyNumberFormat="1" applyBorder="1" applyAlignment="1">
      <alignment horizontal="right"/>
    </xf>
    <xf numFmtId="0" fontId="4" fillId="3" borderId="1" xfId="0" applyFont="1" applyFill="1" applyBorder="1"/>
    <xf numFmtId="176" fontId="4" fillId="3" borderId="1" xfId="0" applyNumberFormat="1" applyFont="1" applyFill="1" applyBorder="1"/>
    <xf numFmtId="176" fontId="0" fillId="0" borderId="1" xfId="0" applyNumberFormat="1" applyBorder="1"/>
    <xf numFmtId="0" fontId="7" fillId="4" borderId="1" xfId="0" applyFont="1" applyFill="1" applyBorder="1"/>
    <xf numFmtId="0" fontId="0" fillId="5" borderId="1" xfId="0" applyFill="1" applyBorder="1"/>
    <xf numFmtId="0" fontId="8" fillId="0" borderId="0" xfId="0" applyFont="1"/>
    <xf numFmtId="0" fontId="11" fillId="0" borderId="0" xfId="0" applyFont="1"/>
    <xf numFmtId="177" fontId="0" fillId="0" borderId="1" xfId="0" applyNumberFormat="1" applyBorder="1"/>
    <xf numFmtId="9" fontId="0" fillId="0" borderId="1" xfId="1" applyFont="1" applyBorder="1" applyAlignment="1"/>
    <xf numFmtId="176" fontId="0" fillId="0" borderId="1" xfId="1" applyNumberFormat="1" applyFont="1" applyBorder="1" applyAlignment="1"/>
    <xf numFmtId="176" fontId="0" fillId="0" borderId="1" xfId="0" applyNumberFormat="1" applyBorder="1" applyAlignment="1">
      <alignment horizontal="left"/>
    </xf>
    <xf numFmtId="176" fontId="4" fillId="3" borderId="1" xfId="1" applyNumberFormat="1" applyFont="1" applyFill="1" applyBorder="1" applyAlignment="1"/>
    <xf numFmtId="9" fontId="4" fillId="3" borderId="1" xfId="0" applyNumberFormat="1" applyFont="1" applyFill="1" applyBorder="1"/>
    <xf numFmtId="0" fontId="0" fillId="0" borderId="1" xfId="0" applyBorder="1"/>
    <xf numFmtId="0" fontId="0" fillId="0" borderId="0" xfId="0"/>
    <xf numFmtId="0" fontId="1" fillId="0" borderId="0" xfId="0" applyFont="1" applyAlignment="1">
      <alignment horizontal="center" vertical="center"/>
    </xf>
    <xf numFmtId="0" fontId="9" fillId="0" borderId="0" xfId="0" applyFont="1"/>
    <xf numFmtId="0" fontId="6" fillId="0" borderId="0" xfId="0" applyFont="1"/>
    <xf numFmtId="0" fontId="2" fillId="0" borderId="0" xfId="0" applyFont="1" applyAlignment="1">
      <alignment horizontal="center"/>
    </xf>
    <xf numFmtId="0" fontId="10" fillId="0" borderId="0" xfId="0" applyFont="1"/>
  </cellXfs>
  <cellStyles count="2">
    <cellStyle name="百分比" xfId="1" builtinId="5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3"/>
  <sheetViews>
    <sheetView tabSelected="1" topLeftCell="A71" workbookViewId="0">
      <selection activeCell="A79" sqref="A79"/>
    </sheetView>
  </sheetViews>
  <sheetFormatPr baseColWidth="10" defaultColWidth="8.83203125" defaultRowHeight="14"/>
  <cols>
    <col min="1" max="1" width="28" customWidth="1"/>
    <col min="2" max="2" width="14" customWidth="1"/>
    <col min="3" max="3" width="17.1640625" bestFit="1" customWidth="1"/>
    <col min="4" max="4" width="14.1640625" bestFit="1" customWidth="1"/>
    <col min="5" max="5" width="18" customWidth="1"/>
    <col min="6" max="6" width="15" customWidth="1"/>
  </cols>
  <sheetData>
    <row r="1" spans="1:6" ht="40" customHeight="1">
      <c r="A1" s="23" t="s">
        <v>0</v>
      </c>
      <c r="B1" s="22"/>
      <c r="C1" s="22"/>
      <c r="D1" s="22"/>
      <c r="E1" s="22"/>
      <c r="F1" s="22"/>
    </row>
    <row r="2" spans="1:6" ht="18" customHeight="1">
      <c r="A2" s="26" t="s">
        <v>1</v>
      </c>
      <c r="B2" s="22"/>
      <c r="C2" s="22"/>
      <c r="D2" s="22"/>
      <c r="E2" s="22"/>
      <c r="F2" s="22"/>
    </row>
    <row r="4" spans="1:6" ht="22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6" ht="22" customHeight="1">
      <c r="A5" s="2" t="s">
        <v>7</v>
      </c>
      <c r="B5" s="2" t="s">
        <v>8</v>
      </c>
      <c r="C5" s="2" t="s">
        <v>9</v>
      </c>
      <c r="D5" s="2" t="s">
        <v>7</v>
      </c>
      <c r="E5" s="2" t="s">
        <v>10</v>
      </c>
    </row>
    <row r="7" spans="1:6" ht="18" customHeight="1">
      <c r="A7" s="3" t="s">
        <v>11</v>
      </c>
      <c r="B7" s="4">
        <v>800000</v>
      </c>
      <c r="C7" s="3" t="s">
        <v>12</v>
      </c>
    </row>
    <row r="9" spans="1:6" ht="26" customHeight="1">
      <c r="A9" s="25" t="s">
        <v>13</v>
      </c>
      <c r="B9" s="22"/>
      <c r="C9" s="22"/>
    </row>
    <row r="10" spans="1:6" ht="18" customHeight="1">
      <c r="A10" s="5" t="s">
        <v>14</v>
      </c>
      <c r="B10" s="5">
        <v>50</v>
      </c>
      <c r="C10" s="5">
        <v>100</v>
      </c>
      <c r="D10" s="5" t="s">
        <v>15</v>
      </c>
    </row>
    <row r="11" spans="1:6" ht="18" customHeight="1">
      <c r="A11" s="2" t="s">
        <v>16</v>
      </c>
      <c r="B11" s="2">
        <v>5</v>
      </c>
      <c r="C11" s="2">
        <v>10</v>
      </c>
      <c r="D11" s="2" t="s">
        <v>17</v>
      </c>
    </row>
    <row r="12" spans="1:6" ht="18" customHeight="1">
      <c r="A12" s="6" t="s">
        <v>18</v>
      </c>
      <c r="B12" s="6">
        <f>B10+B11</f>
        <v>55</v>
      </c>
      <c r="C12" s="6">
        <f>C10+C11</f>
        <v>110</v>
      </c>
      <c r="D12" s="6" t="s">
        <v>19</v>
      </c>
    </row>
    <row r="14" spans="1:6" ht="26" customHeight="1">
      <c r="A14" s="25" t="s">
        <v>20</v>
      </c>
      <c r="B14" s="22"/>
      <c r="C14" s="22"/>
      <c r="D14" s="22"/>
      <c r="E14" s="22"/>
      <c r="F14" s="22"/>
    </row>
    <row r="15" spans="1:6" ht="18" customHeight="1">
      <c r="A15" s="5" t="s">
        <v>21</v>
      </c>
      <c r="B15" s="5" t="s">
        <v>22</v>
      </c>
      <c r="C15" s="5" t="s">
        <v>23</v>
      </c>
      <c r="D15" s="5" t="s">
        <v>24</v>
      </c>
      <c r="E15" s="5" t="s">
        <v>25</v>
      </c>
      <c r="F15" s="5" t="s">
        <v>26</v>
      </c>
    </row>
    <row r="16" spans="1:6" ht="18" customHeight="1">
      <c r="A16" s="2" t="s">
        <v>27</v>
      </c>
      <c r="B16" s="7">
        <v>450000</v>
      </c>
      <c r="C16" s="17">
        <f>B16/B19</f>
        <v>0.81081081081081086</v>
      </c>
      <c r="D16" s="2">
        <f>B16/B10</f>
        <v>9000</v>
      </c>
      <c r="E16" s="17">
        <f>B16/B7</f>
        <v>0.5625</v>
      </c>
      <c r="F16" s="2" t="s">
        <v>28</v>
      </c>
    </row>
    <row r="17" spans="1:6" ht="18" customHeight="1">
      <c r="A17" s="2" t="s">
        <v>29</v>
      </c>
      <c r="B17" s="7">
        <v>75000</v>
      </c>
      <c r="C17" s="17">
        <f>B17/B19</f>
        <v>0.13513513513513514</v>
      </c>
      <c r="D17" s="2">
        <f>B17/B10</f>
        <v>1500</v>
      </c>
      <c r="E17" s="17">
        <f>B17/B7</f>
        <v>9.375E-2</v>
      </c>
      <c r="F17" s="2" t="s">
        <v>30</v>
      </c>
    </row>
    <row r="18" spans="1:6" ht="18" customHeight="1">
      <c r="A18" s="2" t="s">
        <v>31</v>
      </c>
      <c r="B18" s="7">
        <v>30000</v>
      </c>
      <c r="C18" s="17">
        <f>B18/B19</f>
        <v>5.4054054054054057E-2</v>
      </c>
      <c r="D18" s="2" t="s">
        <v>32</v>
      </c>
      <c r="E18" s="17">
        <f>B18/B7</f>
        <v>3.7499999999999999E-2</v>
      </c>
      <c r="F18" s="2" t="s">
        <v>33</v>
      </c>
    </row>
    <row r="19" spans="1:6" ht="22" customHeight="1">
      <c r="A19" s="8" t="s">
        <v>34</v>
      </c>
      <c r="B19" s="8">
        <f>SUM(B16:B18)</f>
        <v>555000</v>
      </c>
      <c r="C19" s="9"/>
      <c r="D19" s="8"/>
      <c r="E19" s="9"/>
      <c r="F19" s="8"/>
    </row>
    <row r="21" spans="1:6" ht="26" customHeight="1">
      <c r="A21" s="25" t="s">
        <v>35</v>
      </c>
      <c r="B21" s="22"/>
      <c r="C21" s="22"/>
      <c r="D21" s="22"/>
      <c r="E21" s="22"/>
      <c r="F21" s="22"/>
    </row>
    <row r="22" spans="1:6" ht="18" customHeight="1">
      <c r="A22" s="5" t="s">
        <v>21</v>
      </c>
      <c r="B22" s="5" t="s">
        <v>22</v>
      </c>
      <c r="C22" s="5" t="s">
        <v>36</v>
      </c>
      <c r="D22" s="5" t="s">
        <v>37</v>
      </c>
      <c r="E22" s="5" t="s">
        <v>38</v>
      </c>
      <c r="F22" s="5" t="s">
        <v>26</v>
      </c>
    </row>
    <row r="23" spans="1:6" ht="18" customHeight="1">
      <c r="A23" s="2" t="s">
        <v>39</v>
      </c>
      <c r="B23" s="7">
        <v>30000</v>
      </c>
      <c r="C23" s="10">
        <f>B23/B28</f>
        <v>0.6</v>
      </c>
      <c r="D23" s="15">
        <f>B23/C12</f>
        <v>272.72727272727275</v>
      </c>
      <c r="E23" s="15">
        <f>B23*B10/C12</f>
        <v>13636.363636363636</v>
      </c>
      <c r="F23" s="2"/>
    </row>
    <row r="24" spans="1:6" ht="18" customHeight="1">
      <c r="A24" s="2" t="s">
        <v>40</v>
      </c>
      <c r="B24" s="7">
        <v>8000</v>
      </c>
      <c r="C24" s="10">
        <f>B24/B28</f>
        <v>0.16</v>
      </c>
      <c r="D24" s="15">
        <f>B24/C12</f>
        <v>72.727272727272734</v>
      </c>
      <c r="E24" s="15">
        <f>B24*B10/C12</f>
        <v>3636.3636363636365</v>
      </c>
      <c r="F24" s="2"/>
    </row>
    <row r="25" spans="1:6" ht="18" customHeight="1">
      <c r="A25" s="2" t="s">
        <v>41</v>
      </c>
      <c r="B25" s="7">
        <v>3000</v>
      </c>
      <c r="C25" s="10">
        <f>B25/B28</f>
        <v>0.06</v>
      </c>
      <c r="D25" s="15">
        <f>B25/C12</f>
        <v>27.272727272727273</v>
      </c>
      <c r="E25" s="15">
        <f>B25*B10/C12</f>
        <v>1363.6363636363637</v>
      </c>
      <c r="F25" s="2"/>
    </row>
    <row r="26" spans="1:6" ht="18" customHeight="1">
      <c r="A26" s="2" t="s">
        <v>42</v>
      </c>
      <c r="B26" s="7">
        <v>5000</v>
      </c>
      <c r="C26" s="10">
        <f>B26/B28</f>
        <v>0.1</v>
      </c>
      <c r="D26" s="15">
        <f>B26/C12</f>
        <v>45.454545454545453</v>
      </c>
      <c r="E26" s="15">
        <f>B26*B10/C12</f>
        <v>2272.7272727272725</v>
      </c>
      <c r="F26" s="2"/>
    </row>
    <row r="27" spans="1:6" ht="18" customHeight="1">
      <c r="A27" s="2" t="s">
        <v>43</v>
      </c>
      <c r="B27" s="7">
        <v>4000</v>
      </c>
      <c r="C27" s="10">
        <f>B27/B28</f>
        <v>0.08</v>
      </c>
      <c r="D27" s="15">
        <f>B27/C12</f>
        <v>36.363636363636367</v>
      </c>
      <c r="E27" s="15">
        <f>B27*B10/C12</f>
        <v>1818.1818181818182</v>
      </c>
      <c r="F27" s="2"/>
    </row>
    <row r="28" spans="1:6" ht="22" customHeight="1">
      <c r="A28" s="8" t="s">
        <v>44</v>
      </c>
      <c r="B28" s="8">
        <f>SUM(B23:B27)</f>
        <v>50000</v>
      </c>
      <c r="C28" s="9"/>
      <c r="D28" s="8"/>
      <c r="E28" s="8"/>
      <c r="F28" s="8"/>
    </row>
    <row r="30" spans="1:6" ht="26" customHeight="1">
      <c r="A30" s="25" t="s">
        <v>45</v>
      </c>
      <c r="B30" s="22"/>
      <c r="C30" s="22"/>
      <c r="D30" s="22"/>
      <c r="E30" s="22"/>
      <c r="F30" s="22"/>
    </row>
    <row r="31" spans="1:6" ht="18" customHeight="1">
      <c r="A31" s="5" t="s">
        <v>21</v>
      </c>
      <c r="B31" s="5" t="s">
        <v>22</v>
      </c>
      <c r="C31" s="5" t="s">
        <v>46</v>
      </c>
      <c r="D31" s="5" t="s">
        <v>24</v>
      </c>
      <c r="E31" s="5" t="s">
        <v>25</v>
      </c>
      <c r="F31" s="5" t="s">
        <v>26</v>
      </c>
    </row>
    <row r="33" spans="1:6" ht="18" customHeight="1">
      <c r="A33" s="2" t="s">
        <v>47</v>
      </c>
      <c r="B33" s="7">
        <v>5000</v>
      </c>
      <c r="C33" s="17">
        <f>B33/B37</f>
        <v>0.18518518518518517</v>
      </c>
      <c r="D33" s="2">
        <f>B33/B10</f>
        <v>100</v>
      </c>
      <c r="E33" s="17">
        <f>B33/B7</f>
        <v>6.2500000000000003E-3</v>
      </c>
      <c r="F33" s="2"/>
    </row>
    <row r="34" spans="1:6" ht="18" customHeight="1">
      <c r="A34" s="2" t="s">
        <v>48</v>
      </c>
      <c r="B34" s="7">
        <v>20000</v>
      </c>
      <c r="C34" s="17">
        <f>B34/B37</f>
        <v>0.7407407407407407</v>
      </c>
      <c r="D34" s="2">
        <f>B34/B10</f>
        <v>400</v>
      </c>
      <c r="E34" s="17">
        <f>B34/B7</f>
        <v>2.5000000000000001E-2</v>
      </c>
      <c r="F34" s="2"/>
    </row>
    <row r="35" spans="1:6" ht="18" customHeight="1">
      <c r="A35" s="2" t="s">
        <v>49</v>
      </c>
      <c r="B35" s="7">
        <v>2000</v>
      </c>
      <c r="C35" s="17">
        <f>B35/B37</f>
        <v>7.407407407407407E-2</v>
      </c>
      <c r="D35" s="2">
        <f>B35/B10</f>
        <v>40</v>
      </c>
      <c r="E35" s="17">
        <f>B35/B7</f>
        <v>2.5000000000000001E-3</v>
      </c>
      <c r="F35" s="2"/>
    </row>
    <row r="37" spans="1:6" ht="22" customHeight="1">
      <c r="A37" s="8" t="s">
        <v>50</v>
      </c>
      <c r="B37" s="8">
        <f>SUM(B33:B36)</f>
        <v>27000</v>
      </c>
      <c r="C37" s="9"/>
      <c r="D37" s="8"/>
      <c r="E37" s="9"/>
      <c r="F37" s="8"/>
    </row>
    <row r="39" spans="1:6" ht="26" customHeight="1">
      <c r="A39" s="25" t="s">
        <v>51</v>
      </c>
      <c r="B39" s="22"/>
      <c r="C39" s="22"/>
      <c r="D39" s="22"/>
      <c r="E39" s="22"/>
      <c r="F39" s="22"/>
    </row>
    <row r="40" spans="1:6" ht="18" customHeight="1">
      <c r="A40" s="5" t="s">
        <v>21</v>
      </c>
      <c r="B40" s="5" t="s">
        <v>22</v>
      </c>
      <c r="C40" s="5" t="s">
        <v>52</v>
      </c>
      <c r="D40" s="5" t="s">
        <v>24</v>
      </c>
      <c r="E40" s="5" t="s">
        <v>25</v>
      </c>
      <c r="F40" s="5" t="s">
        <v>26</v>
      </c>
    </row>
    <row r="42" spans="1:6" ht="18" customHeight="1">
      <c r="A42" s="2" t="s">
        <v>53</v>
      </c>
      <c r="B42" s="7">
        <v>8000</v>
      </c>
      <c r="C42" s="17">
        <f>B42/B47</f>
        <v>0.44444444444444442</v>
      </c>
      <c r="D42" s="2">
        <f>B42/B10</f>
        <v>160</v>
      </c>
      <c r="E42" s="17">
        <f>B42/B7</f>
        <v>0.01</v>
      </c>
      <c r="F42" s="2"/>
    </row>
    <row r="43" spans="1:6" ht="18" customHeight="1">
      <c r="A43" s="2" t="s">
        <v>54</v>
      </c>
      <c r="B43" s="7">
        <v>5000</v>
      </c>
      <c r="C43" s="17">
        <f>B43/B47</f>
        <v>0.27777777777777779</v>
      </c>
      <c r="D43" s="2">
        <f>B43/B10</f>
        <v>100</v>
      </c>
      <c r="E43" s="17">
        <f>B43/B7</f>
        <v>6.2500000000000003E-3</v>
      </c>
      <c r="F43" s="2"/>
    </row>
    <row r="44" spans="1:6" ht="18" customHeight="1">
      <c r="A44" s="2" t="s">
        <v>55</v>
      </c>
      <c r="B44" s="7">
        <v>3000</v>
      </c>
      <c r="C44" s="17">
        <f>B44/B47</f>
        <v>0.16666666666666666</v>
      </c>
      <c r="D44" s="2">
        <f>B44/B10</f>
        <v>60</v>
      </c>
      <c r="E44" s="17">
        <f>B44/B7</f>
        <v>3.7499999999999999E-3</v>
      </c>
      <c r="F44" s="2"/>
    </row>
    <row r="45" spans="1:6" ht="18" customHeight="1">
      <c r="A45" s="2" t="s">
        <v>56</v>
      </c>
      <c r="B45" s="7">
        <v>2000</v>
      </c>
      <c r="C45" s="17">
        <f>B45/B47</f>
        <v>0.1111111111111111</v>
      </c>
      <c r="D45" s="2">
        <f>B45/B10</f>
        <v>40</v>
      </c>
      <c r="E45" s="17">
        <f>B45/B7</f>
        <v>2.5000000000000001E-3</v>
      </c>
      <c r="F45" s="2"/>
    </row>
    <row r="47" spans="1:6" ht="22" customHeight="1">
      <c r="A47" s="8" t="s">
        <v>57</v>
      </c>
      <c r="B47" s="8">
        <f>SUM(B42:B46)</f>
        <v>18000</v>
      </c>
      <c r="C47" s="9"/>
      <c r="D47" s="8"/>
      <c r="E47" s="9"/>
      <c r="F47" s="8"/>
    </row>
    <row r="49" spans="1:6" ht="26" customHeight="1">
      <c r="A49" s="25" t="s">
        <v>58</v>
      </c>
      <c r="B49" s="22"/>
      <c r="C49" s="22"/>
      <c r="D49" s="22"/>
      <c r="E49" s="22"/>
      <c r="F49" s="22"/>
    </row>
    <row r="50" spans="1:6" ht="18" customHeight="1">
      <c r="A50" s="5" t="s">
        <v>21</v>
      </c>
      <c r="B50" s="5" t="s">
        <v>22</v>
      </c>
      <c r="C50" s="5" t="s">
        <v>24</v>
      </c>
      <c r="D50" s="5" t="s">
        <v>25</v>
      </c>
      <c r="E50" s="5" t="s">
        <v>26</v>
      </c>
      <c r="F50" s="5"/>
    </row>
    <row r="51" spans="1:6" ht="18" customHeight="1">
      <c r="A51" s="2" t="s">
        <v>59</v>
      </c>
      <c r="B51" s="7">
        <v>4000</v>
      </c>
      <c r="C51" s="2">
        <f>B51/B10</f>
        <v>80</v>
      </c>
      <c r="D51" s="16">
        <f>B51/B54</f>
        <v>1</v>
      </c>
      <c r="E51" s="2" t="s">
        <v>60</v>
      </c>
      <c r="F51" s="2"/>
    </row>
    <row r="52" spans="1:6" ht="18" customHeight="1">
      <c r="A52" s="2" t="s">
        <v>61</v>
      </c>
      <c r="B52" s="2">
        <v>0</v>
      </c>
      <c r="C52" s="2" t="s">
        <v>32</v>
      </c>
      <c r="D52" s="2"/>
      <c r="E52" s="2" t="s">
        <v>62</v>
      </c>
      <c r="F52" s="2"/>
    </row>
    <row r="53" spans="1:6" ht="18" customHeight="1">
      <c r="A53" s="2" t="s">
        <v>63</v>
      </c>
      <c r="B53" s="2">
        <v>0</v>
      </c>
      <c r="C53" s="2" t="s">
        <v>32</v>
      </c>
      <c r="D53" s="2"/>
      <c r="E53" s="2" t="s">
        <v>64</v>
      </c>
      <c r="F53" s="2"/>
    </row>
    <row r="54" spans="1:6" ht="22" customHeight="1">
      <c r="A54" s="8" t="s">
        <v>65</v>
      </c>
      <c r="B54" s="8">
        <f>SUM(B51:B53)</f>
        <v>4000</v>
      </c>
      <c r="C54" s="8"/>
      <c r="D54" s="8"/>
      <c r="E54" s="8"/>
      <c r="F54" s="8"/>
    </row>
    <row r="56" spans="1:6" ht="30" customHeight="1">
      <c r="A56" s="24" t="s">
        <v>66</v>
      </c>
      <c r="B56" s="22"/>
      <c r="C56" s="22"/>
      <c r="D56" s="22"/>
      <c r="E56" s="22"/>
      <c r="F56" s="22"/>
    </row>
    <row r="57" spans="1:6" ht="18" customHeight="1">
      <c r="A57" s="11" t="s">
        <v>21</v>
      </c>
      <c r="B57" s="11" t="s">
        <v>22</v>
      </c>
      <c r="C57" s="11" t="s">
        <v>67</v>
      </c>
      <c r="D57" s="11" t="s">
        <v>25</v>
      </c>
      <c r="E57" s="11" t="s">
        <v>26</v>
      </c>
      <c r="F57" s="11"/>
    </row>
    <row r="58" spans="1:6" ht="18" customHeight="1">
      <c r="A58" s="2" t="s">
        <v>68</v>
      </c>
      <c r="B58" s="2">
        <f>B7</f>
        <v>800000</v>
      </c>
      <c r="C58" s="2" t="s">
        <v>32</v>
      </c>
      <c r="D58" s="10">
        <f>B58/B58</f>
        <v>1</v>
      </c>
      <c r="E58" s="2" t="s">
        <v>69</v>
      </c>
    </row>
    <row r="59" spans="1:6" ht="18" customHeight="1">
      <c r="A59" s="2" t="s">
        <v>70</v>
      </c>
      <c r="B59" s="2">
        <f>B19</f>
        <v>555000</v>
      </c>
      <c r="C59" s="17">
        <f>B59/(B19+B28+B37+B47+B54)</f>
        <v>0.84862385321100919</v>
      </c>
      <c r="D59" s="10">
        <f>B59/B7</f>
        <v>0.69374999999999998</v>
      </c>
      <c r="E59" s="2"/>
    </row>
    <row r="60" spans="1:6" ht="18" customHeight="1">
      <c r="A60" s="2" t="s">
        <v>71</v>
      </c>
      <c r="B60" s="2">
        <f>B28</f>
        <v>50000</v>
      </c>
      <c r="C60" s="17">
        <f>B60/(B19+B28+B37+B47+B54)</f>
        <v>7.64525993883792E-2</v>
      </c>
      <c r="D60" s="10">
        <f>B60/B7</f>
        <v>6.25E-2</v>
      </c>
      <c r="E60" s="2"/>
    </row>
    <row r="61" spans="1:6" ht="18" customHeight="1">
      <c r="A61" s="2" t="s">
        <v>72</v>
      </c>
      <c r="B61" s="2">
        <f>B37</f>
        <v>27000</v>
      </c>
      <c r="C61" s="17">
        <f>B61/(B19+B28+B37+B47+B54)</f>
        <v>4.1284403669724773E-2</v>
      </c>
      <c r="D61" s="10">
        <f>B61/B7</f>
        <v>3.3750000000000002E-2</v>
      </c>
      <c r="E61" s="2"/>
    </row>
    <row r="62" spans="1:6" ht="18" customHeight="1">
      <c r="A62" s="2" t="s">
        <v>73</v>
      </c>
      <c r="B62" s="2">
        <f>B47</f>
        <v>18000</v>
      </c>
      <c r="C62" s="17">
        <f>B62/(B19+B28+B37+B47+B54)</f>
        <v>2.7522935779816515E-2</v>
      </c>
      <c r="D62" s="10">
        <f>B62/B7</f>
        <v>2.2499999999999999E-2</v>
      </c>
      <c r="E62" s="2"/>
    </row>
    <row r="63" spans="1:6" ht="18" customHeight="1">
      <c r="A63" s="2" t="s">
        <v>74</v>
      </c>
      <c r="B63" s="2">
        <f>B54</f>
        <v>4000</v>
      </c>
      <c r="C63" s="17">
        <f>B63/(B19+B28+B37+B47+B54)</f>
        <v>6.1162079510703364E-3</v>
      </c>
      <c r="D63" s="10">
        <f>B63/B7</f>
        <v>5.0000000000000001E-3</v>
      </c>
      <c r="E63" s="2"/>
    </row>
    <row r="64" spans="1:6" ht="18" customHeight="1">
      <c r="A64" s="8" t="s">
        <v>75</v>
      </c>
      <c r="B64" s="8">
        <f>B19+B28+B37+B47+B54</f>
        <v>654000</v>
      </c>
      <c r="C64" s="20">
        <v>1</v>
      </c>
      <c r="D64" s="19">
        <f>B64/B58</f>
        <v>0.8175</v>
      </c>
      <c r="E64" s="8"/>
    </row>
    <row r="65" spans="1:6" ht="22" customHeight="1">
      <c r="A65" s="8" t="s">
        <v>76</v>
      </c>
      <c r="B65" s="8">
        <f>B7-B64</f>
        <v>146000</v>
      </c>
      <c r="C65" s="8"/>
      <c r="D65" s="19">
        <f>B65/B58</f>
        <v>0.1825</v>
      </c>
      <c r="E65" s="8"/>
    </row>
    <row r="67" spans="1:6" ht="30" customHeight="1">
      <c r="A67" s="24" t="s">
        <v>77</v>
      </c>
      <c r="B67" s="22"/>
      <c r="C67" s="22"/>
      <c r="D67" s="22"/>
      <c r="E67" s="22"/>
      <c r="F67" s="22"/>
    </row>
    <row r="68" spans="1:6" ht="18" customHeight="1">
      <c r="A68" s="11" t="s">
        <v>78</v>
      </c>
      <c r="B68" s="11" t="s">
        <v>22</v>
      </c>
      <c r="C68" s="11" t="s">
        <v>25</v>
      </c>
      <c r="D68" s="11" t="s">
        <v>24</v>
      </c>
      <c r="E68" s="11" t="s">
        <v>26</v>
      </c>
      <c r="F68" s="11"/>
    </row>
    <row r="69" spans="1:6" ht="18" customHeight="1">
      <c r="A69" s="2" t="s">
        <v>79</v>
      </c>
      <c r="B69" s="2">
        <f>B16+B17</f>
        <v>525000</v>
      </c>
      <c r="C69" s="18">
        <f>B69/B7</f>
        <v>0.65625</v>
      </c>
      <c r="D69" s="2">
        <f>B69/B10</f>
        <v>10500</v>
      </c>
      <c r="E69" s="2" t="s">
        <v>80</v>
      </c>
    </row>
    <row r="70" spans="1:6" ht="18" customHeight="1">
      <c r="A70" s="12" t="s">
        <v>81</v>
      </c>
      <c r="B70" s="2">
        <f>B16</f>
        <v>450000</v>
      </c>
      <c r="C70" s="10">
        <f>B70/B7</f>
        <v>0.5625</v>
      </c>
      <c r="D70" s="2"/>
      <c r="E70" s="2" t="s">
        <v>82</v>
      </c>
    </row>
    <row r="71" spans="1:6" ht="18" customHeight="1">
      <c r="A71" s="12" t="s">
        <v>83</v>
      </c>
      <c r="B71" s="2">
        <f>B17</f>
        <v>75000</v>
      </c>
      <c r="C71" s="10">
        <f>B71/B7</f>
        <v>9.375E-2</v>
      </c>
      <c r="D71" s="2"/>
      <c r="E71" s="2" t="s">
        <v>84</v>
      </c>
    </row>
    <row r="72" spans="1:6" ht="18" customHeight="1">
      <c r="A72" s="2" t="s">
        <v>85</v>
      </c>
      <c r="B72" s="2">
        <f>B18+B37+B65</f>
        <v>203000</v>
      </c>
      <c r="C72" s="18">
        <f>B72/B7</f>
        <v>0.25374999999999998</v>
      </c>
      <c r="D72" s="2">
        <f>B72/B10</f>
        <v>4060</v>
      </c>
      <c r="E72" s="2" t="s">
        <v>86</v>
      </c>
    </row>
    <row r="73" spans="1:6" ht="18" customHeight="1">
      <c r="A73" s="12" t="s">
        <v>87</v>
      </c>
      <c r="B73" s="2">
        <f>B18</f>
        <v>30000</v>
      </c>
      <c r="C73" s="10">
        <f>B73/B7</f>
        <v>3.7499999999999999E-2</v>
      </c>
      <c r="D73" s="2"/>
      <c r="E73" s="2"/>
    </row>
    <row r="74" spans="1:6" ht="18" customHeight="1">
      <c r="A74" s="12" t="s">
        <v>88</v>
      </c>
      <c r="B74" s="2">
        <f>B37</f>
        <v>27000</v>
      </c>
      <c r="C74" s="10">
        <f>B74/B7</f>
        <v>3.3750000000000002E-2</v>
      </c>
      <c r="D74" s="2"/>
      <c r="E74" s="2"/>
    </row>
    <row r="75" spans="1:6" ht="22" customHeight="1">
      <c r="A75" s="12" t="s">
        <v>89</v>
      </c>
      <c r="B75" s="2">
        <f>B65</f>
        <v>146000</v>
      </c>
      <c r="C75" s="10">
        <f>B75/B7</f>
        <v>0.1825</v>
      </c>
      <c r="D75" s="2"/>
      <c r="E75" s="2"/>
    </row>
    <row r="77" spans="1:6" ht="30" customHeight="1">
      <c r="A77" s="24" t="s">
        <v>90</v>
      </c>
      <c r="B77" s="22"/>
      <c r="C77" s="22"/>
      <c r="D77" s="22"/>
      <c r="E77" s="22"/>
      <c r="F77" s="22"/>
    </row>
    <row r="78" spans="1:6" ht="18" customHeight="1">
      <c r="A78" s="11" t="s">
        <v>91</v>
      </c>
      <c r="B78" s="11" t="s">
        <v>92</v>
      </c>
      <c r="C78" s="11" t="s">
        <v>26</v>
      </c>
      <c r="D78" s="11"/>
      <c r="E78" s="11"/>
      <c r="F78" s="11"/>
    </row>
    <row r="79" spans="1:6" ht="18" customHeight="1">
      <c r="A79" s="2" t="s">
        <v>106</v>
      </c>
      <c r="B79" s="2">
        <f>(B16+B17)/B10</f>
        <v>10500</v>
      </c>
      <c r="C79" s="2" t="s">
        <v>93</v>
      </c>
    </row>
    <row r="80" spans="1:6" ht="18" customHeight="1">
      <c r="A80" s="2" t="s">
        <v>94</v>
      </c>
      <c r="B80" s="7">
        <v>7500</v>
      </c>
      <c r="C80" s="2" t="s">
        <v>95</v>
      </c>
    </row>
    <row r="81" spans="1:6" ht="18" customHeight="1">
      <c r="A81" s="2" t="s">
        <v>96</v>
      </c>
      <c r="B81" s="2">
        <f>B79-B80</f>
        <v>3000</v>
      </c>
      <c r="C81" s="2" t="s">
        <v>97</v>
      </c>
    </row>
    <row r="82" spans="1:6" ht="18" customHeight="1">
      <c r="A82" s="2" t="s">
        <v>98</v>
      </c>
      <c r="B82" s="10">
        <f>B81/B79</f>
        <v>0.2857142857142857</v>
      </c>
      <c r="C82" s="2"/>
    </row>
    <row r="84" spans="1:6" ht="18" customHeight="1">
      <c r="A84" s="27" t="s">
        <v>99</v>
      </c>
      <c r="B84" s="22"/>
      <c r="C84" s="22"/>
      <c r="D84" s="22"/>
      <c r="E84" s="22"/>
      <c r="F84" s="22"/>
    </row>
    <row r="85" spans="1:6" ht="18" customHeight="1">
      <c r="A85" s="21" t="s">
        <v>100</v>
      </c>
      <c r="B85" s="21"/>
      <c r="C85" s="21"/>
      <c r="D85" s="21"/>
      <c r="E85" s="21"/>
      <c r="F85" s="21"/>
    </row>
    <row r="86" spans="1:6">
      <c r="A86" s="22"/>
      <c r="B86" s="22"/>
      <c r="C86" s="22"/>
      <c r="D86" s="22"/>
      <c r="E86" s="22"/>
      <c r="F86" s="22"/>
    </row>
    <row r="87" spans="1:6">
      <c r="A87" s="22"/>
      <c r="B87" s="22"/>
      <c r="C87" s="22"/>
      <c r="D87" s="22"/>
      <c r="E87" s="22"/>
      <c r="F87" s="22"/>
    </row>
    <row r="89" spans="1:6" ht="18" customHeight="1">
      <c r="A89" s="13" t="s">
        <v>101</v>
      </c>
    </row>
    <row r="90" spans="1:6" ht="18" customHeight="1">
      <c r="A90" s="14" t="s">
        <v>102</v>
      </c>
    </row>
    <row r="91" spans="1:6" ht="18" customHeight="1">
      <c r="A91" s="14" t="s">
        <v>103</v>
      </c>
    </row>
    <row r="92" spans="1:6" ht="18" customHeight="1">
      <c r="A92" s="14" t="s">
        <v>104</v>
      </c>
    </row>
    <row r="93" spans="1:6" ht="18" customHeight="1">
      <c r="A93" s="14" t="s">
        <v>105</v>
      </c>
    </row>
  </sheetData>
  <mergeCells count="13">
    <mergeCell ref="A85:F87"/>
    <mergeCell ref="A1:F1"/>
    <mergeCell ref="A67:F67"/>
    <mergeCell ref="A9:C9"/>
    <mergeCell ref="A77:F77"/>
    <mergeCell ref="A56:F56"/>
    <mergeCell ref="A21:F21"/>
    <mergeCell ref="A39:F39"/>
    <mergeCell ref="A2:F2"/>
    <mergeCell ref="A49:F49"/>
    <mergeCell ref="A30:F30"/>
    <mergeCell ref="A84:F84"/>
    <mergeCell ref="A14:F14"/>
  </mergeCells>
  <phoneticPr fontId="1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成本结构分析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sundanian</cp:lastModifiedBy>
  <dcterms:created xsi:type="dcterms:W3CDTF">2026-03-12T03:04:27Z</dcterms:created>
  <dcterms:modified xsi:type="dcterms:W3CDTF">2026-03-12T03:25:39Z</dcterms:modified>
</cp:coreProperties>
</file>