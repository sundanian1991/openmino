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00-Q2-供应商管理BP-十大项目-20260504/"/>
    </mc:Choice>
  </mc:AlternateContent>
  <xr:revisionPtr revIDLastSave="0" documentId="13_ncr:1_{A9424EF9-D1C2-EE41-ADFC-128F2B018E42}" xr6:coauthVersionLast="47" xr6:coauthVersionMax="47" xr10:uidLastSave="{00000000-0000-0000-0000-000000000000}"/>
  <bookViews>
    <workbookView xWindow="0" yWindow="760" windowWidth="30240" windowHeight="17180" tabRatio="500" xr2:uid="{00000000-000D-0000-FFFF-FFFF00000000}"/>
  </bookViews>
  <sheets>
    <sheet name="月度评估" sheetId="1" r:id="rId1"/>
    <sheet name="稳定性明细" sheetId="2" r:id="rId2"/>
    <sheet name="供管自评明细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" i="3" l="1"/>
  <c r="L18" i="3" s="1"/>
  <c r="I17" i="1" s="1"/>
  <c r="K17" i="3"/>
  <c r="L17" i="3" s="1"/>
  <c r="I16" i="1" s="1"/>
  <c r="K16" i="3"/>
  <c r="L16" i="3" s="1"/>
  <c r="I15" i="1" s="1"/>
  <c r="K15" i="3"/>
  <c r="L15" i="3" s="1"/>
  <c r="I14" i="1" s="1"/>
  <c r="K14" i="3"/>
  <c r="L14" i="3" s="1"/>
  <c r="I13" i="1" s="1"/>
  <c r="K13" i="3"/>
  <c r="L13" i="3" s="1"/>
  <c r="I12" i="1" s="1"/>
  <c r="K12" i="3"/>
  <c r="L12" i="3" s="1"/>
  <c r="I11" i="1" s="1"/>
  <c r="K11" i="3"/>
  <c r="L11" i="3" s="1"/>
  <c r="I10" i="1" s="1"/>
  <c r="K10" i="3"/>
  <c r="L10" i="3" s="1"/>
  <c r="I9" i="1" s="1"/>
  <c r="K9" i="3"/>
  <c r="L9" i="3" s="1"/>
  <c r="I8" i="1" s="1"/>
  <c r="K8" i="3"/>
  <c r="L8" i="3" s="1"/>
  <c r="I7" i="1" s="1"/>
  <c r="K7" i="3"/>
  <c r="L7" i="3" s="1"/>
  <c r="I6" i="1" s="1"/>
  <c r="K6" i="3"/>
  <c r="L6" i="3" s="1"/>
  <c r="I5" i="1" s="1"/>
  <c r="K5" i="3"/>
  <c r="L5" i="3" s="1"/>
  <c r="I4" i="1" s="1"/>
  <c r="K4" i="3"/>
  <c r="L4" i="3" s="1"/>
  <c r="I3" i="1" s="1"/>
  <c r="K3" i="3"/>
  <c r="L3" i="3" s="1"/>
  <c r="I2" i="1" s="1"/>
  <c r="I17" i="2"/>
  <c r="I16" i="2"/>
  <c r="G16" i="1" s="1"/>
  <c r="H16" i="1" s="1"/>
  <c r="K16" i="1" s="1"/>
  <c r="M16" i="1" s="1"/>
  <c r="N16" i="1" s="1"/>
  <c r="I15" i="2"/>
  <c r="G15" i="1" s="1"/>
  <c r="H15" i="1" s="1"/>
  <c r="I14" i="2"/>
  <c r="I13" i="2"/>
  <c r="I12" i="2"/>
  <c r="I11" i="2"/>
  <c r="I10" i="2"/>
  <c r="I9" i="2"/>
  <c r="I8" i="2"/>
  <c r="G8" i="1" s="1"/>
  <c r="H8" i="1" s="1"/>
  <c r="I7" i="2"/>
  <c r="I6" i="2"/>
  <c r="G6" i="1" s="1"/>
  <c r="H6" i="1" s="1"/>
  <c r="K6" i="1" s="1"/>
  <c r="M6" i="1" s="1"/>
  <c r="N6" i="1" s="1"/>
  <c r="I5" i="2"/>
  <c r="G5" i="1" s="1"/>
  <c r="H5" i="1" s="1"/>
  <c r="I4" i="2"/>
  <c r="I3" i="2"/>
  <c r="I2" i="2"/>
  <c r="J17" i="1"/>
  <c r="K17" i="1" s="1"/>
  <c r="M17" i="1" s="1"/>
  <c r="N17" i="1" s="1"/>
  <c r="H17" i="1"/>
  <c r="G17" i="1"/>
  <c r="J16" i="1"/>
  <c r="J15" i="1"/>
  <c r="J14" i="1"/>
  <c r="G14" i="1"/>
  <c r="H14" i="1" s="1"/>
  <c r="K14" i="1" s="1"/>
  <c r="M14" i="1" s="1"/>
  <c r="N14" i="1" s="1"/>
  <c r="J13" i="1"/>
  <c r="K13" i="1" s="1"/>
  <c r="M13" i="1" s="1"/>
  <c r="N13" i="1" s="1"/>
  <c r="H13" i="1"/>
  <c r="G13" i="1"/>
  <c r="J12" i="1"/>
  <c r="G12" i="1"/>
  <c r="H12" i="1" s="1"/>
  <c r="J11" i="1"/>
  <c r="H11" i="1"/>
  <c r="G11" i="1"/>
  <c r="J10" i="1"/>
  <c r="G10" i="1"/>
  <c r="H10" i="1" s="1"/>
  <c r="K10" i="1" s="1"/>
  <c r="M10" i="1" s="1"/>
  <c r="N10" i="1" s="1"/>
  <c r="J9" i="1"/>
  <c r="K9" i="1" s="1"/>
  <c r="M9" i="1" s="1"/>
  <c r="N9" i="1" s="1"/>
  <c r="H9" i="1"/>
  <c r="G9" i="1"/>
  <c r="J8" i="1"/>
  <c r="J7" i="1"/>
  <c r="K7" i="1" s="1"/>
  <c r="M7" i="1" s="1"/>
  <c r="N7" i="1" s="1"/>
  <c r="H7" i="1"/>
  <c r="G7" i="1"/>
  <c r="J6" i="1"/>
  <c r="J5" i="1"/>
  <c r="J4" i="1"/>
  <c r="G4" i="1"/>
  <c r="H4" i="1" s="1"/>
  <c r="K4" i="1" s="1"/>
  <c r="M4" i="1" s="1"/>
  <c r="N4" i="1" s="1"/>
  <c r="J3" i="1"/>
  <c r="H3" i="1"/>
  <c r="G3" i="1"/>
  <c r="J2" i="1"/>
  <c r="G2" i="1"/>
  <c r="H2" i="1" s="1"/>
  <c r="K5" i="1" l="1"/>
  <c r="M5" i="1" s="1"/>
  <c r="N5" i="1" s="1"/>
  <c r="K15" i="1"/>
  <c r="M15" i="1" s="1"/>
  <c r="N15" i="1" s="1"/>
  <c r="K11" i="1"/>
  <c r="M11" i="1" s="1"/>
  <c r="N11" i="1" s="1"/>
  <c r="K8" i="1"/>
  <c r="M8" i="1" s="1"/>
  <c r="N8" i="1" s="1"/>
  <c r="K2" i="1"/>
  <c r="M2" i="1" s="1"/>
  <c r="N2" i="1" s="1"/>
  <c r="K12" i="1"/>
  <c r="M12" i="1" s="1"/>
  <c r="N12" i="1" s="1"/>
  <c r="K3" i="1"/>
  <c r="M3" i="1" s="1"/>
  <c r="N3" i="1" s="1"/>
</calcChain>
</file>

<file path=xl/sharedStrings.xml><?xml version="1.0" encoding="utf-8"?>
<sst xmlns="http://schemas.openxmlformats.org/spreadsheetml/2006/main" count="327" uniqueCount="71">
  <si>
    <t>供应商名称</t>
  </si>
  <si>
    <t>月份</t>
  </si>
  <si>
    <t>赛马基础分</t>
  </si>
  <si>
    <t>黄牌次数</t>
  </si>
  <si>
    <r>
      <rPr>
        <b/>
        <sz val="11"/>
        <color rgb="FF1F3864"/>
        <rFont val="Arial Unicode MS"/>
        <family val="2"/>
      </rPr>
      <t>投诉</t>
    </r>
    <r>
      <rPr>
        <b/>
        <sz val="11"/>
        <color rgb="FF1F3864"/>
        <rFont val="Cambria"/>
        <family val="1"/>
      </rPr>
      <t>/</t>
    </r>
    <r>
      <rPr>
        <b/>
        <sz val="11"/>
        <color rgb="FF1F3864"/>
        <rFont val="Arial Unicode MS"/>
        <family val="2"/>
      </rPr>
      <t>违规次数</t>
    </r>
  </si>
  <si>
    <t>红线违规</t>
  </si>
  <si>
    <t>稳定性档位</t>
  </si>
  <si>
    <t>稳定性系数</t>
  </si>
  <si>
    <t>自评加分</t>
  </si>
  <si>
    <t>合规扣分</t>
  </si>
  <si>
    <t>最终得分</t>
  </si>
  <si>
    <t>上月得分</t>
  </si>
  <si>
    <r>
      <rPr>
        <b/>
        <sz val="11"/>
        <color rgb="FF1F3864"/>
        <rFont val="Arial Unicode MS"/>
        <family val="2"/>
      </rPr>
      <t>环比变化</t>
    </r>
    <r>
      <rPr>
        <b/>
        <sz val="11"/>
        <color rgb="FF1F3864"/>
        <rFont val="Cambria"/>
        <family val="1"/>
      </rPr>
      <t>(%)</t>
    </r>
  </si>
  <si>
    <t>趋势</t>
  </si>
  <si>
    <t>毅航</t>
  </si>
  <si>
    <t>2026-05</t>
  </si>
  <si>
    <t>否</t>
  </si>
  <si>
    <t>毛毛虫</t>
  </si>
  <si>
    <t>伽玛</t>
  </si>
  <si>
    <t>赛维斯</t>
  </si>
  <si>
    <t>岐力</t>
  </si>
  <si>
    <t>翰锐</t>
  </si>
  <si>
    <t>天域</t>
  </si>
  <si>
    <t>信达</t>
  </si>
  <si>
    <t>华腾</t>
  </si>
  <si>
    <t>智联</t>
  </si>
  <si>
    <t>博远</t>
  </si>
  <si>
    <t>启明</t>
  </si>
  <si>
    <t>新锐</t>
  </si>
  <si>
    <t>恒信</t>
  </si>
  <si>
    <t>鑫源</t>
  </si>
  <si>
    <t>远航</t>
  </si>
  <si>
    <r>
      <rPr>
        <b/>
        <sz val="11"/>
        <color rgb="FF1F3864"/>
        <rFont val="Arial Unicode MS"/>
        <family val="2"/>
      </rPr>
      <t>人员流失率</t>
    </r>
    <r>
      <rPr>
        <b/>
        <sz val="11"/>
        <color rgb="FF1F3864"/>
        <rFont val="Cambria"/>
        <family val="1"/>
      </rPr>
      <t>(%)</t>
    </r>
  </si>
  <si>
    <t>核心人员离职</t>
  </si>
  <si>
    <r>
      <rPr>
        <b/>
        <sz val="11"/>
        <color rgb="FF1F3864"/>
        <rFont val="Arial Unicode MS"/>
        <family val="2"/>
      </rPr>
      <t>产能波动率</t>
    </r>
    <r>
      <rPr>
        <b/>
        <sz val="11"/>
        <color rgb="FF1F3864"/>
        <rFont val="Cambria"/>
        <family val="1"/>
      </rPr>
      <t>(%)</t>
    </r>
  </si>
  <si>
    <t>产能断崖</t>
  </si>
  <si>
    <r>
      <rPr>
        <b/>
        <sz val="11"/>
        <color rgb="FF1F3864"/>
        <rFont val="Cambria"/>
        <family val="1"/>
      </rPr>
      <t>SLA</t>
    </r>
    <r>
      <rPr>
        <b/>
        <sz val="11"/>
        <color rgb="FF1F3864"/>
        <rFont val="Arial Unicode MS"/>
        <family val="2"/>
      </rPr>
      <t>未达成次数</t>
    </r>
  </si>
  <si>
    <r>
      <rPr>
        <b/>
        <sz val="11"/>
        <color rgb="FF1F3864"/>
        <rFont val="Cambria"/>
        <family val="1"/>
      </rPr>
      <t>SLA</t>
    </r>
    <r>
      <rPr>
        <b/>
        <sz val="11"/>
        <color rgb="FF1F3864"/>
        <rFont val="Arial Unicode MS"/>
        <family val="2"/>
      </rPr>
      <t>两次以上未达成</t>
    </r>
  </si>
  <si>
    <t>综合档位</t>
  </si>
  <si>
    <t>是</t>
  </si>
  <si>
    <r>
      <rPr>
        <b/>
        <sz val="11"/>
        <color rgb="FF1F3864"/>
        <rFont val="Arial Unicode MS"/>
        <family val="2"/>
      </rPr>
      <t>战略协作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表现</t>
    </r>
  </si>
  <si>
    <r>
      <rPr>
        <b/>
        <sz val="11"/>
        <color rgb="FF1F3864"/>
        <rFont val="Arial Unicode MS"/>
        <family val="2"/>
      </rPr>
      <t>战略协作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达标</t>
    </r>
  </si>
  <si>
    <r>
      <rPr>
        <b/>
        <sz val="11"/>
        <color rgb="FF1F3864"/>
        <rFont val="Arial Unicode MS"/>
        <family val="2"/>
      </rPr>
      <t>响应质量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表现</t>
    </r>
  </si>
  <si>
    <r>
      <rPr>
        <b/>
        <sz val="11"/>
        <color rgb="FF1F3864"/>
        <rFont val="Arial Unicode MS"/>
        <family val="2"/>
      </rPr>
      <t>响应质量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达标</t>
    </r>
  </si>
  <si>
    <r>
      <rPr>
        <b/>
        <sz val="11"/>
        <color rgb="FF1F3864"/>
        <rFont val="Arial Unicode MS"/>
        <family val="2"/>
      </rPr>
      <t>高效执行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表现</t>
    </r>
  </si>
  <si>
    <r>
      <rPr>
        <b/>
        <sz val="11"/>
        <color rgb="FF1F3864"/>
        <rFont val="Arial Unicode MS"/>
        <family val="2"/>
      </rPr>
      <t>高效执行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达标</t>
    </r>
  </si>
  <si>
    <r>
      <rPr>
        <b/>
        <sz val="11"/>
        <color rgb="FF1F3864"/>
        <rFont val="Arial Unicode MS"/>
        <family val="2"/>
      </rPr>
      <t>共同成长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表现</t>
    </r>
  </si>
  <si>
    <r>
      <rPr>
        <b/>
        <sz val="11"/>
        <color rgb="FF1F3864"/>
        <rFont val="Arial Unicode MS"/>
        <family val="2"/>
      </rPr>
      <t>共同成长</t>
    </r>
    <r>
      <rPr>
        <b/>
        <sz val="11"/>
        <color rgb="FF1F3864"/>
        <rFont val="Cambria"/>
        <family val="1"/>
      </rPr>
      <t>-</t>
    </r>
    <r>
      <rPr>
        <b/>
        <sz val="11"/>
        <color rgb="FF1F3864"/>
        <rFont val="Arial Unicode MS"/>
        <family val="2"/>
      </rPr>
      <t>达标</t>
    </r>
  </si>
  <si>
    <t>自评总分</t>
  </si>
  <si>
    <r>
      <rPr>
        <b/>
        <sz val="11"/>
        <color rgb="FF1F3864"/>
        <rFont val="Arial Unicode MS"/>
        <family val="2"/>
      </rPr>
      <t>自评加分</t>
    </r>
    <r>
      <rPr>
        <b/>
        <sz val="11"/>
        <color rgb="FF1F3864"/>
        <rFont val="Cambria"/>
        <family val="1"/>
      </rPr>
      <t>(</t>
    </r>
    <r>
      <rPr>
        <b/>
        <sz val="11"/>
        <color rgb="FF1F3864"/>
        <rFont val="Arial Unicode MS"/>
        <family val="2"/>
      </rPr>
      <t>上限</t>
    </r>
    <r>
      <rPr>
        <b/>
        <sz val="11"/>
        <color rgb="FF1F3864"/>
        <rFont val="Cambria"/>
        <family val="1"/>
      </rPr>
      <t>4)</t>
    </r>
  </si>
  <si>
    <r>
      <rPr>
        <i/>
        <sz val="9"/>
        <color rgb="FF6B7280"/>
        <rFont val="Arial Unicode MS"/>
        <family val="2"/>
      </rPr>
      <t>主动提建议</t>
    </r>
    <r>
      <rPr>
        <i/>
        <sz val="9"/>
        <color rgb="FF6B7280"/>
        <rFont val="Cambria"/>
        <family val="1"/>
      </rPr>
      <t>/</t>
    </r>
    <r>
      <rPr>
        <i/>
        <sz val="9"/>
        <color rgb="FF6B7280"/>
        <rFont val="Arial Unicode MS"/>
        <family val="2"/>
      </rPr>
      <t>参与规划</t>
    </r>
  </si>
  <si>
    <r>
      <rPr>
        <i/>
        <sz val="9"/>
        <color rgb="FF6B7280"/>
        <rFont val="Cambria"/>
        <family val="1"/>
      </rPr>
      <t>24h</t>
    </r>
    <r>
      <rPr>
        <i/>
        <sz val="9"/>
        <color rgb="FF6B7280"/>
        <rFont val="Arial Unicode MS"/>
        <family val="2"/>
      </rPr>
      <t>内有实质响应</t>
    </r>
  </si>
  <si>
    <t>临时任务按时零返工</t>
  </si>
  <si>
    <t>分享经验推动产线</t>
  </si>
  <si>
    <t>主动参与产线规划</t>
  </si>
  <si>
    <r>
      <rPr>
        <sz val="11"/>
        <color theme="1"/>
        <rFont val="Calibri"/>
        <family val="2"/>
        <charset val="1"/>
      </rPr>
      <t>24h</t>
    </r>
    <r>
      <rPr>
        <sz val="11"/>
        <color theme="1"/>
        <rFont val="Arial Unicode MS"/>
        <family val="2"/>
      </rPr>
      <t>内响应有实质内容</t>
    </r>
  </si>
  <si>
    <t>临时任务按时按质</t>
  </si>
  <si>
    <t>分享经验贡献产线</t>
  </si>
  <si>
    <t>偶有建议</t>
  </si>
  <si>
    <r>
      <rPr>
        <sz val="11"/>
        <color theme="1"/>
        <rFont val="Calibri"/>
        <family val="2"/>
        <charset val="1"/>
      </rPr>
      <t>24h</t>
    </r>
    <r>
      <rPr>
        <sz val="11"/>
        <color theme="1"/>
        <rFont val="Arial Unicode MS"/>
        <family val="2"/>
      </rPr>
      <t>内响应</t>
    </r>
  </si>
  <si>
    <t>一般</t>
  </si>
  <si>
    <t>深度参与战略讨论</t>
  </si>
  <si>
    <t>快速响应有深度</t>
  </si>
  <si>
    <t>临时任务零返工</t>
  </si>
  <si>
    <t>积极分享推动整体</t>
  </si>
  <si>
    <t>主动提建设性方案</t>
  </si>
  <si>
    <t>响应及时有内容</t>
  </si>
  <si>
    <t>按时完成</t>
  </si>
  <si>
    <t>响应尚可</t>
  </si>
  <si>
    <t>临时任务按时</t>
  </si>
  <si>
    <t>临时任务勉强完成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</si>
</sst>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Arial Unicode MS"/>
      <family val="2"/>
    </font>
    <font>
      <b/>
      <sz val="11"/>
      <color rgb="FF1F3864"/>
      <name val="Arial Unicode MS"/>
      <family val="2"/>
    </font>
    <font>
      <b/>
      <sz val="11"/>
      <color rgb="FF1F3864"/>
      <name val="Cambria"/>
      <family val="1"/>
    </font>
    <font>
      <sz val="11"/>
      <color theme="1"/>
      <name val="Calibri"/>
      <family val="2"/>
      <charset val="1"/>
    </font>
    <font>
      <sz val="11"/>
      <color rgb="FF008000"/>
      <name val="Cambria"/>
      <family val="1"/>
    </font>
    <font>
      <b/>
      <sz val="11"/>
      <name val="Cambria"/>
      <family val="1"/>
    </font>
    <font>
      <i/>
      <sz val="9"/>
      <color rgb="FF6B7280"/>
      <name val="Arial Unicode MS"/>
      <family val="2"/>
    </font>
    <font>
      <i/>
      <sz val="9"/>
      <color rgb="FF6B7280"/>
      <name val="Cambria"/>
      <family val="1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6AEF"/>
      <rgbColor rgb="FF4ECB71"/>
      <rgbColor rgb="FF99CC00"/>
      <rgbColor rgb="FFFFCC00"/>
      <rgbColor rgb="FFE8943A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6AEF"/>
  </sheetPr>
  <dimension ref="A1:N17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7.83203125" defaultRowHeight="17" x14ac:dyDescent="0.25"/>
  <cols>
    <col min="1" max="1" width="12.6640625" customWidth="1"/>
    <col min="2" max="2" width="11" customWidth="1"/>
    <col min="3" max="3" width="12.6640625" customWidth="1"/>
    <col min="4" max="4" width="11" customWidth="1"/>
    <col min="5" max="5" width="12.6640625" customWidth="1"/>
    <col min="6" max="6" width="9.1640625" customWidth="1"/>
    <col min="7" max="8" width="12.6640625" customWidth="1"/>
    <col min="9" max="10" width="11" customWidth="1"/>
    <col min="11" max="11" width="12.6640625" customWidth="1"/>
    <col min="12" max="12" width="11" customWidth="1"/>
    <col min="13" max="13" width="12.6640625" customWidth="1"/>
    <col min="14" max="14" width="11" customWidth="1"/>
  </cols>
  <sheetData>
    <row r="1" spans="1:14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2">
        <v>92</v>
      </c>
      <c r="D2" s="2">
        <v>0</v>
      </c>
      <c r="E2" s="2">
        <v>0</v>
      </c>
      <c r="F2" s="2" t="s">
        <v>16</v>
      </c>
      <c r="G2" s="4" t="str">
        <f>稳定性明细!I2</f>
        <v>A</v>
      </c>
      <c r="H2" s="5">
        <f t="shared" ref="H2:H17" si="0">IF(G2="A",1,IF(G2="B",0.9,0.75))</f>
        <v>1</v>
      </c>
      <c r="I2" s="4">
        <f>供管自评明细!L3</f>
        <v>3</v>
      </c>
      <c r="J2" s="5">
        <f t="shared" ref="J2:J17" si="1">IF(F2="是","红线",D2*10+E2*5)</f>
        <v>0</v>
      </c>
      <c r="K2" s="6">
        <f t="shared" ref="K2:K17" si="2">IF(F2="是",0,MAX(0,(C2-J2)*H2+I2))</f>
        <v>95</v>
      </c>
      <c r="L2" s="2">
        <v>88</v>
      </c>
      <c r="M2" s="7">
        <f t="shared" ref="M2:M17" si="3">IF(L2=0,"基线",(K2-L2)/L2)</f>
        <v>7.9545454545454544E-2</v>
      </c>
      <c r="N2" s="5" t="str">
        <f t="shared" ref="N2:N17" si="4">IF(L2=0,"基线",IF(M2&gt;=0.05,"上升",IF(M2&lt;=-0.05,"下降","持平")))</f>
        <v>上升</v>
      </c>
    </row>
    <row r="3" spans="1:14" x14ac:dyDescent="0.25">
      <c r="A3" s="2" t="s">
        <v>17</v>
      </c>
      <c r="B3" s="3" t="s">
        <v>15</v>
      </c>
      <c r="C3" s="2">
        <v>88</v>
      </c>
      <c r="D3" s="2">
        <v>0</v>
      </c>
      <c r="E3" s="2">
        <v>0</v>
      </c>
      <c r="F3" s="2" t="s">
        <v>16</v>
      </c>
      <c r="G3" s="4" t="str">
        <f>稳定性明细!I3</f>
        <v>A</v>
      </c>
      <c r="H3" s="5">
        <f t="shared" si="0"/>
        <v>1</v>
      </c>
      <c r="I3" s="4">
        <f>供管自评明细!L4</f>
        <v>2</v>
      </c>
      <c r="J3" s="5">
        <f t="shared" si="1"/>
        <v>0</v>
      </c>
      <c r="K3" s="6">
        <f t="shared" si="2"/>
        <v>90</v>
      </c>
      <c r="L3" s="2">
        <v>85</v>
      </c>
      <c r="M3" s="7">
        <f t="shared" si="3"/>
        <v>5.8823529411764705E-2</v>
      </c>
      <c r="N3" s="5" t="str">
        <f t="shared" si="4"/>
        <v>上升</v>
      </c>
    </row>
    <row r="4" spans="1:14" x14ac:dyDescent="0.25">
      <c r="A4" s="2" t="s">
        <v>18</v>
      </c>
      <c r="B4" s="3" t="s">
        <v>15</v>
      </c>
      <c r="C4" s="2">
        <v>85</v>
      </c>
      <c r="D4" s="2">
        <v>1</v>
      </c>
      <c r="E4" s="2">
        <v>0</v>
      </c>
      <c r="F4" s="2" t="s">
        <v>16</v>
      </c>
      <c r="G4" s="4" t="str">
        <f>稳定性明细!I4</f>
        <v>B</v>
      </c>
      <c r="H4" s="5">
        <f t="shared" si="0"/>
        <v>0.9</v>
      </c>
      <c r="I4" s="4">
        <f>供管自评明细!L5</f>
        <v>4</v>
      </c>
      <c r="J4" s="5">
        <f t="shared" si="1"/>
        <v>10</v>
      </c>
      <c r="K4" s="6">
        <f t="shared" si="2"/>
        <v>71.5</v>
      </c>
      <c r="L4" s="2">
        <v>90</v>
      </c>
      <c r="M4" s="7">
        <f t="shared" si="3"/>
        <v>-0.20555555555555555</v>
      </c>
      <c r="N4" s="5" t="str">
        <f t="shared" si="4"/>
        <v>下降</v>
      </c>
    </row>
    <row r="5" spans="1:14" x14ac:dyDescent="0.25">
      <c r="A5" s="2" t="s">
        <v>19</v>
      </c>
      <c r="B5" s="3" t="s">
        <v>15</v>
      </c>
      <c r="C5" s="2">
        <v>83</v>
      </c>
      <c r="D5" s="2">
        <v>0</v>
      </c>
      <c r="E5" s="2">
        <v>1</v>
      </c>
      <c r="F5" s="2" t="s">
        <v>16</v>
      </c>
      <c r="G5" s="4" t="str">
        <f>稳定性明细!I5</f>
        <v>B</v>
      </c>
      <c r="H5" s="5">
        <f t="shared" si="0"/>
        <v>0.9</v>
      </c>
      <c r="I5" s="4">
        <f>供管自评明细!L6</f>
        <v>2</v>
      </c>
      <c r="J5" s="5">
        <f t="shared" si="1"/>
        <v>5</v>
      </c>
      <c r="K5" s="6">
        <f t="shared" si="2"/>
        <v>72.2</v>
      </c>
      <c r="L5" s="2">
        <v>80</v>
      </c>
      <c r="M5" s="7">
        <f t="shared" si="3"/>
        <v>-9.7499999999999962E-2</v>
      </c>
      <c r="N5" s="5" t="str">
        <f t="shared" si="4"/>
        <v>下降</v>
      </c>
    </row>
    <row r="6" spans="1:14" x14ac:dyDescent="0.25">
      <c r="A6" s="2" t="s">
        <v>20</v>
      </c>
      <c r="B6" s="3" t="s">
        <v>15</v>
      </c>
      <c r="C6" s="2">
        <v>79</v>
      </c>
      <c r="D6" s="2">
        <v>0</v>
      </c>
      <c r="E6" s="2">
        <v>0</v>
      </c>
      <c r="F6" s="2" t="s">
        <v>16</v>
      </c>
      <c r="G6" s="4" t="str">
        <f>稳定性明细!I6</f>
        <v>A</v>
      </c>
      <c r="H6" s="5">
        <f t="shared" si="0"/>
        <v>1</v>
      </c>
      <c r="I6" s="4">
        <f>供管自评明细!L7</f>
        <v>3</v>
      </c>
      <c r="J6" s="5">
        <f t="shared" si="1"/>
        <v>0</v>
      </c>
      <c r="K6" s="6">
        <f t="shared" si="2"/>
        <v>82</v>
      </c>
      <c r="L6" s="2">
        <v>75</v>
      </c>
      <c r="M6" s="7">
        <f t="shared" si="3"/>
        <v>9.3333333333333338E-2</v>
      </c>
      <c r="N6" s="5" t="str">
        <f t="shared" si="4"/>
        <v>上升</v>
      </c>
    </row>
    <row r="7" spans="1:14" x14ac:dyDescent="0.25">
      <c r="A7" s="2" t="s">
        <v>21</v>
      </c>
      <c r="B7" s="3" t="s">
        <v>15</v>
      </c>
      <c r="C7" s="2">
        <v>77</v>
      </c>
      <c r="D7" s="2">
        <v>0</v>
      </c>
      <c r="E7" s="2">
        <v>0</v>
      </c>
      <c r="F7" s="2" t="s">
        <v>16</v>
      </c>
      <c r="G7" s="4" t="str">
        <f>稳定性明细!I7</f>
        <v>C</v>
      </c>
      <c r="H7" s="5">
        <f t="shared" si="0"/>
        <v>0.75</v>
      </c>
      <c r="I7" s="4">
        <f>供管自评明细!L8</f>
        <v>1</v>
      </c>
      <c r="J7" s="5">
        <f t="shared" si="1"/>
        <v>0</v>
      </c>
      <c r="K7" s="6">
        <f t="shared" si="2"/>
        <v>58.75</v>
      </c>
      <c r="L7" s="2">
        <v>78</v>
      </c>
      <c r="M7" s="7">
        <f t="shared" si="3"/>
        <v>-0.24679487179487181</v>
      </c>
      <c r="N7" s="5" t="str">
        <f t="shared" si="4"/>
        <v>下降</v>
      </c>
    </row>
    <row r="8" spans="1:14" x14ac:dyDescent="0.25">
      <c r="A8" s="2" t="s">
        <v>22</v>
      </c>
      <c r="B8" s="3" t="s">
        <v>15</v>
      </c>
      <c r="C8" s="2">
        <v>72</v>
      </c>
      <c r="D8" s="2">
        <v>0</v>
      </c>
      <c r="E8" s="2">
        <v>0</v>
      </c>
      <c r="F8" s="2" t="s">
        <v>16</v>
      </c>
      <c r="G8" s="4" t="str">
        <f>稳定性明细!I8</f>
        <v>A</v>
      </c>
      <c r="H8" s="5">
        <f t="shared" si="0"/>
        <v>1</v>
      </c>
      <c r="I8" s="4">
        <f>供管自评明细!L9</f>
        <v>2</v>
      </c>
      <c r="J8" s="5">
        <f t="shared" si="1"/>
        <v>0</v>
      </c>
      <c r="K8" s="6">
        <f t="shared" si="2"/>
        <v>74</v>
      </c>
      <c r="L8" s="2">
        <v>68</v>
      </c>
      <c r="M8" s="7">
        <f t="shared" si="3"/>
        <v>8.8235294117647065E-2</v>
      </c>
      <c r="N8" s="5" t="str">
        <f t="shared" si="4"/>
        <v>上升</v>
      </c>
    </row>
    <row r="9" spans="1:14" x14ac:dyDescent="0.25">
      <c r="A9" s="2" t="s">
        <v>23</v>
      </c>
      <c r="B9" s="3" t="s">
        <v>15</v>
      </c>
      <c r="C9" s="2">
        <v>68</v>
      </c>
      <c r="D9" s="2">
        <v>1</v>
      </c>
      <c r="E9" s="2">
        <v>0</v>
      </c>
      <c r="F9" s="2" t="s">
        <v>16</v>
      </c>
      <c r="G9" s="4" t="str">
        <f>稳定性明细!I9</f>
        <v>C</v>
      </c>
      <c r="H9" s="5">
        <f t="shared" si="0"/>
        <v>0.75</v>
      </c>
      <c r="I9" s="4">
        <f>供管自评明细!L10</f>
        <v>1</v>
      </c>
      <c r="J9" s="5">
        <f t="shared" si="1"/>
        <v>10</v>
      </c>
      <c r="K9" s="6">
        <f t="shared" si="2"/>
        <v>44.5</v>
      </c>
      <c r="L9" s="2">
        <v>70</v>
      </c>
      <c r="M9" s="7">
        <f t="shared" si="3"/>
        <v>-0.36428571428571427</v>
      </c>
      <c r="N9" s="5" t="str">
        <f t="shared" si="4"/>
        <v>下降</v>
      </c>
    </row>
    <row r="10" spans="1:14" x14ac:dyDescent="0.25">
      <c r="A10" s="2" t="s">
        <v>24</v>
      </c>
      <c r="B10" s="3" t="s">
        <v>15</v>
      </c>
      <c r="C10" s="2">
        <v>65</v>
      </c>
      <c r="D10" s="2">
        <v>0</v>
      </c>
      <c r="E10" s="2">
        <v>1</v>
      </c>
      <c r="F10" s="2" t="s">
        <v>16</v>
      </c>
      <c r="G10" s="4" t="str">
        <f>稳定性明细!I10</f>
        <v>A</v>
      </c>
      <c r="H10" s="5">
        <f t="shared" si="0"/>
        <v>1</v>
      </c>
      <c r="I10" s="4">
        <f>供管自评明细!L11</f>
        <v>0</v>
      </c>
      <c r="J10" s="5">
        <f t="shared" si="1"/>
        <v>5</v>
      </c>
      <c r="K10" s="6">
        <f t="shared" si="2"/>
        <v>60</v>
      </c>
      <c r="L10" s="2">
        <v>62</v>
      </c>
      <c r="M10" s="7">
        <f t="shared" si="3"/>
        <v>-3.2258064516129031E-2</v>
      </c>
      <c r="N10" s="5" t="str">
        <f t="shared" si="4"/>
        <v>持平</v>
      </c>
    </row>
    <row r="11" spans="1:14" x14ac:dyDescent="0.25">
      <c r="A11" s="2" t="s">
        <v>25</v>
      </c>
      <c r="B11" s="3" t="s">
        <v>15</v>
      </c>
      <c r="C11" s="2">
        <v>60</v>
      </c>
      <c r="D11" s="2">
        <v>0</v>
      </c>
      <c r="E11" s="2">
        <v>0</v>
      </c>
      <c r="F11" s="2" t="s">
        <v>16</v>
      </c>
      <c r="G11" s="4" t="str">
        <f>稳定性明细!I11</f>
        <v>C</v>
      </c>
      <c r="H11" s="5">
        <f t="shared" si="0"/>
        <v>0.75</v>
      </c>
      <c r="I11" s="4">
        <f>供管自评明细!L12</f>
        <v>2</v>
      </c>
      <c r="J11" s="5">
        <f t="shared" si="1"/>
        <v>0</v>
      </c>
      <c r="K11" s="6">
        <f t="shared" si="2"/>
        <v>47</v>
      </c>
      <c r="L11" s="2">
        <v>55</v>
      </c>
      <c r="M11" s="7">
        <f t="shared" si="3"/>
        <v>-0.14545454545454545</v>
      </c>
      <c r="N11" s="5" t="str">
        <f t="shared" si="4"/>
        <v>下降</v>
      </c>
    </row>
    <row r="12" spans="1:14" x14ac:dyDescent="0.25">
      <c r="A12" s="2" t="s">
        <v>26</v>
      </c>
      <c r="B12" s="3" t="s">
        <v>15</v>
      </c>
      <c r="C12" s="2">
        <v>55</v>
      </c>
      <c r="D12" s="2">
        <v>0</v>
      </c>
      <c r="E12" s="2">
        <v>0</v>
      </c>
      <c r="F12" s="2" t="s">
        <v>16</v>
      </c>
      <c r="G12" s="4" t="str">
        <f>稳定性明细!I12</f>
        <v>C</v>
      </c>
      <c r="H12" s="5">
        <f t="shared" si="0"/>
        <v>0.75</v>
      </c>
      <c r="I12" s="4">
        <f>供管自评明细!L13</f>
        <v>1</v>
      </c>
      <c r="J12" s="5">
        <f t="shared" si="1"/>
        <v>0</v>
      </c>
      <c r="K12" s="6">
        <f t="shared" si="2"/>
        <v>42.25</v>
      </c>
      <c r="L12" s="2">
        <v>52</v>
      </c>
      <c r="M12" s="7">
        <f t="shared" si="3"/>
        <v>-0.1875</v>
      </c>
      <c r="N12" s="5" t="str">
        <f t="shared" si="4"/>
        <v>下降</v>
      </c>
    </row>
    <row r="13" spans="1:14" x14ac:dyDescent="0.25">
      <c r="A13" s="2" t="s">
        <v>27</v>
      </c>
      <c r="B13" s="3" t="s">
        <v>15</v>
      </c>
      <c r="C13" s="2">
        <v>50</v>
      </c>
      <c r="D13" s="2">
        <v>1</v>
      </c>
      <c r="E13" s="2">
        <v>1</v>
      </c>
      <c r="F13" s="2" t="s">
        <v>16</v>
      </c>
      <c r="G13" s="4" t="str">
        <f>稳定性明细!I13</f>
        <v>C</v>
      </c>
      <c r="H13" s="5">
        <f t="shared" si="0"/>
        <v>0.75</v>
      </c>
      <c r="I13" s="4">
        <f>供管自评明细!L14</f>
        <v>0</v>
      </c>
      <c r="J13" s="5">
        <f t="shared" si="1"/>
        <v>15</v>
      </c>
      <c r="K13" s="6">
        <f t="shared" si="2"/>
        <v>26.25</v>
      </c>
      <c r="L13" s="2">
        <v>58</v>
      </c>
      <c r="M13" s="7">
        <f t="shared" si="3"/>
        <v>-0.54741379310344829</v>
      </c>
      <c r="N13" s="5" t="str">
        <f t="shared" si="4"/>
        <v>下降</v>
      </c>
    </row>
    <row r="14" spans="1:14" x14ac:dyDescent="0.25">
      <c r="A14" s="2" t="s">
        <v>28</v>
      </c>
      <c r="B14" s="3" t="s">
        <v>15</v>
      </c>
      <c r="C14" s="2">
        <v>45</v>
      </c>
      <c r="D14" s="2">
        <v>0</v>
      </c>
      <c r="E14" s="2">
        <v>0</v>
      </c>
      <c r="F14" s="2" t="s">
        <v>16</v>
      </c>
      <c r="G14" s="4" t="str">
        <f>稳定性明细!I14</f>
        <v>B</v>
      </c>
      <c r="H14" s="5">
        <f t="shared" si="0"/>
        <v>0.9</v>
      </c>
      <c r="I14" s="4">
        <f>供管自评明细!L15</f>
        <v>2</v>
      </c>
      <c r="J14" s="5">
        <f t="shared" si="1"/>
        <v>0</v>
      </c>
      <c r="K14" s="6">
        <f t="shared" si="2"/>
        <v>42.5</v>
      </c>
      <c r="L14" s="2">
        <v>40</v>
      </c>
      <c r="M14" s="7">
        <f t="shared" si="3"/>
        <v>6.25E-2</v>
      </c>
      <c r="N14" s="5" t="str">
        <f t="shared" si="4"/>
        <v>上升</v>
      </c>
    </row>
    <row r="15" spans="1:14" x14ac:dyDescent="0.25">
      <c r="A15" s="2" t="s">
        <v>29</v>
      </c>
      <c r="B15" s="3" t="s">
        <v>15</v>
      </c>
      <c r="C15" s="2">
        <v>40</v>
      </c>
      <c r="D15" s="2">
        <v>0</v>
      </c>
      <c r="E15" s="2">
        <v>0</v>
      </c>
      <c r="F15" s="2" t="s">
        <v>16</v>
      </c>
      <c r="G15" s="4" t="str">
        <f>稳定性明细!I15</f>
        <v>C</v>
      </c>
      <c r="H15" s="5">
        <f t="shared" si="0"/>
        <v>0.75</v>
      </c>
      <c r="I15" s="4">
        <f>供管自评明细!L16</f>
        <v>0</v>
      </c>
      <c r="J15" s="5">
        <f t="shared" si="1"/>
        <v>0</v>
      </c>
      <c r="K15" s="6">
        <f t="shared" si="2"/>
        <v>30</v>
      </c>
      <c r="L15" s="2">
        <v>38</v>
      </c>
      <c r="M15" s="7">
        <f t="shared" si="3"/>
        <v>-0.21052631578947367</v>
      </c>
      <c r="N15" s="5" t="str">
        <f t="shared" si="4"/>
        <v>下降</v>
      </c>
    </row>
    <row r="16" spans="1:14" x14ac:dyDescent="0.25">
      <c r="A16" s="2" t="s">
        <v>30</v>
      </c>
      <c r="B16" s="3" t="s">
        <v>15</v>
      </c>
      <c r="C16" s="2">
        <v>35</v>
      </c>
      <c r="D16" s="2">
        <v>1</v>
      </c>
      <c r="E16" s="2">
        <v>0</v>
      </c>
      <c r="F16" s="2" t="s">
        <v>16</v>
      </c>
      <c r="G16" s="4" t="str">
        <f>稳定性明细!I16</f>
        <v>C</v>
      </c>
      <c r="H16" s="5">
        <f t="shared" si="0"/>
        <v>0.75</v>
      </c>
      <c r="I16" s="4">
        <f>供管自评明细!L17</f>
        <v>0</v>
      </c>
      <c r="J16" s="5">
        <f t="shared" si="1"/>
        <v>10</v>
      </c>
      <c r="K16" s="6">
        <f t="shared" si="2"/>
        <v>18.75</v>
      </c>
      <c r="L16" s="2">
        <v>42</v>
      </c>
      <c r="M16" s="7">
        <f t="shared" si="3"/>
        <v>-0.5535714285714286</v>
      </c>
      <c r="N16" s="5" t="str">
        <f t="shared" si="4"/>
        <v>下降</v>
      </c>
    </row>
    <row r="17" spans="1:14" x14ac:dyDescent="0.25">
      <c r="A17" s="2" t="s">
        <v>31</v>
      </c>
      <c r="B17" s="3" t="s">
        <v>15</v>
      </c>
      <c r="C17" s="2">
        <v>30</v>
      </c>
      <c r="D17" s="2">
        <v>0</v>
      </c>
      <c r="E17" s="2">
        <v>2</v>
      </c>
      <c r="F17" s="2" t="s">
        <v>16</v>
      </c>
      <c r="G17" s="4" t="str">
        <f>稳定性明细!I17</f>
        <v>C</v>
      </c>
      <c r="H17" s="5">
        <f t="shared" si="0"/>
        <v>0.75</v>
      </c>
      <c r="I17" s="4">
        <f>供管自评明细!L18</f>
        <v>0</v>
      </c>
      <c r="J17" s="5">
        <f t="shared" si="1"/>
        <v>10</v>
      </c>
      <c r="K17" s="6">
        <f t="shared" si="2"/>
        <v>15</v>
      </c>
      <c r="L17" s="2">
        <v>28</v>
      </c>
      <c r="M17" s="7">
        <f t="shared" si="3"/>
        <v>-0.4642857142857143</v>
      </c>
      <c r="N17" s="5" t="str">
        <f t="shared" si="4"/>
        <v>下降</v>
      </c>
    </row>
  </sheetData>
  <phoneticPr fontId="8" type="noConversion"/>
  <dataValidations count="1">
    <dataValidation type="list" sqref="F2:F100" xr:uid="{00000000-0002-0000-0000-000000000000}">
      <formula1>"是,否"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ECB71"/>
  </sheetPr>
  <dimension ref="A1:I17"/>
  <sheetViews>
    <sheetView zoomScaleNormal="100" workbookViewId="0">
      <pane ySplit="1" topLeftCell="A2" activePane="bottomLeft" state="frozen"/>
      <selection pane="bottomLeft" activeCell="D28" sqref="D28"/>
    </sheetView>
  </sheetViews>
  <sheetFormatPr baseColWidth="10" defaultColWidth="7.83203125" defaultRowHeight="17" x14ac:dyDescent="0.25"/>
  <cols>
    <col min="1" max="1" width="12.6640625" customWidth="1"/>
    <col min="2" max="2" width="11" customWidth="1"/>
    <col min="3" max="5" width="14.5" customWidth="1"/>
    <col min="6" max="6" width="12.6640625" customWidth="1"/>
    <col min="7" max="7" width="16.33203125" customWidth="1"/>
    <col min="8" max="8" width="18.1640625" customWidth="1"/>
    <col min="9" max="9" width="11" customWidth="1"/>
  </cols>
  <sheetData>
    <row r="1" spans="1:9" ht="18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8" t="s">
        <v>36</v>
      </c>
      <c r="H1" s="8" t="s">
        <v>37</v>
      </c>
      <c r="I1" s="1" t="s">
        <v>38</v>
      </c>
    </row>
    <row r="2" spans="1:9" x14ac:dyDescent="0.25">
      <c r="A2" s="2" t="s">
        <v>14</v>
      </c>
      <c r="B2" s="3" t="s">
        <v>15</v>
      </c>
      <c r="C2" s="2">
        <v>2</v>
      </c>
      <c r="D2" s="2" t="s">
        <v>16</v>
      </c>
      <c r="E2" s="2">
        <v>5</v>
      </c>
      <c r="F2" s="2" t="s">
        <v>16</v>
      </c>
      <c r="G2" s="2">
        <v>0</v>
      </c>
      <c r="H2" s="2" t="s">
        <v>16</v>
      </c>
      <c r="I2" s="5" t="str">
        <f t="shared" ref="I2:I17" si="0">IF(OR(D2="是",F2="是",H2="是"),"C",IF(OR(C2&gt;10,E2&gt;20,G2&gt;=2),"C",IF(OR(C2&gt;5,E2&gt;10,G2&gt;=1),"B","A")))</f>
        <v>A</v>
      </c>
    </row>
    <row r="3" spans="1:9" x14ac:dyDescent="0.25">
      <c r="A3" s="2" t="s">
        <v>17</v>
      </c>
      <c r="B3" s="3" t="s">
        <v>15</v>
      </c>
      <c r="C3" s="2">
        <v>3</v>
      </c>
      <c r="D3" s="2" t="s">
        <v>16</v>
      </c>
      <c r="E3" s="2">
        <v>8</v>
      </c>
      <c r="F3" s="2" t="s">
        <v>16</v>
      </c>
      <c r="G3" s="2">
        <v>0</v>
      </c>
      <c r="H3" s="2" t="s">
        <v>16</v>
      </c>
      <c r="I3" s="5" t="str">
        <f t="shared" si="0"/>
        <v>A</v>
      </c>
    </row>
    <row r="4" spans="1:9" x14ac:dyDescent="0.25">
      <c r="A4" s="2" t="s">
        <v>18</v>
      </c>
      <c r="B4" s="3" t="s">
        <v>15</v>
      </c>
      <c r="C4" s="2">
        <v>5</v>
      </c>
      <c r="D4" s="2" t="s">
        <v>16</v>
      </c>
      <c r="E4" s="2">
        <v>12</v>
      </c>
      <c r="F4" s="2" t="s">
        <v>16</v>
      </c>
      <c r="G4" s="2">
        <v>1</v>
      </c>
      <c r="H4" s="2" t="s">
        <v>16</v>
      </c>
      <c r="I4" s="5" t="str">
        <f t="shared" si="0"/>
        <v>B</v>
      </c>
    </row>
    <row r="5" spans="1:9" x14ac:dyDescent="0.25">
      <c r="A5" s="2" t="s">
        <v>19</v>
      </c>
      <c r="B5" s="3" t="s">
        <v>15</v>
      </c>
      <c r="C5" s="2">
        <v>8</v>
      </c>
      <c r="D5" s="2" t="s">
        <v>16</v>
      </c>
      <c r="E5" s="2">
        <v>18</v>
      </c>
      <c r="F5" s="2" t="s">
        <v>16</v>
      </c>
      <c r="G5" s="2">
        <v>1</v>
      </c>
      <c r="H5" s="2" t="s">
        <v>16</v>
      </c>
      <c r="I5" s="5" t="str">
        <f t="shared" si="0"/>
        <v>B</v>
      </c>
    </row>
    <row r="6" spans="1:9" x14ac:dyDescent="0.25">
      <c r="A6" s="2" t="s">
        <v>20</v>
      </c>
      <c r="B6" s="3" t="s">
        <v>15</v>
      </c>
      <c r="C6" s="2">
        <v>4</v>
      </c>
      <c r="D6" s="2" t="s">
        <v>16</v>
      </c>
      <c r="E6" s="2">
        <v>6</v>
      </c>
      <c r="F6" s="2" t="s">
        <v>16</v>
      </c>
      <c r="G6" s="2">
        <v>0</v>
      </c>
      <c r="H6" s="2" t="s">
        <v>16</v>
      </c>
      <c r="I6" s="5" t="str">
        <f t="shared" si="0"/>
        <v>A</v>
      </c>
    </row>
    <row r="7" spans="1:9" x14ac:dyDescent="0.25">
      <c r="A7" s="2" t="s">
        <v>21</v>
      </c>
      <c r="B7" s="3" t="s">
        <v>15</v>
      </c>
      <c r="C7" s="2">
        <v>12</v>
      </c>
      <c r="D7" s="2" t="s">
        <v>16</v>
      </c>
      <c r="E7" s="2">
        <v>22</v>
      </c>
      <c r="F7" s="2" t="s">
        <v>16</v>
      </c>
      <c r="G7" s="2">
        <v>1</v>
      </c>
      <c r="H7" s="2" t="s">
        <v>16</v>
      </c>
      <c r="I7" s="5" t="str">
        <f t="shared" si="0"/>
        <v>C</v>
      </c>
    </row>
    <row r="8" spans="1:9" x14ac:dyDescent="0.25">
      <c r="A8" s="2" t="s">
        <v>22</v>
      </c>
      <c r="B8" s="3" t="s">
        <v>15</v>
      </c>
      <c r="C8" s="2">
        <v>3</v>
      </c>
      <c r="D8" s="2" t="s">
        <v>16</v>
      </c>
      <c r="E8" s="2">
        <v>7</v>
      </c>
      <c r="F8" s="2" t="s">
        <v>16</v>
      </c>
      <c r="G8" s="2">
        <v>0</v>
      </c>
      <c r="H8" s="2" t="s">
        <v>16</v>
      </c>
      <c r="I8" s="5" t="str">
        <f t="shared" si="0"/>
        <v>A</v>
      </c>
    </row>
    <row r="9" spans="1:9" x14ac:dyDescent="0.25">
      <c r="A9" s="2" t="s">
        <v>23</v>
      </c>
      <c r="B9" s="3" t="s">
        <v>15</v>
      </c>
      <c r="C9" s="2">
        <v>15</v>
      </c>
      <c r="D9" s="2" t="s">
        <v>16</v>
      </c>
      <c r="E9" s="2">
        <v>25</v>
      </c>
      <c r="F9" s="2" t="s">
        <v>16</v>
      </c>
      <c r="G9" s="2">
        <v>1</v>
      </c>
      <c r="H9" s="2" t="s">
        <v>16</v>
      </c>
      <c r="I9" s="5" t="str">
        <f t="shared" si="0"/>
        <v>C</v>
      </c>
    </row>
    <row r="10" spans="1:9" x14ac:dyDescent="0.25">
      <c r="A10" s="2" t="s">
        <v>24</v>
      </c>
      <c r="B10" s="3" t="s">
        <v>15</v>
      </c>
      <c r="C10" s="2">
        <v>5</v>
      </c>
      <c r="D10" s="2" t="s">
        <v>16</v>
      </c>
      <c r="E10" s="2">
        <v>10</v>
      </c>
      <c r="F10" s="2" t="s">
        <v>16</v>
      </c>
      <c r="G10" s="2">
        <v>0</v>
      </c>
      <c r="H10" s="2" t="s">
        <v>16</v>
      </c>
      <c r="I10" s="5" t="str">
        <f t="shared" si="0"/>
        <v>A</v>
      </c>
    </row>
    <row r="11" spans="1:9" x14ac:dyDescent="0.25">
      <c r="A11" s="2" t="s">
        <v>25</v>
      </c>
      <c r="B11" s="3" t="s">
        <v>15</v>
      </c>
      <c r="C11" s="2">
        <v>11</v>
      </c>
      <c r="D11" s="2" t="s">
        <v>16</v>
      </c>
      <c r="E11" s="2">
        <v>19</v>
      </c>
      <c r="F11" s="2" t="s">
        <v>16</v>
      </c>
      <c r="G11" s="2">
        <v>1</v>
      </c>
      <c r="H11" s="2" t="s">
        <v>16</v>
      </c>
      <c r="I11" s="5" t="str">
        <f t="shared" si="0"/>
        <v>C</v>
      </c>
    </row>
    <row r="12" spans="1:9" x14ac:dyDescent="0.25">
      <c r="A12" s="2" t="s">
        <v>26</v>
      </c>
      <c r="B12" s="3" t="s">
        <v>15</v>
      </c>
      <c r="C12" s="2">
        <v>18</v>
      </c>
      <c r="D12" s="2" t="s">
        <v>39</v>
      </c>
      <c r="E12" s="2">
        <v>30</v>
      </c>
      <c r="F12" s="2" t="s">
        <v>16</v>
      </c>
      <c r="G12" s="2">
        <v>2</v>
      </c>
      <c r="H12" s="2" t="s">
        <v>39</v>
      </c>
      <c r="I12" s="5" t="str">
        <f t="shared" si="0"/>
        <v>C</v>
      </c>
    </row>
    <row r="13" spans="1:9" x14ac:dyDescent="0.25">
      <c r="A13" s="2" t="s">
        <v>27</v>
      </c>
      <c r="B13" s="3" t="s">
        <v>15</v>
      </c>
      <c r="C13" s="2">
        <v>13</v>
      </c>
      <c r="D13" s="2" t="s">
        <v>16</v>
      </c>
      <c r="E13" s="2">
        <v>21</v>
      </c>
      <c r="F13" s="2" t="s">
        <v>16</v>
      </c>
      <c r="G13" s="2">
        <v>1</v>
      </c>
      <c r="H13" s="2" t="s">
        <v>16</v>
      </c>
      <c r="I13" s="5" t="str">
        <f t="shared" si="0"/>
        <v>C</v>
      </c>
    </row>
    <row r="14" spans="1:9" x14ac:dyDescent="0.25">
      <c r="A14" s="2" t="s">
        <v>28</v>
      </c>
      <c r="B14" s="3" t="s">
        <v>15</v>
      </c>
      <c r="C14" s="2">
        <v>6</v>
      </c>
      <c r="D14" s="2" t="s">
        <v>16</v>
      </c>
      <c r="E14" s="2">
        <v>9</v>
      </c>
      <c r="F14" s="2" t="s">
        <v>16</v>
      </c>
      <c r="G14" s="2">
        <v>0</v>
      </c>
      <c r="H14" s="2" t="s">
        <v>16</v>
      </c>
      <c r="I14" s="5" t="str">
        <f t="shared" si="0"/>
        <v>B</v>
      </c>
    </row>
    <row r="15" spans="1:9" x14ac:dyDescent="0.25">
      <c r="A15" s="2" t="s">
        <v>29</v>
      </c>
      <c r="B15" s="3" t="s">
        <v>15</v>
      </c>
      <c r="C15" s="2">
        <v>25</v>
      </c>
      <c r="D15" s="2" t="s">
        <v>39</v>
      </c>
      <c r="E15" s="2">
        <v>35</v>
      </c>
      <c r="F15" s="2" t="s">
        <v>39</v>
      </c>
      <c r="G15" s="2">
        <v>3</v>
      </c>
      <c r="H15" s="2" t="s">
        <v>39</v>
      </c>
      <c r="I15" s="5" t="str">
        <f t="shared" si="0"/>
        <v>C</v>
      </c>
    </row>
    <row r="16" spans="1:9" x14ac:dyDescent="0.25">
      <c r="A16" s="2" t="s">
        <v>30</v>
      </c>
      <c r="B16" s="3" t="s">
        <v>15</v>
      </c>
      <c r="C16" s="2">
        <v>20</v>
      </c>
      <c r="D16" s="2" t="s">
        <v>39</v>
      </c>
      <c r="E16" s="2">
        <v>28</v>
      </c>
      <c r="F16" s="2" t="s">
        <v>16</v>
      </c>
      <c r="G16" s="2">
        <v>2</v>
      </c>
      <c r="H16" s="2" t="s">
        <v>39</v>
      </c>
      <c r="I16" s="5" t="str">
        <f t="shared" si="0"/>
        <v>C</v>
      </c>
    </row>
    <row r="17" spans="1:9" x14ac:dyDescent="0.25">
      <c r="A17" s="2" t="s">
        <v>31</v>
      </c>
      <c r="B17" s="3" t="s">
        <v>15</v>
      </c>
      <c r="C17" s="2">
        <v>30</v>
      </c>
      <c r="D17" s="2" t="s">
        <v>39</v>
      </c>
      <c r="E17" s="2">
        <v>40</v>
      </c>
      <c r="F17" s="2" t="s">
        <v>39</v>
      </c>
      <c r="G17" s="2">
        <v>4</v>
      </c>
      <c r="H17" s="2" t="s">
        <v>39</v>
      </c>
      <c r="I17" s="5" t="str">
        <f t="shared" si="0"/>
        <v>C</v>
      </c>
    </row>
  </sheetData>
  <phoneticPr fontId="8" type="noConversion"/>
  <dataValidations count="1">
    <dataValidation type="list" sqref="D2:D100 F2:F100 H2:H100" xr:uid="{00000000-0002-0000-0100-000000000000}">
      <formula1>"是,否"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8943A"/>
  </sheetPr>
  <dimension ref="A1:L18"/>
  <sheetViews>
    <sheetView zoomScaleNormal="100" workbookViewId="0">
      <pane ySplit="2" topLeftCell="A3" activePane="bottomLeft" state="frozen"/>
      <selection pane="bottomLeft" activeCell="E22" sqref="E22"/>
    </sheetView>
  </sheetViews>
  <sheetFormatPr baseColWidth="10" defaultColWidth="7.83203125" defaultRowHeight="17" x14ac:dyDescent="0.25"/>
  <cols>
    <col min="1" max="1" width="12.6640625" customWidth="1"/>
    <col min="2" max="2" width="11" customWidth="1"/>
    <col min="3" max="3" width="20" customWidth="1"/>
    <col min="4" max="4" width="12.6640625" customWidth="1"/>
    <col min="5" max="5" width="21.83203125" customWidth="1"/>
    <col min="6" max="6" width="12.6640625" customWidth="1"/>
    <col min="7" max="7" width="20" customWidth="1"/>
    <col min="8" max="8" width="12.6640625" customWidth="1"/>
    <col min="9" max="9" width="21.83203125" customWidth="1"/>
    <col min="10" max="10" width="12.6640625" customWidth="1"/>
    <col min="11" max="11" width="11" customWidth="1"/>
    <col min="12" max="12" width="14.5" customWidth="1"/>
  </cols>
  <sheetData>
    <row r="1" spans="1:12" ht="18" x14ac:dyDescent="0.2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 ht="30" x14ac:dyDescent="0.25">
      <c r="C2" s="9" t="s">
        <v>50</v>
      </c>
      <c r="D2" s="10" t="s">
        <v>51</v>
      </c>
      <c r="F2" s="9" t="s">
        <v>52</v>
      </c>
      <c r="H2" s="9" t="s">
        <v>53</v>
      </c>
    </row>
    <row r="3" spans="1:12" x14ac:dyDescent="0.25">
      <c r="A3" s="2" t="s">
        <v>14</v>
      </c>
      <c r="B3" s="3" t="s">
        <v>15</v>
      </c>
      <c r="C3" s="2" t="s">
        <v>54</v>
      </c>
      <c r="D3" s="2" t="s">
        <v>39</v>
      </c>
      <c r="E3" s="3" t="s">
        <v>55</v>
      </c>
      <c r="F3" s="2" t="s">
        <v>39</v>
      </c>
      <c r="G3" s="2" t="s">
        <v>56</v>
      </c>
      <c r="H3" s="2" t="s">
        <v>39</v>
      </c>
      <c r="I3" s="2" t="s">
        <v>57</v>
      </c>
      <c r="J3" s="2" t="s">
        <v>16</v>
      </c>
      <c r="K3" s="5">
        <f t="shared" ref="K3:K18" si="0">COUNTIF(D3,"是")+COUNTIF(F3,"是")+COUNTIF(H3,"是")+COUNTIF(J3,"是")</f>
        <v>3</v>
      </c>
      <c r="L3" s="5">
        <f t="shared" ref="L3:L18" si="1">MIN(4,K3)</f>
        <v>3</v>
      </c>
    </row>
    <row r="4" spans="1:12" x14ac:dyDescent="0.25">
      <c r="A4" s="2" t="s">
        <v>17</v>
      </c>
      <c r="B4" s="3" t="s">
        <v>15</v>
      </c>
      <c r="C4" s="2" t="s">
        <v>58</v>
      </c>
      <c r="D4" s="2" t="s">
        <v>39</v>
      </c>
      <c r="E4" s="3" t="s">
        <v>59</v>
      </c>
      <c r="F4" s="2" t="s">
        <v>39</v>
      </c>
      <c r="G4" s="2" t="s">
        <v>60</v>
      </c>
      <c r="H4" s="2" t="s">
        <v>16</v>
      </c>
      <c r="I4" s="2" t="s">
        <v>60</v>
      </c>
      <c r="J4" s="2" t="s">
        <v>16</v>
      </c>
      <c r="K4" s="5">
        <f t="shared" si="0"/>
        <v>2</v>
      </c>
      <c r="L4" s="5">
        <f t="shared" si="1"/>
        <v>2</v>
      </c>
    </row>
    <row r="5" spans="1:12" x14ac:dyDescent="0.25">
      <c r="A5" s="2" t="s">
        <v>18</v>
      </c>
      <c r="B5" s="3" t="s">
        <v>15</v>
      </c>
      <c r="C5" s="2" t="s">
        <v>61</v>
      </c>
      <c r="D5" s="2" t="s">
        <v>39</v>
      </c>
      <c r="E5" s="2" t="s">
        <v>62</v>
      </c>
      <c r="F5" s="2" t="s">
        <v>39</v>
      </c>
      <c r="G5" s="2" t="s">
        <v>63</v>
      </c>
      <c r="H5" s="2" t="s">
        <v>39</v>
      </c>
      <c r="I5" s="2" t="s">
        <v>64</v>
      </c>
      <c r="J5" s="2" t="s">
        <v>39</v>
      </c>
      <c r="K5" s="5">
        <f t="shared" si="0"/>
        <v>4</v>
      </c>
      <c r="L5" s="5">
        <f t="shared" si="1"/>
        <v>4</v>
      </c>
    </row>
    <row r="6" spans="1:12" x14ac:dyDescent="0.25">
      <c r="A6" s="2" t="s">
        <v>19</v>
      </c>
      <c r="B6" s="3" t="s">
        <v>15</v>
      </c>
      <c r="C6" s="2" t="s">
        <v>58</v>
      </c>
      <c r="D6" s="2" t="s">
        <v>39</v>
      </c>
      <c r="E6" s="3" t="s">
        <v>59</v>
      </c>
      <c r="F6" s="2" t="s">
        <v>39</v>
      </c>
      <c r="G6" s="2" t="s">
        <v>60</v>
      </c>
      <c r="H6" s="2" t="s">
        <v>16</v>
      </c>
      <c r="I6" s="2" t="s">
        <v>60</v>
      </c>
      <c r="J6" s="2" t="s">
        <v>16</v>
      </c>
      <c r="K6" s="5">
        <f t="shared" si="0"/>
        <v>2</v>
      </c>
      <c r="L6" s="5">
        <f t="shared" si="1"/>
        <v>2</v>
      </c>
    </row>
    <row r="7" spans="1:12" x14ac:dyDescent="0.25">
      <c r="A7" s="2" t="s">
        <v>20</v>
      </c>
      <c r="B7" s="3" t="s">
        <v>15</v>
      </c>
      <c r="C7" s="2" t="s">
        <v>65</v>
      </c>
      <c r="D7" s="2" t="s">
        <v>39</v>
      </c>
      <c r="E7" s="2" t="s">
        <v>66</v>
      </c>
      <c r="F7" s="2" t="s">
        <v>39</v>
      </c>
      <c r="G7" s="2" t="s">
        <v>67</v>
      </c>
      <c r="H7" s="2" t="s">
        <v>39</v>
      </c>
      <c r="I7" s="2" t="s">
        <v>60</v>
      </c>
      <c r="J7" s="2" t="s">
        <v>16</v>
      </c>
      <c r="K7" s="5">
        <f t="shared" si="0"/>
        <v>3</v>
      </c>
      <c r="L7" s="5">
        <f t="shared" si="1"/>
        <v>3</v>
      </c>
    </row>
    <row r="8" spans="1:12" x14ac:dyDescent="0.25">
      <c r="A8" s="2" t="s">
        <v>21</v>
      </c>
      <c r="B8" s="3" t="s">
        <v>15</v>
      </c>
      <c r="C8" s="2" t="s">
        <v>60</v>
      </c>
      <c r="D8" s="2" t="s">
        <v>16</v>
      </c>
      <c r="E8" s="2" t="s">
        <v>68</v>
      </c>
      <c r="F8" s="2" t="s">
        <v>39</v>
      </c>
      <c r="G8" s="2" t="s">
        <v>60</v>
      </c>
      <c r="H8" s="2" t="s">
        <v>16</v>
      </c>
      <c r="I8" s="2" t="s">
        <v>60</v>
      </c>
      <c r="J8" s="2" t="s">
        <v>16</v>
      </c>
      <c r="K8" s="5">
        <f t="shared" si="0"/>
        <v>1</v>
      </c>
      <c r="L8" s="5">
        <f t="shared" si="1"/>
        <v>1</v>
      </c>
    </row>
    <row r="9" spans="1:12" x14ac:dyDescent="0.25">
      <c r="A9" s="2" t="s">
        <v>22</v>
      </c>
      <c r="B9" s="3" t="s">
        <v>15</v>
      </c>
      <c r="C9" s="2" t="s">
        <v>58</v>
      </c>
      <c r="D9" s="2" t="s">
        <v>39</v>
      </c>
      <c r="E9" s="2" t="s">
        <v>60</v>
      </c>
      <c r="F9" s="2" t="s">
        <v>16</v>
      </c>
      <c r="G9" s="2" t="s">
        <v>69</v>
      </c>
      <c r="H9" s="2" t="s">
        <v>39</v>
      </c>
      <c r="I9" s="2" t="s">
        <v>60</v>
      </c>
      <c r="J9" s="2" t="s">
        <v>16</v>
      </c>
      <c r="K9" s="5">
        <f t="shared" si="0"/>
        <v>2</v>
      </c>
      <c r="L9" s="5">
        <f t="shared" si="1"/>
        <v>2</v>
      </c>
    </row>
    <row r="10" spans="1:12" x14ac:dyDescent="0.25">
      <c r="A10" s="2" t="s">
        <v>23</v>
      </c>
      <c r="B10" s="3" t="s">
        <v>15</v>
      </c>
      <c r="C10" s="2" t="s">
        <v>60</v>
      </c>
      <c r="D10" s="2" t="s">
        <v>16</v>
      </c>
      <c r="E10" s="2" t="s">
        <v>68</v>
      </c>
      <c r="F10" s="2" t="s">
        <v>39</v>
      </c>
      <c r="G10" s="2" t="s">
        <v>60</v>
      </c>
      <c r="H10" s="2" t="s">
        <v>16</v>
      </c>
      <c r="I10" s="2" t="s">
        <v>60</v>
      </c>
      <c r="J10" s="2" t="s">
        <v>16</v>
      </c>
      <c r="K10" s="5">
        <f t="shared" si="0"/>
        <v>1</v>
      </c>
      <c r="L10" s="5">
        <f t="shared" si="1"/>
        <v>1</v>
      </c>
    </row>
    <row r="11" spans="1:12" x14ac:dyDescent="0.25">
      <c r="A11" s="2" t="s">
        <v>24</v>
      </c>
      <c r="B11" s="3" t="s">
        <v>15</v>
      </c>
      <c r="C11" s="2" t="s">
        <v>60</v>
      </c>
      <c r="D11" s="2" t="s">
        <v>16</v>
      </c>
      <c r="E11" s="2" t="s">
        <v>60</v>
      </c>
      <c r="F11" s="2" t="s">
        <v>16</v>
      </c>
      <c r="G11" s="2" t="s">
        <v>60</v>
      </c>
      <c r="H11" s="2" t="s">
        <v>16</v>
      </c>
      <c r="I11" s="2" t="s">
        <v>60</v>
      </c>
      <c r="J11" s="2" t="s">
        <v>16</v>
      </c>
      <c r="K11" s="5">
        <f t="shared" si="0"/>
        <v>0</v>
      </c>
      <c r="L11" s="5">
        <f t="shared" si="1"/>
        <v>0</v>
      </c>
    </row>
    <row r="12" spans="1:12" x14ac:dyDescent="0.25">
      <c r="A12" s="2" t="s">
        <v>25</v>
      </c>
      <c r="B12" s="3" t="s">
        <v>15</v>
      </c>
      <c r="C12" s="2" t="s">
        <v>58</v>
      </c>
      <c r="D12" s="2" t="s">
        <v>39</v>
      </c>
      <c r="E12" s="2" t="s">
        <v>60</v>
      </c>
      <c r="F12" s="2" t="s">
        <v>16</v>
      </c>
      <c r="G12" s="2" t="s">
        <v>69</v>
      </c>
      <c r="H12" s="2" t="s">
        <v>39</v>
      </c>
      <c r="I12" s="2" t="s">
        <v>60</v>
      </c>
      <c r="J12" s="2" t="s">
        <v>16</v>
      </c>
      <c r="K12" s="5">
        <f t="shared" si="0"/>
        <v>2</v>
      </c>
      <c r="L12" s="5">
        <f t="shared" si="1"/>
        <v>2</v>
      </c>
    </row>
    <row r="13" spans="1:12" x14ac:dyDescent="0.25">
      <c r="A13" s="2" t="s">
        <v>26</v>
      </c>
      <c r="B13" s="3" t="s">
        <v>15</v>
      </c>
      <c r="C13" s="2" t="s">
        <v>60</v>
      </c>
      <c r="D13" s="2" t="s">
        <v>16</v>
      </c>
      <c r="E13" s="2" t="s">
        <v>60</v>
      </c>
      <c r="F13" s="2" t="s">
        <v>16</v>
      </c>
      <c r="G13" s="2" t="s">
        <v>70</v>
      </c>
      <c r="H13" s="2" t="s">
        <v>39</v>
      </c>
      <c r="I13" s="2" t="s">
        <v>60</v>
      </c>
      <c r="J13" s="2" t="s">
        <v>16</v>
      </c>
      <c r="K13" s="5">
        <f t="shared" si="0"/>
        <v>1</v>
      </c>
      <c r="L13" s="5">
        <f t="shared" si="1"/>
        <v>1</v>
      </c>
    </row>
    <row r="14" spans="1:12" x14ac:dyDescent="0.25">
      <c r="A14" s="2" t="s">
        <v>27</v>
      </c>
      <c r="B14" s="3" t="s">
        <v>15</v>
      </c>
      <c r="C14" s="2" t="s">
        <v>60</v>
      </c>
      <c r="D14" s="2" t="s">
        <v>16</v>
      </c>
      <c r="E14" s="2" t="s">
        <v>60</v>
      </c>
      <c r="F14" s="2" t="s">
        <v>16</v>
      </c>
      <c r="G14" s="2" t="s">
        <v>60</v>
      </c>
      <c r="H14" s="2" t="s">
        <v>16</v>
      </c>
      <c r="I14" s="2" t="s">
        <v>60</v>
      </c>
      <c r="J14" s="2" t="s">
        <v>16</v>
      </c>
      <c r="K14" s="5">
        <f t="shared" si="0"/>
        <v>0</v>
      </c>
      <c r="L14" s="5">
        <f t="shared" si="1"/>
        <v>0</v>
      </c>
    </row>
    <row r="15" spans="1:12" x14ac:dyDescent="0.25">
      <c r="A15" s="2" t="s">
        <v>28</v>
      </c>
      <c r="B15" s="3" t="s">
        <v>15</v>
      </c>
      <c r="C15" s="2" t="s">
        <v>58</v>
      </c>
      <c r="D15" s="2" t="s">
        <v>39</v>
      </c>
      <c r="E15" s="2" t="s">
        <v>60</v>
      </c>
      <c r="F15" s="2" t="s">
        <v>16</v>
      </c>
      <c r="G15" s="2" t="s">
        <v>69</v>
      </c>
      <c r="H15" s="2" t="s">
        <v>39</v>
      </c>
      <c r="I15" s="2" t="s">
        <v>60</v>
      </c>
      <c r="J15" s="2" t="s">
        <v>16</v>
      </c>
      <c r="K15" s="5">
        <f t="shared" si="0"/>
        <v>2</v>
      </c>
      <c r="L15" s="5">
        <f t="shared" si="1"/>
        <v>2</v>
      </c>
    </row>
    <row r="16" spans="1:12" x14ac:dyDescent="0.25">
      <c r="A16" s="2" t="s">
        <v>29</v>
      </c>
      <c r="B16" s="3" t="s">
        <v>15</v>
      </c>
      <c r="C16" s="2" t="s">
        <v>60</v>
      </c>
      <c r="D16" s="2" t="s">
        <v>16</v>
      </c>
      <c r="E16" s="2" t="s">
        <v>60</v>
      </c>
      <c r="F16" s="2" t="s">
        <v>16</v>
      </c>
      <c r="G16" s="2" t="s">
        <v>60</v>
      </c>
      <c r="H16" s="2" t="s">
        <v>16</v>
      </c>
      <c r="I16" s="2" t="s">
        <v>60</v>
      </c>
      <c r="J16" s="2" t="s">
        <v>16</v>
      </c>
      <c r="K16" s="5">
        <f t="shared" si="0"/>
        <v>0</v>
      </c>
      <c r="L16" s="5">
        <f t="shared" si="1"/>
        <v>0</v>
      </c>
    </row>
    <row r="17" spans="1:12" x14ac:dyDescent="0.25">
      <c r="A17" s="2" t="s">
        <v>30</v>
      </c>
      <c r="B17" s="3" t="s">
        <v>15</v>
      </c>
      <c r="C17" s="2" t="s">
        <v>60</v>
      </c>
      <c r="D17" s="2" t="s">
        <v>16</v>
      </c>
      <c r="E17" s="2" t="s">
        <v>60</v>
      </c>
      <c r="F17" s="2" t="s">
        <v>16</v>
      </c>
      <c r="G17" s="2" t="s">
        <v>60</v>
      </c>
      <c r="H17" s="2" t="s">
        <v>16</v>
      </c>
      <c r="I17" s="2" t="s">
        <v>60</v>
      </c>
      <c r="J17" s="2" t="s">
        <v>16</v>
      </c>
      <c r="K17" s="5">
        <f t="shared" si="0"/>
        <v>0</v>
      </c>
      <c r="L17" s="5">
        <f t="shared" si="1"/>
        <v>0</v>
      </c>
    </row>
    <row r="18" spans="1:12" x14ac:dyDescent="0.25">
      <c r="A18" s="2" t="s">
        <v>31</v>
      </c>
      <c r="B18" s="3" t="s">
        <v>15</v>
      </c>
      <c r="C18" s="2" t="s">
        <v>60</v>
      </c>
      <c r="D18" s="2" t="s">
        <v>16</v>
      </c>
      <c r="E18" s="2" t="s">
        <v>60</v>
      </c>
      <c r="F18" s="2" t="s">
        <v>16</v>
      </c>
      <c r="G18" s="2" t="s">
        <v>60</v>
      </c>
      <c r="H18" s="2" t="s">
        <v>16</v>
      </c>
      <c r="I18" s="2" t="s">
        <v>60</v>
      </c>
      <c r="J18" s="2" t="s">
        <v>16</v>
      </c>
      <c r="K18" s="5">
        <f t="shared" si="0"/>
        <v>0</v>
      </c>
      <c r="L18" s="5">
        <f t="shared" si="1"/>
        <v>0</v>
      </c>
    </row>
  </sheetData>
  <phoneticPr fontId="8" type="noConversion"/>
  <dataValidations count="1">
    <dataValidation type="list" sqref="D3:D100 F3:F100 H3:H100 J3:J100" xr:uid="{00000000-0002-0000-0200-000000000000}">
      <formula1>"是,否"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月度评估</vt:lpstr>
      <vt:lpstr>稳定性明细</vt:lpstr>
      <vt:lpstr>供管自评明细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sundanian</cp:lastModifiedBy>
  <cp:revision>0</cp:revision>
  <dcterms:created xsi:type="dcterms:W3CDTF">2026-05-14T06:37:05Z</dcterms:created>
  <dcterms:modified xsi:type="dcterms:W3CDTF">2026-05-15T14:57:24Z</dcterms:modified>
  <dc:language>zh-CN</dc:language>
</cp:coreProperties>
</file>