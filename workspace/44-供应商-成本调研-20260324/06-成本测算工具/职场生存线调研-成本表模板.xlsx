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workspace/"/>
    </mc:Choice>
  </mc:AlternateContent>
  <xr:revisionPtr revIDLastSave="0" documentId="8_{95AFC345-4A4C-ED4A-AAB2-E5B54EEEE50C}" xr6:coauthVersionLast="47" xr6:coauthVersionMax="47" xr10:uidLastSave="{00000000-0000-0000-0000-000000000000}"/>
  <bookViews>
    <workbookView xWindow="0" yWindow="760" windowWidth="29840" windowHeight="16780" xr2:uid="{00000000-000D-0000-FFFF-FFFF00000000}"/>
  </bookViews>
  <sheets>
    <sheet name="成本表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32" i="1"/>
  <c r="B38" i="1" s="1"/>
  <c r="B25" i="1"/>
  <c r="F25" i="1" s="1"/>
  <c r="B37" i="1" s="1"/>
  <c r="B41" i="1" s="1"/>
  <c r="B43" i="1" s="1"/>
  <c r="B45" i="1" s="1"/>
  <c r="F24" i="1"/>
  <c r="F23" i="1"/>
  <c r="F22" i="1"/>
  <c r="F21" i="1"/>
  <c r="F20" i="1"/>
  <c r="F32" i="1" l="1"/>
</calcChain>
</file>

<file path=xl/sharedStrings.xml><?xml version="1.0" encoding="utf-8"?>
<sst xmlns="http://schemas.openxmlformats.org/spreadsheetml/2006/main" count="84" uniqueCount="65">
  <si>
    <t>职场生存线调研 - 成本结构表</t>
  </si>
  <si>
    <t>供应商编号</t>
  </si>
  <si>
    <t>城市级别</t>
  </si>
  <si>
    <t>业务线</t>
  </si>
  <si>
    <t>数据月份</t>
  </si>
  <si>
    <t>填写日期</t>
  </si>
  <si>
    <t>填表人</t>
  </si>
  <si>
    <t>联系方式</t>
  </si>
  <si>
    <t>SUP-001</t>
  </si>
  <si>
    <t>一线</t>
  </si>
  <si>
    <t>金条-首贷</t>
  </si>
  <si>
    <t>一、收入端</t>
  </si>
  <si>
    <t>京东当月结算金额（元）</t>
  </si>
  <si>
    <t>其中：该业务线结算金额（元）</t>
  </si>
  <si>
    <t>二、人力成本（该业务线）</t>
  </si>
  <si>
    <t>坐席人数</t>
  </si>
  <si>
    <t xml:space="preserve">  - 全职人数</t>
  </si>
  <si>
    <t xml:space="preserve">  - 兼职人数</t>
  </si>
  <si>
    <t>坐席平均税前薪资（元/月）</t>
  </si>
  <si>
    <t>坐席平均税后到手（元/月）</t>
  </si>
  <si>
    <t>社保公积金-公司承担（元/月/人）</t>
  </si>
  <si>
    <t>管理人员薪资分摊（元/月）</t>
  </si>
  <si>
    <t>三、职场运营成本（全职场分摊）</t>
  </si>
  <si>
    <t>成本项目</t>
  </si>
  <si>
    <t>金额（元/月）</t>
  </si>
  <si>
    <t>÷</t>
  </si>
  <si>
    <t>总坐席数</t>
  </si>
  <si>
    <t>=</t>
  </si>
  <si>
    <t>人均（元/月/人）</t>
  </si>
  <si>
    <t>1. 房租</t>
  </si>
  <si>
    <t>2. 水电物业</t>
  </si>
  <si>
    <t>3. 网费通讯</t>
  </si>
  <si>
    <t>4. 硬件摊销</t>
  </si>
  <si>
    <t>5. 其他运营</t>
  </si>
  <si>
    <t>职场运营成本小计</t>
  </si>
  <si>
    <t>四、激励成本（该业务线）</t>
  </si>
  <si>
    <t>坐席数</t>
  </si>
  <si>
    <t>1. 节日发放（按年分摊）</t>
  </si>
  <si>
    <t>2. 奖金提成</t>
  </si>
  <si>
    <t>3. 团建活动（按年分摊）</t>
  </si>
  <si>
    <t>激励成本小计</t>
  </si>
  <si>
    <t>五、计算验证（我方填写）</t>
  </si>
  <si>
    <t>项目</t>
  </si>
  <si>
    <t>金额</t>
  </si>
  <si>
    <t>说明</t>
  </si>
  <si>
    <t>京东结算金额（元）</t>
  </si>
  <si>
    <t>减去：运营成本（元）</t>
  </si>
  <si>
    <t>运营人均×50人</t>
  </si>
  <si>
    <t>减去：激励成本（元）</t>
  </si>
  <si>
    <t>激励小计</t>
  </si>
  <si>
    <t>减去：供应商10%利润（元）</t>
  </si>
  <si>
    <t>结算×10%</t>
  </si>
  <si>
    <t>可用于坐席薪酬（元）</t>
  </si>
  <si>
    <t>÷ 坐席数</t>
  </si>
  <si>
    <t>＝ 坐席合理生存收入（元/月/人）</t>
  </si>
  <si>
    <t>实际坐席税后到手（元/月/人）</t>
  </si>
  <si>
    <t>差异（元）</t>
  </si>
  <si>
    <t>六、补充说明</t>
  </si>
  <si>
    <t xml:space="preserve">是否有其他成本项需要说明？
</t>
  </si>
  <si>
    <t>如数据有异常波动，请说明原因：</t>
  </si>
  <si>
    <t>填表说明：</t>
  </si>
  <si>
    <t>1. 请填写最近一个完整月份的数据</t>
  </si>
  <si>
    <t>2. 金额单位为元，保留整数</t>
  </si>
  <si>
    <t>3. 数据仅供内部分析使用，严格保密</t>
  </si>
  <si>
    <t>4. 如有疑问请联系：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</si>
</sst>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8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sz val="10"/>
      <color rgb="FF2C3E50"/>
      <name val="Arial"/>
      <family val="2"/>
    </font>
    <font>
      <b/>
      <sz val="13"/>
      <color rgb="FF2C3E5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2C3E50"/>
      <name val="微软雅黑"/>
      <family val="2"/>
      <charset val="134"/>
    </font>
    <font>
      <b/>
      <sz val="11"/>
      <color rgb="FF2C3E5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1251B"/>
      </patternFill>
    </fill>
    <fill>
      <patternFill patternType="solid">
        <fgColor rgb="FFEBF5FB"/>
      </patternFill>
    </fill>
    <fill>
      <patternFill patternType="solid">
        <fgColor rgb="FF5DADE2"/>
      </patternFill>
    </fill>
    <fill>
      <patternFill patternType="solid">
        <fgColor rgb="FFF8F9F9"/>
      </patternFill>
    </fill>
    <fill>
      <patternFill patternType="solid">
        <fgColor rgb="FFF39C12"/>
      </patternFill>
    </fill>
    <fill>
      <patternFill patternType="solid">
        <fgColor rgb="FF27AE6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4" borderId="0" xfId="0" applyFill="1"/>
    <xf numFmtId="3" fontId="5" fillId="0" borderId="2" xfId="0" applyNumberFormat="1" applyFont="1" applyBorder="1" applyAlignment="1">
      <alignment horizontal="right" vertical="center"/>
    </xf>
    <xf numFmtId="3" fontId="0" fillId="0" borderId="2" xfId="0" applyNumberFormat="1" applyBorder="1" applyAlignment="1">
      <alignment horizontal="center" vertical="center"/>
    </xf>
    <xf numFmtId="0" fontId="7" fillId="5" borderId="1" xfId="0" applyFont="1" applyFill="1" applyBorder="1"/>
    <xf numFmtId="0" fontId="8" fillId="6" borderId="3" xfId="0" applyFont="1" applyFill="1" applyBorder="1" applyAlignment="1">
      <alignment horizontal="left" vertical="center"/>
    </xf>
    <xf numFmtId="3" fontId="9" fillId="6" borderId="3" xfId="0" applyNumberFormat="1" applyFont="1" applyFill="1" applyBorder="1" applyAlignment="1">
      <alignment horizontal="right" vertical="center"/>
    </xf>
    <xf numFmtId="0" fontId="0" fillId="6" borderId="3" xfId="0" applyFill="1" applyBorder="1" applyAlignment="1">
      <alignment horizontal="center" vertical="center"/>
    </xf>
    <xf numFmtId="3" fontId="0" fillId="6" borderId="3" xfId="0" applyNumberFormat="1" applyFill="1" applyBorder="1" applyAlignment="1">
      <alignment horizontal="center" vertical="center"/>
    </xf>
    <xf numFmtId="3" fontId="5" fillId="6" borderId="3" xfId="0" applyNumberFormat="1" applyFont="1" applyFill="1" applyBorder="1" applyAlignment="1">
      <alignment horizontal="right" vertical="center"/>
    </xf>
    <xf numFmtId="0" fontId="0" fillId="6" borderId="3" xfId="0" applyFill="1" applyBorder="1" applyAlignment="1">
      <alignment horizontal="left" vertical="center"/>
    </xf>
    <xf numFmtId="0" fontId="7" fillId="7" borderId="1" xfId="0" applyFont="1" applyFill="1" applyBorder="1"/>
    <xf numFmtId="0" fontId="7" fillId="8" borderId="1" xfId="0" applyFont="1" applyFill="1" applyBorder="1"/>
    <xf numFmtId="0" fontId="5" fillId="6" borderId="3" xfId="0" applyFont="1" applyFill="1" applyBorder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5"/>
  <sheetViews>
    <sheetView tabSelected="1" workbookViewId="0">
      <selection activeCell="J50" sqref="J50"/>
    </sheetView>
  </sheetViews>
  <sheetFormatPr baseColWidth="10" defaultColWidth="8.83203125" defaultRowHeight="14"/>
  <cols>
    <col min="1" max="1" width="35" customWidth="1"/>
    <col min="2" max="2" width="18" customWidth="1"/>
    <col min="3" max="3" width="15" bestFit="1" customWidth="1"/>
    <col min="4" max="4" width="14" customWidth="1"/>
    <col min="5" max="5" width="9" bestFit="1" customWidth="1"/>
    <col min="6" max="6" width="18" customWidth="1"/>
    <col min="7" max="7" width="14" customWidth="1"/>
    <col min="8" max="8" width="12" customWidth="1"/>
  </cols>
  <sheetData>
    <row r="1" spans="1:8" ht="40" customHeight="1">
      <c r="A1" s="30" t="s">
        <v>0</v>
      </c>
      <c r="B1" s="31"/>
      <c r="C1" s="31"/>
      <c r="D1" s="31"/>
      <c r="E1" s="31"/>
      <c r="F1" s="31"/>
      <c r="G1" s="31"/>
      <c r="H1" s="31"/>
    </row>
    <row r="2" spans="1:8" ht="20" customHeight="1">
      <c r="A2" s="3"/>
      <c r="B2" s="4"/>
      <c r="C2" s="5"/>
      <c r="D2" s="5"/>
      <c r="E2" s="5"/>
      <c r="F2" s="4"/>
      <c r="G2" s="6"/>
      <c r="H2" s="6"/>
    </row>
    <row r="3" spans="1:8" ht="16" customHeight="1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8" t="s">
        <v>6</v>
      </c>
      <c r="G3" s="10" t="s">
        <v>7</v>
      </c>
      <c r="H3" s="6"/>
    </row>
    <row r="4" spans="1:8" ht="20" customHeight="1">
      <c r="A4" s="3" t="s">
        <v>8</v>
      </c>
      <c r="B4" s="4" t="s">
        <v>9</v>
      </c>
      <c r="C4" s="5" t="s">
        <v>10</v>
      </c>
      <c r="D4" s="5"/>
      <c r="E4" s="5"/>
      <c r="F4" s="4"/>
      <c r="G4" s="6"/>
      <c r="H4" s="6"/>
    </row>
    <row r="5" spans="1:8" ht="20" customHeight="1">
      <c r="A5" s="3"/>
      <c r="B5" s="4"/>
      <c r="C5" s="5"/>
      <c r="D5" s="5"/>
      <c r="E5" s="5"/>
      <c r="F5" s="4"/>
      <c r="G5" s="6"/>
      <c r="H5" s="6"/>
    </row>
    <row r="6" spans="1:8" ht="30" customHeight="1">
      <c r="A6" s="24" t="s">
        <v>11</v>
      </c>
      <c r="B6" s="25"/>
      <c r="C6" s="25"/>
      <c r="D6" s="25"/>
      <c r="E6" s="25"/>
      <c r="F6" s="25"/>
      <c r="G6" s="25"/>
      <c r="H6" s="25"/>
    </row>
    <row r="7" spans="1:8" ht="20" customHeight="1">
      <c r="A7" s="3" t="s">
        <v>12</v>
      </c>
      <c r="B7" s="12">
        <v>800000</v>
      </c>
      <c r="C7" s="5"/>
      <c r="D7" s="5" t="s">
        <v>13</v>
      </c>
      <c r="E7" s="13">
        <v>800000</v>
      </c>
      <c r="F7" s="4"/>
      <c r="G7" s="6"/>
      <c r="H7" s="6"/>
    </row>
    <row r="8" spans="1:8" ht="20" customHeight="1">
      <c r="A8" s="3"/>
      <c r="B8" s="4"/>
      <c r="C8" s="5"/>
      <c r="D8" s="5"/>
      <c r="E8" s="5"/>
      <c r="F8" s="4"/>
      <c r="G8" s="6"/>
      <c r="H8" s="6"/>
    </row>
    <row r="9" spans="1:8" ht="30" customHeight="1">
      <c r="A9" s="24" t="s">
        <v>14</v>
      </c>
      <c r="B9" s="25"/>
      <c r="C9" s="25"/>
      <c r="D9" s="25"/>
      <c r="E9" s="25"/>
      <c r="F9" s="25"/>
      <c r="G9" s="25"/>
      <c r="H9" s="25"/>
    </row>
    <row r="10" spans="1:8" ht="20" customHeight="1">
      <c r="A10" s="3" t="s">
        <v>15</v>
      </c>
      <c r="B10" s="12">
        <v>50</v>
      </c>
      <c r="C10" s="5"/>
      <c r="D10" s="5"/>
      <c r="E10" s="5"/>
      <c r="F10" s="4"/>
      <c r="G10" s="6"/>
      <c r="H10" s="6"/>
    </row>
    <row r="11" spans="1:8" ht="20" customHeight="1">
      <c r="A11" s="3" t="s">
        <v>16</v>
      </c>
      <c r="B11" s="12">
        <v>45</v>
      </c>
      <c r="C11" s="5"/>
      <c r="D11" s="5"/>
      <c r="E11" s="5"/>
      <c r="F11" s="4"/>
      <c r="G11" s="6"/>
      <c r="H11" s="6"/>
    </row>
    <row r="12" spans="1:8" ht="20" customHeight="1">
      <c r="A12" s="3" t="s">
        <v>17</v>
      </c>
      <c r="B12" s="12">
        <v>5</v>
      </c>
      <c r="C12" s="5"/>
      <c r="D12" s="5"/>
      <c r="E12" s="5"/>
      <c r="F12" s="4"/>
      <c r="G12" s="6"/>
      <c r="H12" s="6"/>
    </row>
    <row r="13" spans="1:8" ht="20" customHeight="1">
      <c r="A13" s="3" t="s">
        <v>18</v>
      </c>
      <c r="B13" s="12">
        <v>9000</v>
      </c>
      <c r="C13" s="5"/>
      <c r="D13" s="5"/>
      <c r="E13" s="5"/>
      <c r="F13" s="4"/>
      <c r="G13" s="6"/>
      <c r="H13" s="6"/>
    </row>
    <row r="14" spans="1:8" ht="20" customHeight="1">
      <c r="A14" s="3" t="s">
        <v>19</v>
      </c>
      <c r="B14" s="12">
        <v>7500</v>
      </c>
      <c r="C14" s="5"/>
      <c r="D14" s="5"/>
      <c r="E14" s="5"/>
      <c r="F14" s="4"/>
      <c r="G14" s="6"/>
      <c r="H14" s="6"/>
    </row>
    <row r="15" spans="1:8" ht="20" customHeight="1">
      <c r="A15" s="3" t="s">
        <v>20</v>
      </c>
      <c r="B15" s="12">
        <v>1500</v>
      </c>
      <c r="C15" s="5"/>
      <c r="D15" s="5"/>
      <c r="E15" s="5"/>
      <c r="F15" s="4"/>
      <c r="G15" s="6"/>
      <c r="H15" s="6"/>
    </row>
    <row r="16" spans="1:8" ht="20" customHeight="1">
      <c r="A16" s="3" t="s">
        <v>21</v>
      </c>
      <c r="B16" s="12">
        <v>30000</v>
      </c>
      <c r="C16" s="5"/>
      <c r="D16" s="5"/>
      <c r="E16" s="5"/>
      <c r="F16" s="4"/>
      <c r="G16" s="6"/>
      <c r="H16" s="6"/>
    </row>
    <row r="17" spans="1:8" ht="20" customHeight="1">
      <c r="A17" s="3"/>
      <c r="B17" s="4"/>
      <c r="C17" s="5"/>
      <c r="D17" s="5"/>
      <c r="E17" s="5"/>
      <c r="F17" s="4"/>
      <c r="G17" s="6"/>
      <c r="H17" s="6"/>
    </row>
    <row r="18" spans="1:8" ht="30" customHeight="1">
      <c r="A18" s="24" t="s">
        <v>22</v>
      </c>
      <c r="B18" s="25"/>
      <c r="C18" s="25"/>
      <c r="D18" s="25"/>
      <c r="E18" s="25"/>
      <c r="F18" s="25"/>
      <c r="G18" s="25"/>
      <c r="H18" s="25"/>
    </row>
    <row r="19" spans="1:8" ht="24" customHeight="1">
      <c r="A19" s="14" t="s">
        <v>23</v>
      </c>
      <c r="B19" s="14" t="s">
        <v>24</v>
      </c>
      <c r="C19" s="14" t="s">
        <v>25</v>
      </c>
      <c r="D19" s="14" t="s">
        <v>26</v>
      </c>
      <c r="E19" s="14" t="s">
        <v>27</v>
      </c>
      <c r="F19" s="14" t="s">
        <v>28</v>
      </c>
      <c r="G19" s="2"/>
    </row>
    <row r="20" spans="1:8" ht="20" customHeight="1">
      <c r="A20" s="3" t="s">
        <v>29</v>
      </c>
      <c r="B20" s="12">
        <v>30000</v>
      </c>
      <c r="C20" s="5" t="s">
        <v>25</v>
      </c>
      <c r="D20" s="13">
        <v>100</v>
      </c>
      <c r="E20" s="5" t="s">
        <v>27</v>
      </c>
      <c r="F20" s="12">
        <f t="shared" ref="F20:F25" si="0">B20/D20</f>
        <v>300</v>
      </c>
      <c r="G20" s="6"/>
      <c r="H20" s="6"/>
    </row>
    <row r="21" spans="1:8" ht="20" customHeight="1">
      <c r="A21" s="3" t="s">
        <v>30</v>
      </c>
      <c r="B21" s="12">
        <v>8000</v>
      </c>
      <c r="C21" s="5" t="s">
        <v>25</v>
      </c>
      <c r="D21" s="13">
        <v>100</v>
      </c>
      <c r="E21" s="5" t="s">
        <v>27</v>
      </c>
      <c r="F21" s="12">
        <f t="shared" si="0"/>
        <v>80</v>
      </c>
      <c r="G21" s="6"/>
      <c r="H21" s="6"/>
    </row>
    <row r="22" spans="1:8" ht="20" customHeight="1">
      <c r="A22" s="3" t="s">
        <v>31</v>
      </c>
      <c r="B22" s="12">
        <v>3000</v>
      </c>
      <c r="C22" s="5" t="s">
        <v>25</v>
      </c>
      <c r="D22" s="13">
        <v>100</v>
      </c>
      <c r="E22" s="5" t="s">
        <v>27</v>
      </c>
      <c r="F22" s="12">
        <f t="shared" si="0"/>
        <v>30</v>
      </c>
      <c r="G22" s="6"/>
      <c r="H22" s="6"/>
    </row>
    <row r="23" spans="1:8" ht="20" customHeight="1">
      <c r="A23" s="3" t="s">
        <v>32</v>
      </c>
      <c r="B23" s="12">
        <v>5000</v>
      </c>
      <c r="C23" s="5" t="s">
        <v>25</v>
      </c>
      <c r="D23" s="13">
        <v>100</v>
      </c>
      <c r="E23" s="5" t="s">
        <v>27</v>
      </c>
      <c r="F23" s="12">
        <f t="shared" si="0"/>
        <v>50</v>
      </c>
      <c r="G23" s="6"/>
      <c r="H23" s="6"/>
    </row>
    <row r="24" spans="1:8" ht="20" customHeight="1">
      <c r="A24" s="3" t="s">
        <v>33</v>
      </c>
      <c r="B24" s="12">
        <v>4000</v>
      </c>
      <c r="C24" s="5" t="s">
        <v>25</v>
      </c>
      <c r="D24" s="13">
        <v>100</v>
      </c>
      <c r="E24" s="5" t="s">
        <v>27</v>
      </c>
      <c r="F24" s="12">
        <f t="shared" si="0"/>
        <v>40</v>
      </c>
      <c r="G24" s="6"/>
      <c r="H24" s="6"/>
    </row>
    <row r="25" spans="1:8" ht="24" customHeight="1">
      <c r="A25" s="15" t="s">
        <v>34</v>
      </c>
      <c r="B25" s="16">
        <f>SUM(B20:B24)</f>
        <v>50000</v>
      </c>
      <c r="C25" s="17" t="s">
        <v>25</v>
      </c>
      <c r="D25" s="18">
        <v>100</v>
      </c>
      <c r="E25" s="17" t="s">
        <v>27</v>
      </c>
      <c r="F25" s="19">
        <f t="shared" si="0"/>
        <v>500</v>
      </c>
      <c r="G25" s="20"/>
      <c r="H25" s="20"/>
    </row>
    <row r="26" spans="1:8" ht="20" customHeight="1">
      <c r="A26" s="3"/>
      <c r="B26" s="4"/>
      <c r="C26" s="5"/>
      <c r="D26" s="5"/>
      <c r="E26" s="5"/>
      <c r="F26" s="4"/>
      <c r="G26" s="6"/>
      <c r="H26" s="6"/>
    </row>
    <row r="27" spans="1:8" ht="30" customHeight="1">
      <c r="A27" s="24" t="s">
        <v>35</v>
      </c>
      <c r="B27" s="25"/>
      <c r="C27" s="25"/>
      <c r="D27" s="25"/>
      <c r="E27" s="25"/>
      <c r="F27" s="25"/>
      <c r="G27" s="25"/>
      <c r="H27" s="25"/>
    </row>
    <row r="28" spans="1:8" ht="24" customHeight="1">
      <c r="A28" s="21" t="s">
        <v>23</v>
      </c>
      <c r="B28" s="21" t="s">
        <v>24</v>
      </c>
      <c r="C28" s="21" t="s">
        <v>25</v>
      </c>
      <c r="D28" s="21" t="s">
        <v>36</v>
      </c>
      <c r="E28" s="21" t="s">
        <v>27</v>
      </c>
      <c r="F28" s="21" t="s">
        <v>28</v>
      </c>
      <c r="G28" s="2"/>
    </row>
    <row r="29" spans="1:8" ht="20" customHeight="1">
      <c r="A29" s="3" t="s">
        <v>37</v>
      </c>
      <c r="B29" s="12">
        <v>5000</v>
      </c>
      <c r="C29" s="5"/>
      <c r="D29" s="5"/>
      <c r="E29" s="5"/>
      <c r="F29" s="4"/>
      <c r="G29" s="6"/>
      <c r="H29" s="6"/>
    </row>
    <row r="30" spans="1:8" ht="20" customHeight="1">
      <c r="A30" s="3" t="s">
        <v>38</v>
      </c>
      <c r="B30" s="12">
        <v>20000</v>
      </c>
      <c r="C30" s="5"/>
      <c r="D30" s="5"/>
      <c r="E30" s="5"/>
      <c r="F30" s="4"/>
      <c r="G30" s="6"/>
      <c r="H30" s="6"/>
    </row>
    <row r="31" spans="1:8" ht="20" customHeight="1">
      <c r="A31" s="3" t="s">
        <v>39</v>
      </c>
      <c r="B31" s="12">
        <v>2000</v>
      </c>
      <c r="C31" s="5"/>
      <c r="D31" s="5"/>
      <c r="E31" s="5"/>
      <c r="F31" s="4"/>
      <c r="G31" s="6"/>
      <c r="H31" s="6"/>
    </row>
    <row r="32" spans="1:8" ht="24" customHeight="1">
      <c r="A32" s="15" t="s">
        <v>40</v>
      </c>
      <c r="B32" s="16">
        <f>SUM(B29:B31)</f>
        <v>27000</v>
      </c>
      <c r="C32" s="17" t="s">
        <v>25</v>
      </c>
      <c r="D32" s="18">
        <v>50</v>
      </c>
      <c r="E32" s="17" t="s">
        <v>27</v>
      </c>
      <c r="F32" s="19">
        <f>B32/D32</f>
        <v>540</v>
      </c>
      <c r="G32" s="20"/>
      <c r="H32" s="20"/>
    </row>
    <row r="33" spans="1:8" ht="20" customHeight="1">
      <c r="A33" s="3"/>
      <c r="B33" s="4"/>
      <c r="C33" s="5"/>
      <c r="D33" s="5"/>
      <c r="E33" s="5"/>
      <c r="F33" s="4"/>
      <c r="G33" s="6"/>
      <c r="H33" s="6"/>
    </row>
    <row r="34" spans="1:8" ht="30" customHeight="1">
      <c r="A34" s="24" t="s">
        <v>41</v>
      </c>
      <c r="B34" s="25"/>
      <c r="C34" s="25"/>
      <c r="D34" s="25"/>
      <c r="E34" s="25"/>
      <c r="F34" s="25"/>
      <c r="G34" s="25"/>
      <c r="H34" s="11"/>
    </row>
    <row r="35" spans="1:8" ht="24" customHeight="1">
      <c r="A35" s="22" t="s">
        <v>42</v>
      </c>
      <c r="B35" s="22" t="s">
        <v>43</v>
      </c>
      <c r="C35" s="22" t="s">
        <v>44</v>
      </c>
      <c r="D35" s="1"/>
      <c r="E35" s="1"/>
      <c r="F35" s="1"/>
      <c r="G35" s="1"/>
    </row>
    <row r="36" spans="1:8" ht="20" customHeight="1">
      <c r="A36" s="3" t="s">
        <v>45</v>
      </c>
      <c r="B36" s="12">
        <v>800000</v>
      </c>
      <c r="C36" s="5"/>
      <c r="D36" s="5"/>
      <c r="E36" s="5"/>
      <c r="F36" s="4"/>
      <c r="G36" s="6"/>
      <c r="H36" s="6"/>
    </row>
    <row r="37" spans="1:8" ht="20" customHeight="1">
      <c r="A37" s="3" t="s">
        <v>46</v>
      </c>
      <c r="B37" s="12">
        <f>F25*50</f>
        <v>25000</v>
      </c>
      <c r="C37" s="5" t="s">
        <v>47</v>
      </c>
      <c r="D37" s="5"/>
      <c r="E37" s="5"/>
      <c r="F37" s="4"/>
      <c r="G37" s="6"/>
      <c r="H37" s="6"/>
    </row>
    <row r="38" spans="1:8" ht="20" customHeight="1">
      <c r="A38" s="3" t="s">
        <v>48</v>
      </c>
      <c r="B38" s="12">
        <f>B32</f>
        <v>27000</v>
      </c>
      <c r="C38" s="5" t="s">
        <v>49</v>
      </c>
      <c r="D38" s="5"/>
      <c r="E38" s="5"/>
      <c r="F38" s="4"/>
      <c r="G38" s="6"/>
      <c r="H38" s="6"/>
    </row>
    <row r="39" spans="1:8" ht="20" customHeight="1">
      <c r="A39" s="3" t="s">
        <v>50</v>
      </c>
      <c r="B39" s="12">
        <f>B36*10%</f>
        <v>80000</v>
      </c>
      <c r="C39" s="5" t="s">
        <v>51</v>
      </c>
      <c r="D39" s="5"/>
      <c r="E39" s="5"/>
      <c r="F39" s="4"/>
      <c r="G39" s="6"/>
      <c r="H39" s="6"/>
    </row>
    <row r="40" spans="1:8" ht="20" customHeight="1">
      <c r="A40" s="3"/>
      <c r="B40" s="4"/>
      <c r="C40" s="5"/>
      <c r="D40" s="5"/>
      <c r="E40" s="5"/>
      <c r="F40" s="4"/>
      <c r="G40" s="6"/>
      <c r="H40" s="6"/>
    </row>
    <row r="41" spans="1:8" ht="16" customHeight="1">
      <c r="A41" s="3" t="s">
        <v>52</v>
      </c>
      <c r="B41" s="12">
        <f>B36-B37-B38-B39</f>
        <v>668000</v>
      </c>
      <c r="C41" s="5"/>
      <c r="D41" s="5"/>
      <c r="E41" s="5"/>
      <c r="F41" s="4"/>
      <c r="G41" s="6"/>
      <c r="H41" s="6"/>
    </row>
    <row r="42" spans="1:8" ht="20" customHeight="1">
      <c r="A42" s="3" t="s">
        <v>53</v>
      </c>
      <c r="B42" s="12">
        <v>50</v>
      </c>
      <c r="C42" s="5"/>
      <c r="D42" s="5"/>
      <c r="E42" s="5"/>
      <c r="F42" s="4"/>
      <c r="G42" s="6"/>
      <c r="H42" s="6"/>
    </row>
    <row r="43" spans="1:8" ht="24" customHeight="1">
      <c r="A43" s="15" t="s">
        <v>54</v>
      </c>
      <c r="B43" s="16">
        <f>B41/B42</f>
        <v>13360</v>
      </c>
      <c r="C43" s="17"/>
      <c r="D43" s="17"/>
      <c r="E43" s="17"/>
      <c r="F43" s="23"/>
      <c r="G43" s="20"/>
      <c r="H43" s="20"/>
    </row>
    <row r="44" spans="1:8" ht="20" customHeight="1">
      <c r="A44" s="3" t="s">
        <v>55</v>
      </c>
      <c r="B44" s="12">
        <v>7500</v>
      </c>
      <c r="C44" s="5"/>
      <c r="D44" s="5"/>
      <c r="E44" s="5"/>
      <c r="F44" s="4"/>
      <c r="G44" s="6"/>
      <c r="H44" s="6"/>
    </row>
    <row r="45" spans="1:8" ht="24" customHeight="1">
      <c r="A45" s="15" t="s">
        <v>56</v>
      </c>
      <c r="B45" s="16">
        <f>B43-B44</f>
        <v>5860</v>
      </c>
      <c r="C45" s="17"/>
      <c r="D45" s="17"/>
      <c r="E45" s="17"/>
      <c r="F45" s="23"/>
      <c r="G45" s="20"/>
      <c r="H45" s="20"/>
    </row>
    <row r="46" spans="1:8" ht="20" customHeight="1">
      <c r="A46" s="3"/>
      <c r="B46" s="4"/>
      <c r="C46" s="5"/>
      <c r="D46" s="5"/>
      <c r="E46" s="5"/>
      <c r="F46" s="4"/>
      <c r="G46" s="6"/>
      <c r="H46" s="6"/>
    </row>
    <row r="47" spans="1:8" ht="30" customHeight="1">
      <c r="A47" s="24" t="s">
        <v>57</v>
      </c>
      <c r="B47" s="25"/>
      <c r="C47" s="25"/>
      <c r="D47" s="25"/>
      <c r="E47" s="25"/>
      <c r="F47" s="25"/>
      <c r="G47" s="25"/>
      <c r="H47" s="25"/>
    </row>
    <row r="48" spans="1:8" ht="68" customHeight="1">
      <c r="A48" s="26" t="s">
        <v>58</v>
      </c>
      <c r="B48" s="27"/>
      <c r="C48" s="28"/>
      <c r="D48" s="28"/>
      <c r="E48" s="28"/>
      <c r="F48" s="27"/>
      <c r="G48" s="29"/>
      <c r="H48" s="6"/>
    </row>
    <row r="49" spans="1:8" ht="30" customHeight="1">
      <c r="A49" s="26" t="s">
        <v>59</v>
      </c>
      <c r="B49" s="27"/>
      <c r="C49" s="28"/>
      <c r="D49" s="28"/>
      <c r="E49" s="28"/>
      <c r="F49" s="27"/>
      <c r="G49" s="29"/>
      <c r="H49" s="6"/>
    </row>
    <row r="50" spans="1:8" ht="20" customHeight="1">
      <c r="A50" s="3"/>
      <c r="B50" s="4"/>
      <c r="C50" s="5"/>
      <c r="D50" s="5"/>
      <c r="E50" s="5"/>
      <c r="F50" s="4"/>
      <c r="G50" s="6"/>
      <c r="H50" s="6"/>
    </row>
    <row r="51" spans="1:8" ht="16" customHeight="1">
      <c r="A51" s="26" t="s">
        <v>60</v>
      </c>
      <c r="B51" s="27"/>
      <c r="C51" s="28"/>
      <c r="D51" s="28"/>
      <c r="E51" s="28"/>
      <c r="F51" s="27"/>
      <c r="G51" s="29"/>
      <c r="H51" s="6"/>
    </row>
    <row r="52" spans="1:8" ht="20" customHeight="1">
      <c r="A52" s="26" t="s">
        <v>61</v>
      </c>
      <c r="B52" s="27"/>
      <c r="C52" s="28"/>
      <c r="D52" s="28"/>
      <c r="E52" s="28"/>
      <c r="F52" s="27"/>
      <c r="G52" s="29"/>
      <c r="H52" s="6"/>
    </row>
    <row r="53" spans="1:8" ht="20" customHeight="1">
      <c r="A53" s="26" t="s">
        <v>62</v>
      </c>
      <c r="B53" s="27"/>
      <c r="C53" s="28"/>
      <c r="D53" s="28"/>
      <c r="E53" s="28"/>
      <c r="F53" s="27"/>
      <c r="G53" s="29"/>
      <c r="H53" s="6"/>
    </row>
    <row r="54" spans="1:8" ht="20" customHeight="1">
      <c r="A54" s="26" t="s">
        <v>63</v>
      </c>
      <c r="B54" s="27"/>
      <c r="C54" s="28"/>
      <c r="D54" s="28"/>
      <c r="E54" s="28"/>
      <c r="F54" s="27"/>
      <c r="G54" s="29"/>
      <c r="H54" s="6"/>
    </row>
    <row r="55" spans="1:8" ht="20" customHeight="1">
      <c r="A55" s="26" t="s">
        <v>64</v>
      </c>
      <c r="B55" s="27"/>
      <c r="C55" s="28"/>
      <c r="D55" s="28"/>
      <c r="E55" s="28"/>
      <c r="F55" s="27"/>
      <c r="G55" s="29"/>
      <c r="H55" s="6"/>
    </row>
  </sheetData>
  <mergeCells count="14">
    <mergeCell ref="A54:G54"/>
    <mergeCell ref="A47:H47"/>
    <mergeCell ref="A55:G55"/>
    <mergeCell ref="A9:H9"/>
    <mergeCell ref="A53:G53"/>
    <mergeCell ref="A52:G52"/>
    <mergeCell ref="A1:H1"/>
    <mergeCell ref="A6:H6"/>
    <mergeCell ref="A34:G34"/>
    <mergeCell ref="A48:G48"/>
    <mergeCell ref="A27:H27"/>
    <mergeCell ref="A51:G51"/>
    <mergeCell ref="A49:G49"/>
    <mergeCell ref="A18:H18"/>
  </mergeCells>
  <phoneticPr fontId="2" type="noConversion"/>
  <printOptions horizontalCentered="1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2026-03-03T03:12:38Z</dcterms:created>
  <dcterms:modified xsi:type="dcterms:W3CDTF">2026-03-03T03:34:49Z</dcterms:modified>
</cp:coreProperties>
</file>