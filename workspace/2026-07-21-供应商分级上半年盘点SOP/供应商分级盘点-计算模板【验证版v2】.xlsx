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1.赛马分原始数据" sheetId="2" state="visible" r:id="rId2"/>
    <sheet xmlns:r="http://schemas.openxmlformats.org/officeDocument/2006/relationships" name="2.SLA扣分台账" sheetId="3" state="visible" r:id="rId3"/>
    <sheet xmlns:r="http://schemas.openxmlformats.org/officeDocument/2006/relationships" name="3.稳定性检查表" sheetId="4" state="visible" r:id="rId4"/>
    <sheet xmlns:r="http://schemas.openxmlformats.org/officeDocument/2006/relationships" name="4.供管自评表" sheetId="5" state="visible" r:id="rId5"/>
    <sheet xmlns:r="http://schemas.openxmlformats.org/officeDocument/2006/relationships" name="5.评级结果" sheetId="6" state="visible" r:id="rId6"/>
    <sheet xmlns:r="http://schemas.openxmlformats.org/officeDocument/2006/relationships" name="6.三张清单" sheetId="7" state="visible" r:id="rId7"/>
    <sheet xmlns:r="http://schemas.openxmlformats.org/officeDocument/2006/relationships" name="7.集中度管控" sheetId="8" state="visible" r:id="rId8"/>
    <sheet xmlns:r="http://schemas.openxmlformats.org/officeDocument/2006/relationships" name="8.清退路径" sheetId="9" state="visible" r:id="rId9"/>
  </sheets>
  <definedNames/>
  <calcPr calcId="124519" fullCalcOnLoad="1"/>
</workbook>
</file>

<file path=xl/styles.xml><?xml version="1.0" encoding="utf-8"?>
<styleSheet xmlns="http://schemas.openxmlformats.org/spreadsheetml/2006/main">
  <numFmts count="3">
    <numFmt numFmtId="164" formatCode="0.0"/>
    <numFmt numFmtId="165" formatCode="0.0&quot;%&quot;"/>
    <numFmt numFmtId="166" formatCode="0.0%"/>
  </numFmts>
  <fonts count="17">
    <font>
      <name val="Calibri"/>
      <family val="2"/>
      <color theme="1"/>
      <sz val="11"/>
      <scheme val="minor"/>
    </font>
    <font>
      <name val="微软雅黑"/>
      <b val="1"/>
      <color rgb="001F4E78"/>
      <sz val="14"/>
    </font>
    <font>
      <name val="微软雅黑"/>
      <b val="1"/>
      <sz val="10"/>
    </font>
    <font>
      <name val="微软雅黑"/>
      <sz val="10"/>
    </font>
    <font>
      <name val="微软雅黑"/>
      <i val="1"/>
      <color rgb="00666666"/>
      <sz val="9"/>
    </font>
    <font>
      <name val="微软雅黑"/>
      <b val="1"/>
      <color rgb="00FFFFFF"/>
      <sz val="11"/>
    </font>
    <font>
      <name val="微软雅黑"/>
      <i val="1"/>
      <color rgb="00006100"/>
      <sz val="9"/>
    </font>
    <font>
      <name val="微软雅黑"/>
      <b val="1"/>
      <sz val="11"/>
    </font>
    <font>
      <name val="微软雅黑"/>
      <b val="1"/>
      <color rgb="001F4E78"/>
      <sz val="10"/>
    </font>
    <font>
      <name val="微软雅黑"/>
      <b val="1"/>
      <color rgb="00006100"/>
      <sz val="12"/>
    </font>
    <font>
      <name val="微软雅黑"/>
      <i val="1"/>
      <color rgb="00666666"/>
      <sz val="10"/>
    </font>
    <font>
      <name val="微软雅黑"/>
      <b val="1"/>
      <color rgb="009C5700"/>
      <sz val="12"/>
    </font>
    <font>
      <name val="微软雅黑"/>
      <b val="1"/>
      <color rgb="009C0006"/>
      <sz val="12"/>
    </font>
    <font>
      <name val="微软雅黑"/>
      <b val="1"/>
      <color rgb="00C00000"/>
      <sz val="10"/>
    </font>
    <font>
      <b val="1"/>
    </font>
    <font>
      <b val="1"/>
      <sz val="12"/>
    </font>
    <font>
      <name val="微软雅黑"/>
      <b val="1"/>
      <color rgb="00C00000"/>
      <sz val="11"/>
    </font>
  </fonts>
  <fills count="11">
    <fill>
      <patternFill/>
    </fill>
    <fill>
      <patternFill patternType="gray125"/>
    </fill>
    <fill>
      <patternFill patternType="solid">
        <fgColor rgb="001F4E78"/>
      </patternFill>
    </fill>
    <fill>
      <patternFill patternType="solid">
        <fgColor rgb="00FFF2CC"/>
      </patternFill>
    </fill>
    <fill>
      <patternFill patternType="solid">
        <fgColor rgb="00E2EFDA"/>
      </patternFill>
    </fill>
    <fill>
      <patternFill patternType="solid">
        <fgColor rgb="00F2F2F2"/>
      </patternFill>
    </fill>
    <fill>
      <patternFill patternType="solid">
        <fgColor rgb="00FCE4D6"/>
      </patternFill>
    </fill>
    <fill>
      <patternFill patternType="solid">
        <fgColor rgb="00D6E4F0"/>
      </patternFill>
    </fill>
    <fill>
      <patternFill patternType="solid">
        <fgColor rgb="00C6EFCE"/>
      </patternFill>
    </fill>
    <fill>
      <patternFill patternType="solid">
        <fgColor rgb="00FFEB9C"/>
      </patternFill>
    </fill>
    <fill>
      <patternFill patternType="solid">
        <fgColor rgb="00FFC7CE"/>
      </patternFill>
    </fill>
  </fills>
  <borders count="9">
    <border>
      <left/>
      <right/>
      <top/>
      <bottom/>
      <diagonal/>
    </border>
    <border>
      <left style="thin">
        <color rgb="00B0B0B0"/>
      </left>
      <right style="thin">
        <color rgb="00B0B0B0"/>
      </right>
      <top style="thin">
        <color rgb="00B0B0B0"/>
      </top>
      <bottom style="thin">
        <color rgb="00B0B0B0"/>
      </bottom>
    </border>
    <border>
      <left style="thin">
        <color rgb="00B0B0B0"/>
      </left>
      <right/>
      <top/>
      <bottom/>
      <diagonal/>
    </border>
    <border>
      <left style="thin">
        <color rgb="00B0B0B0"/>
      </left>
      <right style="thin">
        <color rgb="00B0B0B0"/>
      </right>
      <top/>
      <bottom/>
      <diagonal/>
    </border>
    <border>
      <left style="thin">
        <color rgb="00B0B0B0"/>
      </left>
      <right style="thin">
        <color rgb="00B0B0B0"/>
      </right>
      <top/>
      <bottom style="thin">
        <color rgb="00B0B0B0"/>
      </bottom>
      <diagonal/>
    </border>
    <border>
      <left/>
      <right/>
      <top style="thin">
        <color rgb="00B0B0B0"/>
      </top>
      <bottom/>
      <diagonal/>
    </border>
    <border>
      <left/>
      <right style="thin">
        <color rgb="00B0B0B0"/>
      </right>
      <top style="thin">
        <color rgb="00B0B0B0"/>
      </top>
      <bottom/>
      <diagonal/>
    </border>
    <border>
      <left/>
      <right style="thin">
        <color rgb="00B0B0B0"/>
      </right>
      <top style="thin">
        <color rgb="00B0B0B0"/>
      </top>
      <bottom style="thin">
        <color rgb="00B0B0B0"/>
      </bottom>
      <diagonal/>
    </border>
    <border>
      <left/>
      <right/>
      <top style="thin">
        <color rgb="00B0B0B0"/>
      </top>
      <bottom style="thin">
        <color rgb="00B0B0B0"/>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center" wrapText="1"/>
    </xf>
    <xf numFmtId="0" fontId="4" fillId="0" borderId="0" pivotButton="0" quotePrefix="0" xfId="0"/>
    <xf numFmtId="0" fontId="5" fillId="2" borderId="1" applyAlignment="1" pivotButton="0" quotePrefix="0" xfId="0">
      <alignment horizontal="center" vertical="center" wrapText="1"/>
    </xf>
    <xf numFmtId="0" fontId="0" fillId="3" borderId="1" pivotButton="0" quotePrefix="0" xfId="0"/>
    <xf numFmtId="164" fontId="0" fillId="4" borderId="1" pivotButton="0" quotePrefix="0" xfId="0"/>
    <xf numFmtId="165" fontId="0" fillId="4" borderId="1" pivotButton="0" quotePrefix="0" xfId="0"/>
    <xf numFmtId="0" fontId="0" fillId="4" borderId="1" pivotButton="0" quotePrefix="0" xfId="0"/>
    <xf numFmtId="0" fontId="6" fillId="0" borderId="0" pivotButton="0" quotePrefix="0" xfId="0"/>
    <xf numFmtId="0" fontId="0" fillId="5" borderId="1" pivotButton="0" quotePrefix="0" xfId="0"/>
    <xf numFmtId="0" fontId="0" fillId="0" borderId="1" pivotButton="0" quotePrefix="0" xfId="0"/>
    <xf numFmtId="164" fontId="0" fillId="0" borderId="1" pivotButton="0" quotePrefix="0" xfId="0"/>
    <xf numFmtId="0" fontId="7" fillId="6" borderId="1" pivotButton="0" quotePrefix="0" xfId="0"/>
    <xf numFmtId="165" fontId="0" fillId="0" borderId="1" pivotButton="0" quotePrefix="0" xfId="0"/>
    <xf numFmtId="0" fontId="8" fillId="7" borderId="0" applyAlignment="1" pivotButton="0" quotePrefix="0" xfId="0">
      <alignment horizontal="left" vertical="center"/>
    </xf>
    <xf numFmtId="0" fontId="8" fillId="7" borderId="1" applyAlignment="1" pivotButton="0" quotePrefix="0" xfId="0">
      <alignment horizontal="center" vertical="center" wrapText="1"/>
    </xf>
    <xf numFmtId="0" fontId="9" fillId="8" borderId="0" pivotButton="0" quotePrefix="0" xfId="0"/>
    <xf numFmtId="0" fontId="10" fillId="0" borderId="1" pivotButton="0" quotePrefix="0" xfId="0"/>
    <xf numFmtId="0" fontId="11" fillId="9" borderId="0" pivotButton="0" quotePrefix="0" xfId="0"/>
    <xf numFmtId="0" fontId="12" fillId="10" borderId="0" pivotButton="0" quotePrefix="0" xfId="0"/>
    <xf numFmtId="0" fontId="13" fillId="0" borderId="0" pivotButton="0" quotePrefix="0" xfId="0"/>
    <xf numFmtId="0" fontId="8" fillId="7" borderId="0" pivotButton="0" quotePrefix="0" xfId="0"/>
    <xf numFmtId="0" fontId="0" fillId="3" borderId="0" pivotButton="0" quotePrefix="0" xfId="0"/>
    <xf numFmtId="166" fontId="0" fillId="4" borderId="0" pivotButton="0" quotePrefix="0" xfId="0"/>
    <xf numFmtId="0" fontId="0" fillId="4" borderId="0" pivotButton="0" quotePrefix="0" xfId="0"/>
    <xf numFmtId="0" fontId="2" fillId="6" borderId="0" pivotButton="0" quotePrefix="0" xfId="0"/>
    <xf numFmtId="166" fontId="2" fillId="6" borderId="0" pivotButton="0" quotePrefix="0" xfId="0"/>
    <xf numFmtId="0" fontId="14" fillId="0" borderId="0" pivotButton="0" quotePrefix="0" xfId="0"/>
    <xf numFmtId="0" fontId="14" fillId="3" borderId="0" pivotButton="0" quotePrefix="0" xfId="0"/>
    <xf numFmtId="166" fontId="14" fillId="0" borderId="0" pivotButton="0" quotePrefix="0" xfId="0"/>
    <xf numFmtId="166" fontId="0" fillId="0" borderId="0" pivotButton="0" quotePrefix="0" xfId="0"/>
    <xf numFmtId="0" fontId="15" fillId="0" borderId="0" pivotButton="0" quotePrefix="0" xfId="0"/>
    <xf numFmtId="0" fontId="0" fillId="0" borderId="0" applyAlignment="1" pivotButton="0" quotePrefix="0" xfId="0">
      <alignment vertical="top" wrapText="1"/>
    </xf>
    <xf numFmtId="0" fontId="10" fillId="0" borderId="0" pivotButton="0" quotePrefix="0" xfId="0"/>
    <xf numFmtId="0" fontId="0" fillId="6" borderId="1" pivotButton="0" quotePrefix="0" xfId="0"/>
    <xf numFmtId="0" fontId="8" fillId="7" borderId="0" applyAlignment="1" pivotButton="0" quotePrefix="0" xfId="0">
      <alignment horizontal="center" vertical="center" wrapText="1"/>
    </xf>
    <xf numFmtId="0" fontId="14" fillId="0" borderId="1" applyAlignment="1" pivotButton="0" quotePrefix="0" xfId="0">
      <alignment horizontal="left" vertical="center" wrapText="1"/>
    </xf>
    <xf numFmtId="0" fontId="0" fillId="0" borderId="1" applyAlignment="1" pivotButton="0" quotePrefix="0" xfId="0">
      <alignment horizontal="left" vertical="center" wrapText="1"/>
    </xf>
    <xf numFmtId="0" fontId="16" fillId="0" borderId="0" pivotButton="0" quotePrefix="0" xfId="0"/>
    <xf numFmtId="0" fontId="0" fillId="0" borderId="7" pivotButton="0" quotePrefix="0" xfId="0"/>
    <xf numFmtId="0" fontId="0" fillId="0" borderId="4" pivotButton="0" quotePrefix="0" xfId="0"/>
    <xf numFmtId="0" fontId="0" fillId="0" borderId="8"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31"/>
  <sheetViews>
    <sheetView workbookViewId="0">
      <selection activeCell="A1" sqref="A1"/>
    </sheetView>
  </sheetViews>
  <sheetFormatPr baseColWidth="8" defaultRowHeight="15"/>
  <cols>
    <col width="3" customWidth="1" min="1" max="1"/>
    <col width="28" customWidth="1" min="2" max="2"/>
    <col width="18" customWidth="1" min="3" max="3"/>
    <col width="18" customWidth="1" min="4" max="4"/>
    <col width="18" customWidth="1" min="5" max="5"/>
    <col width="18" customWidth="1" min="6" max="6"/>
    <col width="18" customWidth="1" min="7" max="7"/>
    <col width="18" customWidth="1" min="8" max="8"/>
  </cols>
  <sheetData>
    <row r="2">
      <c r="B2" s="1" t="inlineStr">
        <is>
          <t>金条产线供应商分级 · 上半年盘点计算模板 v2</t>
        </is>
      </c>
    </row>
    <row r="4">
      <c r="B4" s="2" t="inlineStr"/>
      <c r="C4" s="3" t="inlineStr"/>
    </row>
    <row r="5">
      <c r="B5" s="2" t="inlineStr">
        <is>
          <t>📍 颜色含义</t>
        </is>
      </c>
      <c r="C5" s="3" t="inlineStr"/>
    </row>
    <row r="6">
      <c r="B6" s="2" t="inlineStr">
        <is>
          <t>🟡 黄色单元格</t>
        </is>
      </c>
      <c r="C6" s="3" t="inlineStr">
        <is>
          <t>需要你手动填入的数据（原始输入：首贷分/复贷分/合规扣分/供管自评）</t>
        </is>
      </c>
    </row>
    <row r="7">
      <c r="B7" s="2" t="inlineStr">
        <is>
          <t>🟢 绿色单元格</t>
        </is>
      </c>
      <c r="C7" s="3" t="inlineStr">
        <is>
          <t>自动计算的中间结果（不要改）</t>
        </is>
      </c>
    </row>
    <row r="8">
      <c r="B8" s="2" t="inlineStr">
        <is>
          <t>🟠 橙色单元格</t>
        </is>
      </c>
      <c r="C8" s="3" t="inlineStr">
        <is>
          <t>最终结果（评级、清单等）</t>
        </is>
      </c>
    </row>
    <row r="9">
      <c r="B9" s="2" t="inlineStr">
        <is>
          <t>⚪ 灰色单元格</t>
        </is>
      </c>
      <c r="C9" s="3" t="inlineStr">
        <is>
          <t>默认值（稳定性已预填B档，有异常才改）</t>
        </is>
      </c>
    </row>
    <row r="10">
      <c r="B10" s="2" t="inlineStr"/>
      <c r="C10" s="3" t="inlineStr"/>
    </row>
    <row r="11">
      <c r="B11" s="2" t="inlineStr">
        <is>
          <t>📋 操作步骤</t>
        </is>
      </c>
      <c r="C11" s="3" t="inlineStr"/>
    </row>
    <row r="12">
      <c r="B12" s="2" t="inlineStr">
        <is>
          <t>Step 1</t>
        </is>
      </c>
      <c r="C12" s="3" t="inlineStr">
        <is>
          <t>打开「1.赛马分原始数据」填入 12 家供应商 × 6 个月的首贷分+复贷分</t>
        </is>
      </c>
    </row>
    <row r="13">
      <c r="B13" s="2" t="inlineStr">
        <is>
          <t>Step 2</t>
        </is>
      </c>
      <c r="C13" s="3" t="inlineStr">
        <is>
          <t>打开「2.SLA扣分台账」填入 Q2 的黄牌/投诉/红线事件次数</t>
        </is>
      </c>
    </row>
    <row r="14">
      <c r="B14" s="2" t="inlineStr">
        <is>
          <t>Step 3</t>
        </is>
      </c>
      <c r="C14" s="3" t="inlineStr">
        <is>
          <t>打开「3.稳定性检查表」默认已预填B档，有异常才改A/C</t>
        </is>
      </c>
    </row>
    <row r="15">
      <c r="B15" s="2" t="inlineStr">
        <is>
          <t>Step 4</t>
        </is>
      </c>
      <c r="C15" s="3" t="inlineStr">
        <is>
          <t>打开「4.供管自评表」对每家5项打 高/中/低</t>
        </is>
      </c>
    </row>
    <row r="16">
      <c r="B16" s="2" t="inlineStr">
        <is>
          <t>Step 5</t>
        </is>
      </c>
      <c r="C16" s="3" t="inlineStr">
        <is>
          <t>打开「5.评级结果」查看自动计算结果（含偏科标记）</t>
        </is>
      </c>
    </row>
    <row r="17">
      <c r="B17" s="2" t="inlineStr">
        <is>
          <t>Step 6</t>
        </is>
      </c>
      <c r="C17" s="3" t="inlineStr">
        <is>
          <t>打开「6.三张清单」查看 A/B/C 级分组</t>
        </is>
      </c>
    </row>
    <row r="18">
      <c r="B18" s="2" t="inlineStr">
        <is>
          <t>Step 7</t>
        </is>
      </c>
      <c r="C18" s="3" t="inlineStr">
        <is>
          <t>打开「7.集中度管控」检查 A 级产能占比</t>
        </is>
      </c>
    </row>
    <row r="19">
      <c r="B19" s="2" t="inlineStr">
        <is>
          <t>Step 8</t>
        </is>
      </c>
      <c r="C19" s="3" t="inlineStr">
        <is>
          <t>打开「8.清退路径」查看 C 级供应商的处理路径</t>
        </is>
      </c>
    </row>
    <row r="20">
      <c r="B20" s="2" t="inlineStr"/>
      <c r="C20" s="3" t="inlineStr"/>
    </row>
    <row r="21">
      <c r="B21" s="2" t="inlineStr">
        <is>
          <t>⚠️ v2 新增：首贷/复贷处理</t>
        </is>
      </c>
      <c r="C21" s="3" t="inlineStr"/>
    </row>
    <row r="22">
      <c r="B22" s="2" t="inlineStr">
        <is>
          <t>规则</t>
        </is>
      </c>
      <c r="C22" s="3" t="inlineStr">
        <is>
          <t>月度赛马分 = (首贷分 + 复贷分) / 2</t>
        </is>
      </c>
    </row>
    <row r="23">
      <c r="B23" s="2" t="inlineStr">
        <is>
          <t>偏科标记</t>
        </is>
      </c>
      <c r="C23" s="3" t="inlineStr">
        <is>
          <t>首贷复贷分差&gt;10分 → 标记偏科（首贷偏强/复贷偏强）</t>
        </is>
      </c>
    </row>
    <row r="24">
      <c r="B24" s="2" t="inlineStr"/>
      <c r="C24" s="3" t="inlineStr"/>
    </row>
    <row r="25">
      <c r="B25" s="2" t="inlineStr">
        <is>
          <t>⚠️ 注意事项</t>
        </is>
      </c>
      <c r="C25" s="3" t="inlineStr"/>
    </row>
    <row r="26">
      <c r="B26" s="2" t="inlineStr">
        <is>
          <t>1</t>
        </is>
      </c>
      <c r="C26" s="3" t="inlineStr">
        <is>
          <t>供应商ID/名称在 Sheet1 填一次，其他 Sheet 会自动带出</t>
        </is>
      </c>
    </row>
    <row r="27">
      <c r="B27" s="2" t="inlineStr">
        <is>
          <t>2</t>
        </is>
      </c>
      <c r="C27" s="3" t="inlineStr">
        <is>
          <t>赛马分缺失的月份填 0，并在备注列说明</t>
        </is>
      </c>
    </row>
    <row r="28">
      <c r="B28" s="2" t="inlineStr">
        <is>
          <t>3</t>
        </is>
      </c>
      <c r="C28" s="3" t="inlineStr">
        <is>
          <t>红线违规=直接C级，不走分数计算</t>
        </is>
      </c>
    </row>
    <row r="29">
      <c r="B29" s="2" t="inlineStr">
        <is>
          <t>4</t>
        </is>
      </c>
      <c r="C29" s="3" t="inlineStr">
        <is>
          <t>12家样本下，前30%=前4名、中40%=5-9名、后30%=10-12名</t>
        </is>
      </c>
    </row>
    <row r="30">
      <c r="B30" s="2" t="inlineStr">
        <is>
          <t>5</t>
        </is>
      </c>
      <c r="C30" s="3" t="inlineStr">
        <is>
          <t>趋势Y轴用Q1vsQ2赛马基础分环比，阈值±10%</t>
        </is>
      </c>
    </row>
    <row r="31">
      <c r="B31" s="2" t="inlineStr">
        <is>
          <t>6</t>
        </is>
      </c>
      <c r="C31" s="3" t="inlineStr">
        <is>
          <t>临界点（第4/5名、第9/10名分差&lt;2分）需人工复核</t>
        </is>
      </c>
    </row>
  </sheetData>
  <mergeCells count="29">
    <mergeCell ref="C25:H25"/>
    <mergeCell ref="C10:H10"/>
    <mergeCell ref="C16:H16"/>
    <mergeCell ref="C22:H22"/>
    <mergeCell ref="C9:H9"/>
    <mergeCell ref="C31:H31"/>
    <mergeCell ref="C12:H12"/>
    <mergeCell ref="C21:H21"/>
    <mergeCell ref="C11:H11"/>
    <mergeCell ref="C27:H27"/>
    <mergeCell ref="C23:H23"/>
    <mergeCell ref="C8:H8"/>
    <mergeCell ref="C17:H17"/>
    <mergeCell ref="C7:H7"/>
    <mergeCell ref="C19:H19"/>
    <mergeCell ref="C28:H28"/>
    <mergeCell ref="C13:H13"/>
    <mergeCell ref="B2:H2"/>
    <mergeCell ref="C18:H18"/>
    <mergeCell ref="C30:H30"/>
    <mergeCell ref="C15:H15"/>
    <mergeCell ref="C6:H6"/>
    <mergeCell ref="C24:H24"/>
    <mergeCell ref="C14:H14"/>
    <mergeCell ref="C5:H5"/>
    <mergeCell ref="C4:H4"/>
    <mergeCell ref="C26:H26"/>
    <mergeCell ref="C29:H29"/>
    <mergeCell ref="C20:H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7"/>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8" customWidth="1" min="22" max="22"/>
    <col width="12" customWidth="1" min="23" max="23"/>
    <col width="16" customWidth="1" min="24" max="24"/>
  </cols>
  <sheetData>
    <row r="1">
      <c r="A1" s="1" t="inlineStr">
        <is>
          <t>📊 赛马月度评分 - 原始数据（首贷+复贷 → 算术平均）</t>
        </is>
      </c>
    </row>
    <row r="2">
      <c r="A2" s="4" t="inlineStr">
        <is>
          <t>规则：月度赛马分 = (首贷分 + 复贷分) / 2 | Q1基础分 = (Q1首贷均 + Q1复贷均) / 2</t>
        </is>
      </c>
    </row>
    <row r="4">
      <c r="A4" s="5" t="inlineStr">
        <is>
          <t>供应商ID</t>
        </is>
      </c>
      <c r="B4" s="5" t="inlineStr">
        <is>
          <t>供应商名称</t>
        </is>
      </c>
      <c r="C4" s="5" t="inlineStr">
        <is>
          <t>1月</t>
        </is>
      </c>
      <c r="D4" s="41" t="n"/>
      <c r="E4" s="5" t="inlineStr">
        <is>
          <t>2月</t>
        </is>
      </c>
      <c r="F4" s="41" t="n"/>
      <c r="G4" s="5" t="inlineStr">
        <is>
          <t>3月</t>
        </is>
      </c>
      <c r="H4" s="41" t="n"/>
      <c r="I4" s="5" t="inlineStr">
        <is>
          <t>4月</t>
        </is>
      </c>
      <c r="J4" s="41" t="n"/>
      <c r="K4" s="5" t="inlineStr">
        <is>
          <t>5月</t>
        </is>
      </c>
      <c r="L4" s="41" t="n"/>
      <c r="M4" s="5" t="inlineStr">
        <is>
          <t>6月</t>
        </is>
      </c>
      <c r="N4" s="41" t="n"/>
      <c r="O4" s="5" t="inlineStr">
        <is>
          <t>Q1首贷均</t>
        </is>
      </c>
      <c r="P4" s="5" t="inlineStr">
        <is>
          <t>Q2首贷均</t>
        </is>
      </c>
      <c r="Q4" s="5" t="inlineStr">
        <is>
          <t>Q1复贷均</t>
        </is>
      </c>
      <c r="R4" s="5" t="inlineStr">
        <is>
          <t>Q2复贷均</t>
        </is>
      </c>
      <c r="S4" s="5" t="inlineStr">
        <is>
          <t>Q1基础分</t>
        </is>
      </c>
      <c r="T4" s="5" t="inlineStr">
        <is>
          <t>Q2基础分</t>
        </is>
      </c>
      <c r="U4" s="5" t="inlineStr">
        <is>
          <t>环比%</t>
        </is>
      </c>
      <c r="V4" s="5" t="inlineStr">
        <is>
          <t>Y档</t>
        </is>
      </c>
      <c r="W4" s="5" t="inlineStr">
        <is>
          <t>偏科标记</t>
        </is>
      </c>
      <c r="X4" s="5" t="inlineStr">
        <is>
          <t>备注</t>
        </is>
      </c>
    </row>
    <row r="5">
      <c r="A5" s="42" t="n"/>
      <c r="B5" s="42" t="n"/>
      <c r="C5" s="5" t="inlineStr">
        <is>
          <t>首贷分</t>
        </is>
      </c>
      <c r="D5" s="5" t="inlineStr">
        <is>
          <t>复贷分</t>
        </is>
      </c>
      <c r="E5" s="5" t="inlineStr">
        <is>
          <t>首贷分</t>
        </is>
      </c>
      <c r="F5" s="5" t="inlineStr">
        <is>
          <t>复贷分</t>
        </is>
      </c>
      <c r="G5" s="5" t="inlineStr">
        <is>
          <t>首贷分</t>
        </is>
      </c>
      <c r="H5" s="5" t="inlineStr">
        <is>
          <t>复贷分</t>
        </is>
      </c>
      <c r="I5" s="5" t="inlineStr">
        <is>
          <t>首贷分</t>
        </is>
      </c>
      <c r="J5" s="5" t="inlineStr">
        <is>
          <t>复贷分</t>
        </is>
      </c>
      <c r="K5" s="5" t="inlineStr">
        <is>
          <t>首贷分</t>
        </is>
      </c>
      <c r="L5" s="5" t="inlineStr">
        <is>
          <t>复贷分</t>
        </is>
      </c>
      <c r="M5" s="5" t="inlineStr">
        <is>
          <t>首贷分</t>
        </is>
      </c>
      <c r="N5" s="5" t="inlineStr">
        <is>
          <t>复贷分</t>
        </is>
      </c>
      <c r="O5" s="42" t="n"/>
      <c r="P5" s="42" t="n"/>
      <c r="Q5" s="42" t="n"/>
      <c r="R5" s="42" t="n"/>
      <c r="S5" s="42" t="n"/>
      <c r="T5" s="42" t="n"/>
      <c r="U5" s="42" t="n"/>
      <c r="V5" s="42" t="n"/>
      <c r="W5" s="42" t="n"/>
      <c r="X5" s="42" t="n"/>
    </row>
    <row r="6">
      <c r="A6" s="6" t="inlineStr">
        <is>
          <t>S001</t>
        </is>
      </c>
      <c r="B6" s="6" t="inlineStr">
        <is>
          <t>供应商A-均衡优</t>
        </is>
      </c>
      <c r="C6" s="6" t="n">
        <v>92</v>
      </c>
      <c r="D6" s="6" t="n">
        <v>90</v>
      </c>
      <c r="E6" s="6" t="n">
        <v>94</v>
      </c>
      <c r="F6" s="6" t="n">
        <v>92</v>
      </c>
      <c r="G6" s="6" t="n">
        <v>90</v>
      </c>
      <c r="H6" s="6" t="n">
        <v>88</v>
      </c>
      <c r="I6" s="6" t="n">
        <v>93</v>
      </c>
      <c r="J6" s="6" t="n">
        <v>91</v>
      </c>
      <c r="K6" s="6" t="n">
        <v>95</v>
      </c>
      <c r="L6" s="6" t="n">
        <v>93</v>
      </c>
      <c r="M6" s="6" t="n">
        <v>91</v>
      </c>
      <c r="N6" s="6" t="n">
        <v>89</v>
      </c>
      <c r="O6" s="7">
        <f>IFERROR(AVERAGE(C6,E6,G6),0)</f>
        <v/>
      </c>
      <c r="P6" s="7">
        <f>IFERROR(AVERAGE(I6,K6,M6),0)</f>
        <v/>
      </c>
      <c r="Q6" s="7">
        <f>IFERROR(AVERAGE(D6,F6,H6),0)</f>
        <v/>
      </c>
      <c r="R6" s="7">
        <f>IFERROR(AVERAGE(J6,L6,N6),0)</f>
        <v/>
      </c>
      <c r="S6" s="7">
        <f>ROUND((O6+Q6)/2,1)</f>
        <v/>
      </c>
      <c r="T6" s="7">
        <f>ROUND((P6+R6)/2,1)</f>
        <v/>
      </c>
      <c r="U6" s="8">
        <f>IF(S6=0,"",ROUND((T6-S6)/S6*100,1))</f>
        <v/>
      </c>
      <c r="V6" s="9">
        <f>IF(U6="","数据不全",IF(U6&gt;10,"上升",IF(U6&lt;-10,"下降","持平")))</f>
        <v/>
      </c>
      <c r="W6" s="9">
        <f>IF(ABS(P6-R6)&lt;=10,"⚖️均衡",IF(P6-R6&gt;10,"↗️首贷偏强","↘️复贷偏强"))</f>
        <v/>
      </c>
      <c r="X6" s="6" t="n"/>
    </row>
    <row r="7">
      <c r="A7" s="6" t="inlineStr">
        <is>
          <t>S002</t>
        </is>
      </c>
      <c r="B7" s="6" t="inlineStr">
        <is>
          <t>供应商B-首贷强</t>
        </is>
      </c>
      <c r="C7" s="6" t="n">
        <v>95</v>
      </c>
      <c r="D7" s="6" t="n">
        <v>75</v>
      </c>
      <c r="E7" s="6" t="n">
        <v>97</v>
      </c>
      <c r="F7" s="6" t="n">
        <v>78</v>
      </c>
      <c r="G7" s="6" t="n">
        <v>93</v>
      </c>
      <c r="H7" s="6" t="n">
        <v>72</v>
      </c>
      <c r="I7" s="6" t="n">
        <v>96</v>
      </c>
      <c r="J7" s="6" t="n">
        <v>74</v>
      </c>
      <c r="K7" s="6" t="n">
        <v>98</v>
      </c>
      <c r="L7" s="6" t="n">
        <v>76</v>
      </c>
      <c r="M7" s="6" t="n">
        <v>94</v>
      </c>
      <c r="N7" s="6" t="n">
        <v>70</v>
      </c>
      <c r="O7" s="7">
        <f>IFERROR(AVERAGE(C7,E7,G7),0)</f>
        <v/>
      </c>
      <c r="P7" s="7">
        <f>IFERROR(AVERAGE(I7,K7,M7),0)</f>
        <v/>
      </c>
      <c r="Q7" s="7">
        <f>IFERROR(AVERAGE(D7,F7,H7),0)</f>
        <v/>
      </c>
      <c r="R7" s="7">
        <f>IFERROR(AVERAGE(J7,L7,N7),0)</f>
        <v/>
      </c>
      <c r="S7" s="7">
        <f>ROUND((O7+Q7)/2,1)</f>
        <v/>
      </c>
      <c r="T7" s="7">
        <f>ROUND((P7+R7)/2,1)</f>
        <v/>
      </c>
      <c r="U7" s="8">
        <f>IF(S7=0,"",ROUND((T7-S7)/S7*100,1))</f>
        <v/>
      </c>
      <c r="V7" s="9">
        <f>IF(U7="","数据不全",IF(U7&gt;10,"上升",IF(U7&lt;-10,"下降","持平")))</f>
        <v/>
      </c>
      <c r="W7" s="9">
        <f>IF(ABS(P7-R7)&lt;=10,"⚖️均衡",IF(P7-R7&gt;10,"↗️首贷偏强","↘️复贷偏强"))</f>
        <v/>
      </c>
      <c r="X7" s="6" t="n"/>
    </row>
    <row r="8">
      <c r="A8" s="6" t="inlineStr">
        <is>
          <t>S003</t>
        </is>
      </c>
      <c r="B8" s="6" t="inlineStr">
        <is>
          <t>供应商C-均衡良</t>
        </is>
      </c>
      <c r="C8" s="6" t="n">
        <v>85</v>
      </c>
      <c r="D8" s="6" t="n">
        <v>83</v>
      </c>
      <c r="E8" s="6" t="n">
        <v>87</v>
      </c>
      <c r="F8" s="6" t="n">
        <v>85</v>
      </c>
      <c r="G8" s="6" t="n">
        <v>83</v>
      </c>
      <c r="H8" s="6" t="n">
        <v>81</v>
      </c>
      <c r="I8" s="6" t="n">
        <v>88</v>
      </c>
      <c r="J8" s="6" t="n">
        <v>86</v>
      </c>
      <c r="K8" s="6" t="n">
        <v>90</v>
      </c>
      <c r="L8" s="6" t="n">
        <v>88</v>
      </c>
      <c r="M8" s="6" t="n">
        <v>86</v>
      </c>
      <c r="N8" s="6" t="n">
        <v>84</v>
      </c>
      <c r="O8" s="7">
        <f>IFERROR(AVERAGE(C8,E8,G8),0)</f>
        <v/>
      </c>
      <c r="P8" s="7">
        <f>IFERROR(AVERAGE(I8,K8,M8),0)</f>
        <v/>
      </c>
      <c r="Q8" s="7">
        <f>IFERROR(AVERAGE(D8,F8,H8),0)</f>
        <v/>
      </c>
      <c r="R8" s="7">
        <f>IFERROR(AVERAGE(J8,L8,N8),0)</f>
        <v/>
      </c>
      <c r="S8" s="7">
        <f>ROUND((O8+Q8)/2,1)</f>
        <v/>
      </c>
      <c r="T8" s="7">
        <f>ROUND((P8+R8)/2,1)</f>
        <v/>
      </c>
      <c r="U8" s="8">
        <f>IF(S8=0,"",ROUND((T8-S8)/S8*100,1))</f>
        <v/>
      </c>
      <c r="V8" s="9">
        <f>IF(U8="","数据不全",IF(U8&gt;10,"上升",IF(U8&lt;-10,"下降","持平")))</f>
        <v/>
      </c>
      <c r="W8" s="9">
        <f>IF(ABS(P8-R8)&lt;=10,"⚖️均衡",IF(P8-R8&gt;10,"↗️首贷偏强","↘️复贷偏强"))</f>
        <v/>
      </c>
      <c r="X8" s="6" t="n"/>
    </row>
    <row r="9">
      <c r="A9" s="6" t="inlineStr">
        <is>
          <t>S004</t>
        </is>
      </c>
      <c r="B9" s="6" t="inlineStr">
        <is>
          <t>供应商D-复贷强</t>
        </is>
      </c>
      <c r="C9" s="6" t="n">
        <v>72</v>
      </c>
      <c r="D9" s="6" t="n">
        <v>88</v>
      </c>
      <c r="E9" s="6" t="n">
        <v>74</v>
      </c>
      <c r="F9" s="6" t="n">
        <v>90</v>
      </c>
      <c r="G9" s="6" t="n">
        <v>70</v>
      </c>
      <c r="H9" s="6" t="n">
        <v>86</v>
      </c>
      <c r="I9" s="6" t="n">
        <v>76</v>
      </c>
      <c r="J9" s="6" t="n">
        <v>92</v>
      </c>
      <c r="K9" s="6" t="n">
        <v>78</v>
      </c>
      <c r="L9" s="6" t="n">
        <v>94</v>
      </c>
      <c r="M9" s="6" t="n">
        <v>74</v>
      </c>
      <c r="N9" s="6" t="n">
        <v>90</v>
      </c>
      <c r="O9" s="7">
        <f>IFERROR(AVERAGE(C9,E9,G9),0)</f>
        <v/>
      </c>
      <c r="P9" s="7">
        <f>IFERROR(AVERAGE(I9,K9,M9),0)</f>
        <v/>
      </c>
      <c r="Q9" s="7">
        <f>IFERROR(AVERAGE(D9,F9,H9),0)</f>
        <v/>
      </c>
      <c r="R9" s="7">
        <f>IFERROR(AVERAGE(J9,L9,N9),0)</f>
        <v/>
      </c>
      <c r="S9" s="7">
        <f>ROUND((O9+Q9)/2,1)</f>
        <v/>
      </c>
      <c r="T9" s="7">
        <f>ROUND((P9+R9)/2,1)</f>
        <v/>
      </c>
      <c r="U9" s="8">
        <f>IF(S9=0,"",ROUND((T9-S9)/S9*100,1))</f>
        <v/>
      </c>
      <c r="V9" s="9">
        <f>IF(U9="","数据不全",IF(U9&gt;10,"上升",IF(U9&lt;-10,"下降","持平")))</f>
        <v/>
      </c>
      <c r="W9" s="9">
        <f>IF(ABS(P9-R9)&lt;=10,"⚖️均衡",IF(P9-R9&gt;10,"↗️首贷偏强","↘️复贷偏强"))</f>
        <v/>
      </c>
      <c r="X9" s="6" t="n"/>
    </row>
    <row r="10">
      <c r="A10" s="6" t="inlineStr">
        <is>
          <t>S005</t>
        </is>
      </c>
      <c r="B10" s="6" t="inlineStr">
        <is>
          <t>供应商E-中上</t>
        </is>
      </c>
      <c r="C10" s="6" t="n">
        <v>80</v>
      </c>
      <c r="D10" s="6" t="n">
        <v>78</v>
      </c>
      <c r="E10" s="6" t="n">
        <v>82</v>
      </c>
      <c r="F10" s="6" t="n">
        <v>80</v>
      </c>
      <c r="G10" s="6" t="n">
        <v>78</v>
      </c>
      <c r="H10" s="6" t="n">
        <v>76</v>
      </c>
      <c r="I10" s="6" t="n">
        <v>84</v>
      </c>
      <c r="J10" s="6" t="n">
        <v>82</v>
      </c>
      <c r="K10" s="6" t="n">
        <v>86</v>
      </c>
      <c r="L10" s="6" t="n">
        <v>84</v>
      </c>
      <c r="M10" s="6" t="n">
        <v>82</v>
      </c>
      <c r="N10" s="6" t="n">
        <v>80</v>
      </c>
      <c r="O10" s="7">
        <f>IFERROR(AVERAGE(C10,E10,G10),0)</f>
        <v/>
      </c>
      <c r="P10" s="7">
        <f>IFERROR(AVERAGE(I10,K10,M10),0)</f>
        <v/>
      </c>
      <c r="Q10" s="7">
        <f>IFERROR(AVERAGE(D10,F10,H10),0)</f>
        <v/>
      </c>
      <c r="R10" s="7">
        <f>IFERROR(AVERAGE(J10,L10,N10),0)</f>
        <v/>
      </c>
      <c r="S10" s="7">
        <f>ROUND((O10+Q10)/2,1)</f>
        <v/>
      </c>
      <c r="T10" s="7">
        <f>ROUND((P10+R10)/2,1)</f>
        <v/>
      </c>
      <c r="U10" s="8">
        <f>IF(S10=0,"",ROUND((T10-S10)/S10*100,1))</f>
        <v/>
      </c>
      <c r="V10" s="9">
        <f>IF(U10="","数据不全",IF(U10&gt;10,"上升",IF(U10&lt;-10,"下降","持平")))</f>
        <v/>
      </c>
      <c r="W10" s="9">
        <f>IF(ABS(P10-R10)&lt;=10,"⚖️均衡",IF(P10-R10&gt;10,"↗️首贷偏强","↘️复贷偏强"))</f>
        <v/>
      </c>
      <c r="X10" s="6" t="n"/>
    </row>
    <row r="11">
      <c r="A11" s="6" t="inlineStr">
        <is>
          <t>S006</t>
        </is>
      </c>
      <c r="B11" s="6" t="inlineStr">
        <is>
          <t>供应商F-中</t>
        </is>
      </c>
      <c r="C11" s="6" t="n">
        <v>75</v>
      </c>
      <c r="D11" s="6" t="n">
        <v>73</v>
      </c>
      <c r="E11" s="6" t="n">
        <v>77</v>
      </c>
      <c r="F11" s="6" t="n">
        <v>75</v>
      </c>
      <c r="G11" s="6" t="n">
        <v>73</v>
      </c>
      <c r="H11" s="6" t="n">
        <v>71</v>
      </c>
      <c r="I11" s="6" t="n">
        <v>78</v>
      </c>
      <c r="J11" s="6" t="n">
        <v>76</v>
      </c>
      <c r="K11" s="6" t="n">
        <v>80</v>
      </c>
      <c r="L11" s="6" t="n">
        <v>78</v>
      </c>
      <c r="M11" s="6" t="n">
        <v>76</v>
      </c>
      <c r="N11" s="6" t="n">
        <v>74</v>
      </c>
      <c r="O11" s="7">
        <f>IFERROR(AVERAGE(C11,E11,G11),0)</f>
        <v/>
      </c>
      <c r="P11" s="7">
        <f>IFERROR(AVERAGE(I11,K11,M11),0)</f>
        <v/>
      </c>
      <c r="Q11" s="7">
        <f>IFERROR(AVERAGE(D11,F11,H11),0)</f>
        <v/>
      </c>
      <c r="R11" s="7">
        <f>IFERROR(AVERAGE(J11,L11,N11),0)</f>
        <v/>
      </c>
      <c r="S11" s="7">
        <f>ROUND((O11+Q11)/2,1)</f>
        <v/>
      </c>
      <c r="T11" s="7">
        <f>ROUND((P11+R11)/2,1)</f>
        <v/>
      </c>
      <c r="U11" s="8">
        <f>IF(S11=0,"",ROUND((T11-S11)/S11*100,1))</f>
        <v/>
      </c>
      <c r="V11" s="9">
        <f>IF(U11="","数据不全",IF(U11&gt;10,"上升",IF(U11&lt;-10,"下降","持平")))</f>
        <v/>
      </c>
      <c r="W11" s="9">
        <f>IF(ABS(P11-R11)&lt;=10,"⚖️均衡",IF(P11-R11&gt;10,"↗️首贷偏强","↘️复贷偏强"))</f>
        <v/>
      </c>
      <c r="X11" s="6" t="n"/>
    </row>
    <row r="12">
      <c r="A12" s="6" t="inlineStr">
        <is>
          <t>S007</t>
        </is>
      </c>
      <c r="B12" s="6" t="inlineStr">
        <is>
          <t>供应商G-中</t>
        </is>
      </c>
      <c r="C12" s="6" t="n">
        <v>72</v>
      </c>
      <c r="D12" s="6" t="n">
        <v>70</v>
      </c>
      <c r="E12" s="6" t="n">
        <v>74</v>
      </c>
      <c r="F12" s="6" t="n">
        <v>72</v>
      </c>
      <c r="G12" s="6" t="n">
        <v>70</v>
      </c>
      <c r="H12" s="6" t="n">
        <v>68</v>
      </c>
      <c r="I12" s="6" t="n">
        <v>76</v>
      </c>
      <c r="J12" s="6" t="n">
        <v>74</v>
      </c>
      <c r="K12" s="6" t="n">
        <v>78</v>
      </c>
      <c r="L12" s="6" t="n">
        <v>76</v>
      </c>
      <c r="M12" s="6" t="n">
        <v>74</v>
      </c>
      <c r="N12" s="6" t="n">
        <v>72</v>
      </c>
      <c r="O12" s="7">
        <f>IFERROR(AVERAGE(C12,E12,G12),0)</f>
        <v/>
      </c>
      <c r="P12" s="7">
        <f>IFERROR(AVERAGE(I12,K12,M12),0)</f>
        <v/>
      </c>
      <c r="Q12" s="7">
        <f>IFERROR(AVERAGE(D12,F12,H12),0)</f>
        <v/>
      </c>
      <c r="R12" s="7">
        <f>IFERROR(AVERAGE(J12,L12,N12),0)</f>
        <v/>
      </c>
      <c r="S12" s="7">
        <f>ROUND((O12+Q12)/2,1)</f>
        <v/>
      </c>
      <c r="T12" s="7">
        <f>ROUND((P12+R12)/2,1)</f>
        <v/>
      </c>
      <c r="U12" s="8">
        <f>IF(S12=0,"",ROUND((T12-S12)/S12*100,1))</f>
        <v/>
      </c>
      <c r="V12" s="9">
        <f>IF(U12="","数据不全",IF(U12&gt;10,"上升",IF(U12&lt;-10,"下降","持平")))</f>
        <v/>
      </c>
      <c r="W12" s="9">
        <f>IF(ABS(P12-R12)&lt;=10,"⚖️均衡",IF(P12-R12&gt;10,"↗️首贷偏强","↘️复贷偏强"))</f>
        <v/>
      </c>
      <c r="X12" s="6" t="n"/>
    </row>
    <row r="13">
      <c r="A13" s="6" t="inlineStr">
        <is>
          <t>S008</t>
        </is>
      </c>
      <c r="B13" s="6" t="inlineStr">
        <is>
          <t>供应商H-中下</t>
        </is>
      </c>
      <c r="C13" s="6" t="n">
        <v>68</v>
      </c>
      <c r="D13" s="6" t="n">
        <v>66</v>
      </c>
      <c r="E13" s="6" t="n">
        <v>70</v>
      </c>
      <c r="F13" s="6" t="n">
        <v>68</v>
      </c>
      <c r="G13" s="6" t="n">
        <v>66</v>
      </c>
      <c r="H13" s="6" t="n">
        <v>64</v>
      </c>
      <c r="I13" s="6" t="n">
        <v>72</v>
      </c>
      <c r="J13" s="6" t="n">
        <v>70</v>
      </c>
      <c r="K13" s="6" t="n">
        <v>74</v>
      </c>
      <c r="L13" s="6" t="n">
        <v>72</v>
      </c>
      <c r="M13" s="6" t="n">
        <v>70</v>
      </c>
      <c r="N13" s="6" t="n">
        <v>68</v>
      </c>
      <c r="O13" s="7">
        <f>IFERROR(AVERAGE(C13,E13,G13),0)</f>
        <v/>
      </c>
      <c r="P13" s="7">
        <f>IFERROR(AVERAGE(I13,K13,M13),0)</f>
        <v/>
      </c>
      <c r="Q13" s="7">
        <f>IFERROR(AVERAGE(D13,F13,H13),0)</f>
        <v/>
      </c>
      <c r="R13" s="7">
        <f>IFERROR(AVERAGE(J13,L13,N13),0)</f>
        <v/>
      </c>
      <c r="S13" s="7">
        <f>ROUND((O13+Q13)/2,1)</f>
        <v/>
      </c>
      <c r="T13" s="7">
        <f>ROUND((P13+R13)/2,1)</f>
        <v/>
      </c>
      <c r="U13" s="8">
        <f>IF(S13=0,"",ROUND((T13-S13)/S13*100,1))</f>
        <v/>
      </c>
      <c r="V13" s="9">
        <f>IF(U13="","数据不全",IF(U13&gt;10,"上升",IF(U13&lt;-10,"下降","持平")))</f>
        <v/>
      </c>
      <c r="W13" s="9">
        <f>IF(ABS(P13-R13)&lt;=10,"⚖️均衡",IF(P13-R13&gt;10,"↗️首贷偏强","↘️复贷偏强"))</f>
        <v/>
      </c>
      <c r="X13" s="6" t="n"/>
    </row>
    <row r="14">
      <c r="A14" s="6" t="inlineStr">
        <is>
          <t>S009</t>
        </is>
      </c>
      <c r="B14" s="6" t="inlineStr">
        <is>
          <t>供应商I-中边</t>
        </is>
      </c>
      <c r="C14" s="6" t="n">
        <v>65</v>
      </c>
      <c r="D14" s="6" t="n">
        <v>63</v>
      </c>
      <c r="E14" s="6" t="n">
        <v>67</v>
      </c>
      <c r="F14" s="6" t="n">
        <v>65</v>
      </c>
      <c r="G14" s="6" t="n">
        <v>63</v>
      </c>
      <c r="H14" s="6" t="n">
        <v>61</v>
      </c>
      <c r="I14" s="6" t="n">
        <v>69</v>
      </c>
      <c r="J14" s="6" t="n">
        <v>67</v>
      </c>
      <c r="K14" s="6" t="n">
        <v>71</v>
      </c>
      <c r="L14" s="6" t="n">
        <v>69</v>
      </c>
      <c r="M14" s="6" t="n">
        <v>67</v>
      </c>
      <c r="N14" s="6" t="n">
        <v>65</v>
      </c>
      <c r="O14" s="7">
        <f>IFERROR(AVERAGE(C14,E14,G14),0)</f>
        <v/>
      </c>
      <c r="P14" s="7">
        <f>IFERROR(AVERAGE(I14,K14,M14),0)</f>
        <v/>
      </c>
      <c r="Q14" s="7">
        <f>IFERROR(AVERAGE(D14,F14,H14),0)</f>
        <v/>
      </c>
      <c r="R14" s="7">
        <f>IFERROR(AVERAGE(J14,L14,N14),0)</f>
        <v/>
      </c>
      <c r="S14" s="7">
        <f>ROUND((O14+Q14)/2,1)</f>
        <v/>
      </c>
      <c r="T14" s="7">
        <f>ROUND((P14+R14)/2,1)</f>
        <v/>
      </c>
      <c r="U14" s="8">
        <f>IF(S14=0,"",ROUND((T14-S14)/S14*100,1))</f>
        <v/>
      </c>
      <c r="V14" s="9">
        <f>IF(U14="","数据不全",IF(U14&gt;10,"上升",IF(U14&lt;-10,"下降","持平")))</f>
        <v/>
      </c>
      <c r="W14" s="9">
        <f>IF(ABS(P14-R14)&lt;=10,"⚖️均衡",IF(P14-R14&gt;10,"↗️首贷偏强","↘️复贷偏强"))</f>
        <v/>
      </c>
      <c r="X14" s="6" t="n"/>
    </row>
    <row r="15">
      <c r="A15" s="6" t="inlineStr">
        <is>
          <t>S010</t>
        </is>
      </c>
      <c r="B15" s="6" t="inlineStr">
        <is>
          <t>供应商J-差边</t>
        </is>
      </c>
      <c r="C15" s="6" t="n">
        <v>60</v>
      </c>
      <c r="D15" s="6" t="n">
        <v>58</v>
      </c>
      <c r="E15" s="6" t="n">
        <v>62</v>
      </c>
      <c r="F15" s="6" t="n">
        <v>60</v>
      </c>
      <c r="G15" s="6" t="n">
        <v>58</v>
      </c>
      <c r="H15" s="6" t="n">
        <v>56</v>
      </c>
      <c r="I15" s="6" t="n">
        <v>64</v>
      </c>
      <c r="J15" s="6" t="n">
        <v>62</v>
      </c>
      <c r="K15" s="6" t="n">
        <v>66</v>
      </c>
      <c r="L15" s="6" t="n">
        <v>64</v>
      </c>
      <c r="M15" s="6" t="n">
        <v>62</v>
      </c>
      <c r="N15" s="6" t="n">
        <v>60</v>
      </c>
      <c r="O15" s="7">
        <f>IFERROR(AVERAGE(C15,E15,G15),0)</f>
        <v/>
      </c>
      <c r="P15" s="7">
        <f>IFERROR(AVERAGE(I15,K15,M15),0)</f>
        <v/>
      </c>
      <c r="Q15" s="7">
        <f>IFERROR(AVERAGE(D15,F15,H15),0)</f>
        <v/>
      </c>
      <c r="R15" s="7">
        <f>IFERROR(AVERAGE(J15,L15,N15),0)</f>
        <v/>
      </c>
      <c r="S15" s="7">
        <f>ROUND((O15+Q15)/2,1)</f>
        <v/>
      </c>
      <c r="T15" s="7">
        <f>ROUND((P15+R15)/2,1)</f>
        <v/>
      </c>
      <c r="U15" s="8">
        <f>IF(S15=0,"",ROUND((T15-S15)/S15*100,1))</f>
        <v/>
      </c>
      <c r="V15" s="9">
        <f>IF(U15="","数据不全",IF(U15&gt;10,"上升",IF(U15&lt;-10,"下降","持平")))</f>
        <v/>
      </c>
      <c r="W15" s="9">
        <f>IF(ABS(P15-R15)&lt;=10,"⚖️均衡",IF(P15-R15&gt;10,"↗️首贷偏强","↘️复贷偏强"))</f>
        <v/>
      </c>
      <c r="X15" s="6" t="n"/>
    </row>
    <row r="16">
      <c r="A16" s="6" t="inlineStr">
        <is>
          <t>S011</t>
        </is>
      </c>
      <c r="B16" s="6" t="inlineStr">
        <is>
          <t>供应商K-差</t>
        </is>
      </c>
      <c r="C16" s="6" t="n">
        <v>55</v>
      </c>
      <c r="D16" s="6" t="n">
        <v>53</v>
      </c>
      <c r="E16" s="6" t="n">
        <v>57</v>
      </c>
      <c r="F16" s="6" t="n">
        <v>55</v>
      </c>
      <c r="G16" s="6" t="n">
        <v>53</v>
      </c>
      <c r="H16" s="6" t="n">
        <v>51</v>
      </c>
      <c r="I16" s="6" t="n">
        <v>58</v>
      </c>
      <c r="J16" s="6" t="n">
        <v>56</v>
      </c>
      <c r="K16" s="6" t="n">
        <v>60</v>
      </c>
      <c r="L16" s="6" t="n">
        <v>58</v>
      </c>
      <c r="M16" s="6" t="n">
        <v>56</v>
      </c>
      <c r="N16" s="6" t="n">
        <v>54</v>
      </c>
      <c r="O16" s="7">
        <f>IFERROR(AVERAGE(C16,E16,G16),0)</f>
        <v/>
      </c>
      <c r="P16" s="7">
        <f>IFERROR(AVERAGE(I16,K16,M16),0)</f>
        <v/>
      </c>
      <c r="Q16" s="7">
        <f>IFERROR(AVERAGE(D16,F16,H16),0)</f>
        <v/>
      </c>
      <c r="R16" s="7">
        <f>IFERROR(AVERAGE(J16,L16,N16),0)</f>
        <v/>
      </c>
      <c r="S16" s="7">
        <f>ROUND((O16+Q16)/2,1)</f>
        <v/>
      </c>
      <c r="T16" s="7">
        <f>ROUND((P16+R16)/2,1)</f>
        <v/>
      </c>
      <c r="U16" s="8">
        <f>IF(S16=0,"",ROUND((T16-S16)/S16*100,1))</f>
        <v/>
      </c>
      <c r="V16" s="9">
        <f>IF(U16="","数据不全",IF(U16&gt;10,"上升",IF(U16&lt;-10,"下降","持平")))</f>
        <v/>
      </c>
      <c r="W16" s="9">
        <f>IF(ABS(P16-R16)&lt;=10,"⚖️均衡",IF(P16-R16&gt;10,"↗️首贷偏强","↘️复贷偏强"))</f>
        <v/>
      </c>
      <c r="X16" s="6" t="n"/>
    </row>
    <row r="17">
      <c r="A17" s="6" t="inlineStr">
        <is>
          <t>S012</t>
        </is>
      </c>
      <c r="B17" s="6" t="inlineStr">
        <is>
          <t>供应商L-差红</t>
        </is>
      </c>
      <c r="C17" s="6" t="n">
        <v>50</v>
      </c>
      <c r="D17" s="6" t="n">
        <v>48</v>
      </c>
      <c r="E17" s="6" t="n">
        <v>52</v>
      </c>
      <c r="F17" s="6" t="n">
        <v>50</v>
      </c>
      <c r="G17" s="6" t="n">
        <v>48</v>
      </c>
      <c r="H17" s="6" t="n">
        <v>46</v>
      </c>
      <c r="I17" s="6" t="n">
        <v>54</v>
      </c>
      <c r="J17" s="6" t="n">
        <v>52</v>
      </c>
      <c r="K17" s="6" t="n">
        <v>56</v>
      </c>
      <c r="L17" s="6" t="n">
        <v>54</v>
      </c>
      <c r="M17" s="6" t="n">
        <v>52</v>
      </c>
      <c r="N17" s="6" t="n">
        <v>50</v>
      </c>
      <c r="O17" s="7">
        <f>IFERROR(AVERAGE(C17,E17,G17),0)</f>
        <v/>
      </c>
      <c r="P17" s="7">
        <f>IFERROR(AVERAGE(I17,K17,M17),0)</f>
        <v/>
      </c>
      <c r="Q17" s="7">
        <f>IFERROR(AVERAGE(D17,F17,H17),0)</f>
        <v/>
      </c>
      <c r="R17" s="7">
        <f>IFERROR(AVERAGE(J17,L17,N17),0)</f>
        <v/>
      </c>
      <c r="S17" s="7">
        <f>ROUND((O17+Q17)/2,1)</f>
        <v/>
      </c>
      <c r="T17" s="7">
        <f>ROUND((P17+R17)/2,1)</f>
        <v/>
      </c>
      <c r="U17" s="8">
        <f>IF(S17=0,"",ROUND((T17-S17)/S17*100,1))</f>
        <v/>
      </c>
      <c r="V17" s="9">
        <f>IF(U17="","数据不全",IF(U17&gt;10,"上升",IF(U17&lt;-10,"下降","持平")))</f>
        <v/>
      </c>
      <c r="W17" s="9">
        <f>IF(ABS(P17-R17)&lt;=10,"⚖️均衡",IF(P17-R17&gt;10,"↗️首贷偏强","↘️复贷偏强"))</f>
        <v/>
      </c>
      <c r="X17" s="6" t="n"/>
    </row>
  </sheetData>
  <mergeCells count="20">
    <mergeCell ref="R4:R5"/>
    <mergeCell ref="T4:T5"/>
    <mergeCell ref="V4:V5"/>
    <mergeCell ref="O4:O5"/>
    <mergeCell ref="C4:D4"/>
    <mergeCell ref="E4:F4"/>
    <mergeCell ref="Q4:Q5"/>
    <mergeCell ref="A2:X2"/>
    <mergeCell ref="A4:A5"/>
    <mergeCell ref="X4:X5"/>
    <mergeCell ref="S4:S5"/>
    <mergeCell ref="U4:U5"/>
    <mergeCell ref="G4:H4"/>
    <mergeCell ref="I4:J4"/>
    <mergeCell ref="B4:B5"/>
    <mergeCell ref="W4:W5"/>
    <mergeCell ref="P4:P5"/>
    <mergeCell ref="A1:X1"/>
    <mergeCell ref="K4:L4"/>
    <mergeCell ref="M4:N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2" customWidth="1" min="1" max="1"/>
    <col width="20" customWidth="1" min="2" max="2"/>
    <col width="12" customWidth="1" min="3" max="3"/>
    <col width="14" customWidth="1" min="4" max="4"/>
    <col width="12" customWidth="1" min="5" max="5"/>
    <col width="12" customWidth="1" min="6" max="6"/>
    <col width="16" customWidth="1" min="7" max="7"/>
  </cols>
  <sheetData>
    <row r="1">
      <c r="A1" s="1" t="inlineStr">
        <is>
          <t>⚠️ SLA/合规扣分台账（Q2）</t>
        </is>
      </c>
    </row>
    <row r="2">
      <c r="A2" s="4" t="inlineStr">
        <is>
          <t>规则：黄牌整改-5分/次 | 有责投诉-5分/次 | 红线违规=直接C级</t>
        </is>
      </c>
    </row>
    <row r="4">
      <c r="A4" s="5" t="inlineStr">
        <is>
          <t>供应商ID</t>
        </is>
      </c>
      <c r="B4" s="5" t="inlineStr">
        <is>
          <t>供应商名称</t>
        </is>
      </c>
      <c r="C4" s="5" t="inlineStr">
        <is>
          <t>黄牌次数</t>
        </is>
      </c>
      <c r="D4" s="5" t="inlineStr">
        <is>
          <t>有责投诉次数</t>
        </is>
      </c>
      <c r="E4" s="5" t="inlineStr">
        <is>
          <t>红线违规</t>
        </is>
      </c>
      <c r="F4" s="5" t="inlineStr">
        <is>
          <t>Q2合规扣分</t>
        </is>
      </c>
      <c r="G4" s="5" t="inlineStr">
        <is>
          <t>触发直接C级</t>
        </is>
      </c>
    </row>
    <row r="5">
      <c r="A5" s="6" t="inlineStr">
        <is>
          <t>S001</t>
        </is>
      </c>
      <c r="B5" s="6" t="inlineStr">
        <is>
          <t>供应商A-均衡优</t>
        </is>
      </c>
      <c r="C5" s="6" t="n">
        <v>0</v>
      </c>
      <c r="D5" s="6" t="n">
        <v>0</v>
      </c>
      <c r="E5" s="6" t="n">
        <v>0</v>
      </c>
      <c r="F5" s="9">
        <f>C5*5+D5*5</f>
        <v/>
      </c>
      <c r="G5" s="9">
        <f>IF(E5&gt;0,"是·直接C级","否")</f>
        <v/>
      </c>
    </row>
    <row r="6">
      <c r="A6" s="6" t="inlineStr">
        <is>
          <t>S002</t>
        </is>
      </c>
      <c r="B6" s="6" t="inlineStr">
        <is>
          <t>供应商B-首贷强</t>
        </is>
      </c>
      <c r="C6" s="6" t="n">
        <v>1</v>
      </c>
      <c r="D6" s="6" t="n">
        <v>0</v>
      </c>
      <c r="E6" s="6" t="n">
        <v>0</v>
      </c>
      <c r="F6" s="9">
        <f>C6*5+D6*5</f>
        <v/>
      </c>
      <c r="G6" s="9">
        <f>IF(E6&gt;0,"是·直接C级","否")</f>
        <v/>
      </c>
    </row>
    <row r="7">
      <c r="A7" s="6" t="inlineStr">
        <is>
          <t>S003</t>
        </is>
      </c>
      <c r="B7" s="6" t="inlineStr">
        <is>
          <t>供应商C-均衡良</t>
        </is>
      </c>
      <c r="C7" s="6" t="n">
        <v>0</v>
      </c>
      <c r="D7" s="6" t="n">
        <v>0</v>
      </c>
      <c r="E7" s="6" t="n">
        <v>0</v>
      </c>
      <c r="F7" s="9">
        <f>C7*5+D7*5</f>
        <v/>
      </c>
      <c r="G7" s="9">
        <f>IF(E7&gt;0,"是·直接C级","否")</f>
        <v/>
      </c>
    </row>
    <row r="8">
      <c r="A8" s="6" t="inlineStr">
        <is>
          <t>S004</t>
        </is>
      </c>
      <c r="B8" s="6" t="inlineStr">
        <is>
          <t>供应商D-复贷强</t>
        </is>
      </c>
      <c r="C8" s="6" t="n">
        <v>0</v>
      </c>
      <c r="D8" s="6" t="n">
        <v>1</v>
      </c>
      <c r="E8" s="6" t="n">
        <v>0</v>
      </c>
      <c r="F8" s="9">
        <f>C8*5+D8*5</f>
        <v/>
      </c>
      <c r="G8" s="9">
        <f>IF(E8&gt;0,"是·直接C级","否")</f>
        <v/>
      </c>
    </row>
    <row r="9">
      <c r="A9" s="6" t="inlineStr">
        <is>
          <t>S005</t>
        </is>
      </c>
      <c r="B9" s="6" t="inlineStr">
        <is>
          <t>供应商E-中上</t>
        </is>
      </c>
      <c r="C9" s="6" t="n">
        <v>0</v>
      </c>
      <c r="D9" s="6" t="n">
        <v>0</v>
      </c>
      <c r="E9" s="6" t="n">
        <v>0</v>
      </c>
      <c r="F9" s="9">
        <f>C9*5+D9*5</f>
        <v/>
      </c>
      <c r="G9" s="9">
        <f>IF(E9&gt;0,"是·直接C级","否")</f>
        <v/>
      </c>
    </row>
    <row r="10">
      <c r="A10" s="6" t="inlineStr">
        <is>
          <t>S006</t>
        </is>
      </c>
      <c r="B10" s="6" t="inlineStr">
        <is>
          <t>供应商F-中</t>
        </is>
      </c>
      <c r="C10" s="6" t="n">
        <v>2</v>
      </c>
      <c r="D10" s="6" t="n">
        <v>0</v>
      </c>
      <c r="E10" s="6" t="n">
        <v>0</v>
      </c>
      <c r="F10" s="9">
        <f>C10*5+D10*5</f>
        <v/>
      </c>
      <c r="G10" s="9">
        <f>IF(E10&gt;0,"是·直接C级","否")</f>
        <v/>
      </c>
    </row>
    <row r="11">
      <c r="A11" s="6" t="inlineStr">
        <is>
          <t>S007</t>
        </is>
      </c>
      <c r="B11" s="6" t="inlineStr">
        <is>
          <t>供应商G-中</t>
        </is>
      </c>
      <c r="C11" s="6" t="n">
        <v>0</v>
      </c>
      <c r="D11" s="6" t="n">
        <v>0</v>
      </c>
      <c r="E11" s="6" t="n">
        <v>0</v>
      </c>
      <c r="F11" s="9">
        <f>C11*5+D11*5</f>
        <v/>
      </c>
      <c r="G11" s="9">
        <f>IF(E11&gt;0,"是·直接C级","否")</f>
        <v/>
      </c>
    </row>
    <row r="12">
      <c r="A12" s="6" t="inlineStr">
        <is>
          <t>S008</t>
        </is>
      </c>
      <c r="B12" s="6" t="inlineStr">
        <is>
          <t>供应商H-中下</t>
        </is>
      </c>
      <c r="C12" s="6" t="n">
        <v>1</v>
      </c>
      <c r="D12" s="6" t="n">
        <v>1</v>
      </c>
      <c r="E12" s="6" t="n">
        <v>0</v>
      </c>
      <c r="F12" s="9">
        <f>C12*5+D12*5</f>
        <v/>
      </c>
      <c r="G12" s="9">
        <f>IF(E12&gt;0,"是·直接C级","否")</f>
        <v/>
      </c>
    </row>
    <row r="13">
      <c r="A13" s="6" t="inlineStr">
        <is>
          <t>S009</t>
        </is>
      </c>
      <c r="B13" s="6" t="inlineStr">
        <is>
          <t>供应商I-中边</t>
        </is>
      </c>
      <c r="C13" s="6" t="n">
        <v>0</v>
      </c>
      <c r="D13" s="6" t="n">
        <v>0</v>
      </c>
      <c r="E13" s="6" t="n">
        <v>0</v>
      </c>
      <c r="F13" s="9">
        <f>C13*5+D13*5</f>
        <v/>
      </c>
      <c r="G13" s="9">
        <f>IF(E13&gt;0,"是·直接C级","否")</f>
        <v/>
      </c>
    </row>
    <row r="14">
      <c r="A14" s="6" t="inlineStr">
        <is>
          <t>S010</t>
        </is>
      </c>
      <c r="B14" s="6" t="inlineStr">
        <is>
          <t>供应商J-差边</t>
        </is>
      </c>
      <c r="C14" s="6" t="n">
        <v>0</v>
      </c>
      <c r="D14" s="6" t="n">
        <v>0</v>
      </c>
      <c r="E14" s="6" t="n">
        <v>0</v>
      </c>
      <c r="F14" s="9">
        <f>C14*5+D14*5</f>
        <v/>
      </c>
      <c r="G14" s="9">
        <f>IF(E14&gt;0,"是·直接C级","否")</f>
        <v/>
      </c>
    </row>
    <row r="15">
      <c r="A15" s="6" t="inlineStr">
        <is>
          <t>S011</t>
        </is>
      </c>
      <c r="B15" s="6" t="inlineStr">
        <is>
          <t>供应商K-差</t>
        </is>
      </c>
      <c r="C15" s="6" t="n">
        <v>3</v>
      </c>
      <c r="D15" s="6" t="n">
        <v>0</v>
      </c>
      <c r="E15" s="6" t="n">
        <v>0</v>
      </c>
      <c r="F15" s="9">
        <f>C15*5+D15*5</f>
        <v/>
      </c>
      <c r="G15" s="9">
        <f>IF(E15&gt;0,"是·直接C级","否")</f>
        <v/>
      </c>
    </row>
    <row r="16">
      <c r="A16" s="6" t="inlineStr">
        <is>
          <t>S012</t>
        </is>
      </c>
      <c r="B16" s="6" t="inlineStr">
        <is>
          <t>供应商L-差红</t>
        </is>
      </c>
      <c r="C16" s="6" t="n">
        <v>0</v>
      </c>
      <c r="D16" s="6" t="n">
        <v>0</v>
      </c>
      <c r="E16" s="6" t="n">
        <v>1</v>
      </c>
      <c r="F16" s="9">
        <f>C16*5+D16*5</f>
        <v/>
      </c>
      <c r="G16" s="9">
        <f>IF(E16&gt;0,"是·直接C级","否")</f>
        <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7"/>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9" customWidth="1" min="3" max="3"/>
    <col width="9" customWidth="1" min="4" max="4"/>
    <col width="9" customWidth="1" min="5" max="5"/>
    <col width="10" customWidth="1" min="6" max="6"/>
    <col width="9" customWidth="1" min="7" max="7"/>
    <col width="9" customWidth="1" min="8" max="8"/>
    <col width="9" customWidth="1" min="9" max="9"/>
    <col width="10" customWidth="1" min="10" max="10"/>
    <col width="9" customWidth="1" min="11" max="11"/>
    <col width="9" customWidth="1" min="12" max="12"/>
    <col width="9" customWidth="1" min="13" max="13"/>
    <col width="10" customWidth="1" min="14" max="14"/>
    <col width="12" customWidth="1" min="15" max="15"/>
    <col width="16" customWidth="1" min="16" max="16"/>
  </cols>
  <sheetData>
    <row r="1">
      <c r="A1" s="1" t="inlineStr">
        <is>
          <t>🔧 月度稳定性检查表（Q2三个月）</t>
        </is>
      </c>
    </row>
    <row r="2">
      <c r="A2" s="10" t="inlineStr">
        <is>
          <t>🔑 默认已预填B档（0分）。有异常才改A/C：A=表现突出 | C=出现问题</t>
        </is>
      </c>
    </row>
    <row r="4">
      <c r="A4" s="5" t="inlineStr">
        <is>
          <t>供应商ID</t>
        </is>
      </c>
      <c r="B4" s="5" t="inlineStr">
        <is>
          <t>供应商名称</t>
        </is>
      </c>
      <c r="C4" s="5" t="inlineStr">
        <is>
          <t>4月</t>
        </is>
      </c>
      <c r="D4" s="43" t="n"/>
      <c r="E4" s="43" t="n"/>
      <c r="F4" s="41" t="n"/>
      <c r="G4" s="5" t="inlineStr">
        <is>
          <t>5月</t>
        </is>
      </c>
      <c r="H4" s="43" t="n"/>
      <c r="I4" s="43" t="n"/>
      <c r="J4" s="41" t="n"/>
      <c r="K4" s="5" t="inlineStr">
        <is>
          <t>6月</t>
        </is>
      </c>
      <c r="L4" s="43" t="n"/>
      <c r="M4" s="43" t="n"/>
      <c r="N4" s="41" t="n"/>
      <c r="O4" s="5" t="inlineStr">
        <is>
          <t>Q2稳定性得分</t>
        </is>
      </c>
      <c r="P4" s="5" t="inlineStr">
        <is>
          <t>备注</t>
        </is>
      </c>
    </row>
    <row r="5">
      <c r="A5" s="42" t="n"/>
      <c r="B5" s="42" t="n"/>
      <c r="C5" s="5" t="inlineStr">
        <is>
          <t>人员变动</t>
        </is>
      </c>
      <c r="D5" s="5" t="inlineStr">
        <is>
          <t>产能波动</t>
        </is>
      </c>
      <c r="E5" s="5" t="inlineStr">
        <is>
          <t>SLA达成</t>
        </is>
      </c>
      <c r="F5" s="5" t="inlineStr">
        <is>
          <t>突发情况</t>
        </is>
      </c>
      <c r="G5" s="5" t="inlineStr">
        <is>
          <t>人员变动</t>
        </is>
      </c>
      <c r="H5" s="5" t="inlineStr">
        <is>
          <t>产能波动</t>
        </is>
      </c>
      <c r="I5" s="5" t="inlineStr">
        <is>
          <t>SLA达成</t>
        </is>
      </c>
      <c r="J5" s="5" t="inlineStr">
        <is>
          <t>突发情况</t>
        </is>
      </c>
      <c r="K5" s="5" t="inlineStr">
        <is>
          <t>人员变动</t>
        </is>
      </c>
      <c r="L5" s="5" t="inlineStr">
        <is>
          <t>产能波动</t>
        </is>
      </c>
      <c r="M5" s="5" t="inlineStr">
        <is>
          <t>SLA达成</t>
        </is>
      </c>
      <c r="N5" s="5" t="inlineStr">
        <is>
          <t>突发情况</t>
        </is>
      </c>
      <c r="O5" s="42" t="n"/>
      <c r="P5" s="42" t="n"/>
    </row>
    <row r="6">
      <c r="A6" s="6" t="n"/>
      <c r="B6" s="6" t="n"/>
      <c r="C6" s="11" t="inlineStr">
        <is>
          <t>B</t>
        </is>
      </c>
      <c r="D6" s="11" t="inlineStr">
        <is>
          <t>B</t>
        </is>
      </c>
      <c r="E6" s="11" t="inlineStr">
        <is>
          <t>B</t>
        </is>
      </c>
      <c r="F6" s="11" t="inlineStr">
        <is>
          <t>B</t>
        </is>
      </c>
      <c r="G6" s="11" t="inlineStr">
        <is>
          <t>B</t>
        </is>
      </c>
      <c r="H6" s="11" t="inlineStr">
        <is>
          <t>B</t>
        </is>
      </c>
      <c r="I6" s="11" t="inlineStr">
        <is>
          <t>B</t>
        </is>
      </c>
      <c r="J6" s="11" t="inlineStr">
        <is>
          <t>B</t>
        </is>
      </c>
      <c r="K6" s="11" t="inlineStr">
        <is>
          <t>B</t>
        </is>
      </c>
      <c r="L6" s="11" t="inlineStr">
        <is>
          <t>B</t>
        </is>
      </c>
      <c r="M6" s="11" t="inlineStr">
        <is>
          <t>B</t>
        </is>
      </c>
      <c r="N6" s="11" t="inlineStr">
        <is>
          <t>B</t>
        </is>
      </c>
      <c r="O6" s="9">
        <f>ROUND(((IF(C6="A",1,IF(C6="C",-1,0))+IF(D6="A",1,IF(D6="C",-1,0))+IF(E6="A",1,IF(E6="C",-1,0))+IF(F6="A",1,IF(F6="C",-1,0)))+(IF(G6="A",1,IF(G6="C",-1,0))+IF(H6="A",1,IF(H6="C",-1,0))+IF(I6="A",1,IF(I6="C",-1,0))+IF(J6="A",1,IF(J6="C",-1,0)))+(IF(K6="A",1,IF(K6="C",-1,0))+IF(L6="A",1,IF(L6="C",-1,0))+IF(M6="A",1,IF(M6="C",-1,0))+IF(N6="A",1,IF(N6="C",-1,0))))/3,0)</f>
        <v/>
      </c>
      <c r="P6" s="6" t="n"/>
    </row>
    <row r="7">
      <c r="A7" s="6" t="n"/>
      <c r="B7" s="6" t="n"/>
      <c r="C7" s="11" t="inlineStr">
        <is>
          <t>B</t>
        </is>
      </c>
      <c r="D7" s="11" t="inlineStr">
        <is>
          <t>B</t>
        </is>
      </c>
      <c r="E7" s="11" t="inlineStr">
        <is>
          <t>B</t>
        </is>
      </c>
      <c r="F7" s="11" t="inlineStr">
        <is>
          <t>B</t>
        </is>
      </c>
      <c r="G7" s="11" t="inlineStr">
        <is>
          <t>B</t>
        </is>
      </c>
      <c r="H7" s="11" t="inlineStr">
        <is>
          <t>B</t>
        </is>
      </c>
      <c r="I7" s="11" t="inlineStr">
        <is>
          <t>B</t>
        </is>
      </c>
      <c r="J7" s="11" t="inlineStr">
        <is>
          <t>B</t>
        </is>
      </c>
      <c r="K7" s="11" t="inlineStr">
        <is>
          <t>B</t>
        </is>
      </c>
      <c r="L7" s="11" t="inlineStr">
        <is>
          <t>B</t>
        </is>
      </c>
      <c r="M7" s="11" t="inlineStr">
        <is>
          <t>B</t>
        </is>
      </c>
      <c r="N7" s="11" t="inlineStr">
        <is>
          <t>B</t>
        </is>
      </c>
      <c r="O7" s="9">
        <f>ROUND(((IF(C7="A",1,IF(C7="C",-1,0))+IF(D7="A",1,IF(D7="C",-1,0))+IF(E7="A",1,IF(E7="C",-1,0))+IF(F7="A",1,IF(F7="C",-1,0)))+(IF(G7="A",1,IF(G7="C",-1,0))+IF(H7="A",1,IF(H7="C",-1,0))+IF(I7="A",1,IF(I7="C",-1,0))+IF(J7="A",1,IF(J7="C",-1,0)))+(IF(K7="A",1,IF(K7="C",-1,0))+IF(L7="A",1,IF(L7="C",-1,0))+IF(M7="A",1,IF(M7="C",-1,0))+IF(N7="A",1,IF(N7="C",-1,0))))/3,0)</f>
        <v/>
      </c>
      <c r="P7" s="6" t="n"/>
    </row>
    <row r="8">
      <c r="A8" s="6" t="n"/>
      <c r="B8" s="6" t="n"/>
      <c r="C8" s="11" t="inlineStr">
        <is>
          <t>B</t>
        </is>
      </c>
      <c r="D8" s="11" t="inlineStr">
        <is>
          <t>B</t>
        </is>
      </c>
      <c r="E8" s="11" t="inlineStr">
        <is>
          <t>B</t>
        </is>
      </c>
      <c r="F8" s="11" t="inlineStr">
        <is>
          <t>B</t>
        </is>
      </c>
      <c r="G8" s="11" t="inlineStr">
        <is>
          <t>B</t>
        </is>
      </c>
      <c r="H8" s="11" t="inlineStr">
        <is>
          <t>B</t>
        </is>
      </c>
      <c r="I8" s="11" t="inlineStr">
        <is>
          <t>B</t>
        </is>
      </c>
      <c r="J8" s="11" t="inlineStr">
        <is>
          <t>A</t>
        </is>
      </c>
      <c r="K8" s="11" t="inlineStr">
        <is>
          <t>B</t>
        </is>
      </c>
      <c r="L8" s="11" t="inlineStr">
        <is>
          <t>B</t>
        </is>
      </c>
      <c r="M8" s="11" t="inlineStr">
        <is>
          <t>B</t>
        </is>
      </c>
      <c r="N8" s="11" t="inlineStr">
        <is>
          <t>B</t>
        </is>
      </c>
      <c r="O8" s="9">
        <f>ROUND(((IF(C8="A",1,IF(C8="C",-1,0))+IF(D8="A",1,IF(D8="C",-1,0))+IF(E8="A",1,IF(E8="C",-1,0))+IF(F8="A",1,IF(F8="C",-1,0)))+(IF(G8="A",1,IF(G8="C",-1,0))+IF(H8="A",1,IF(H8="C",-1,0))+IF(I8="A",1,IF(I8="C",-1,0))+IF(J8="A",1,IF(J8="C",-1,0)))+(IF(K8="A",1,IF(K8="C",-1,0))+IF(L8="A",1,IF(L8="C",-1,0))+IF(M8="A",1,IF(M8="C",-1,0))+IF(N8="A",1,IF(N8="C",-1,0))))/3,0)</f>
        <v/>
      </c>
      <c r="P8" s="6" t="n"/>
    </row>
    <row r="9">
      <c r="A9" s="6" t="n"/>
      <c r="B9" s="6" t="n"/>
      <c r="C9" s="11" t="inlineStr">
        <is>
          <t>B</t>
        </is>
      </c>
      <c r="D9" s="11" t="inlineStr">
        <is>
          <t>B</t>
        </is>
      </c>
      <c r="E9" s="11" t="inlineStr">
        <is>
          <t>B</t>
        </is>
      </c>
      <c r="F9" s="11" t="inlineStr">
        <is>
          <t>B</t>
        </is>
      </c>
      <c r="G9" s="11" t="inlineStr">
        <is>
          <t>B</t>
        </is>
      </c>
      <c r="H9" s="11" t="inlineStr">
        <is>
          <t>B</t>
        </is>
      </c>
      <c r="I9" s="11" t="inlineStr">
        <is>
          <t>B</t>
        </is>
      </c>
      <c r="J9" s="11" t="inlineStr">
        <is>
          <t>B</t>
        </is>
      </c>
      <c r="K9" s="11" t="inlineStr">
        <is>
          <t>B</t>
        </is>
      </c>
      <c r="L9" s="11" t="inlineStr">
        <is>
          <t>B</t>
        </is>
      </c>
      <c r="M9" s="11" t="inlineStr">
        <is>
          <t>B</t>
        </is>
      </c>
      <c r="N9" s="11" t="inlineStr">
        <is>
          <t>B</t>
        </is>
      </c>
      <c r="O9" s="9">
        <f>ROUND(((IF(C9="A",1,IF(C9="C",-1,0))+IF(D9="A",1,IF(D9="C",-1,0))+IF(E9="A",1,IF(E9="C",-1,0))+IF(F9="A",1,IF(F9="C",-1,0)))+(IF(G9="A",1,IF(G9="C",-1,0))+IF(H9="A",1,IF(H9="C",-1,0))+IF(I9="A",1,IF(I9="C",-1,0))+IF(J9="A",1,IF(J9="C",-1,0)))+(IF(K9="A",1,IF(K9="C",-1,0))+IF(L9="A",1,IF(L9="C",-1,0))+IF(M9="A",1,IF(M9="C",-1,0))+IF(N9="A",1,IF(N9="C",-1,0))))/3,0)</f>
        <v/>
      </c>
      <c r="P9" s="6" t="n"/>
    </row>
    <row r="10">
      <c r="A10" s="6" t="n"/>
      <c r="B10" s="6" t="n"/>
      <c r="C10" s="11" t="inlineStr">
        <is>
          <t>B</t>
        </is>
      </c>
      <c r="D10" s="11" t="inlineStr">
        <is>
          <t>B</t>
        </is>
      </c>
      <c r="E10" s="11" t="inlineStr">
        <is>
          <t>B</t>
        </is>
      </c>
      <c r="F10" s="11" t="inlineStr">
        <is>
          <t>B</t>
        </is>
      </c>
      <c r="G10" s="11" t="inlineStr">
        <is>
          <t>B</t>
        </is>
      </c>
      <c r="H10" s="11" t="inlineStr">
        <is>
          <t>B</t>
        </is>
      </c>
      <c r="I10" s="11" t="inlineStr">
        <is>
          <t>B</t>
        </is>
      </c>
      <c r="J10" s="11" t="inlineStr">
        <is>
          <t>B</t>
        </is>
      </c>
      <c r="K10" s="11" t="inlineStr">
        <is>
          <t>B</t>
        </is>
      </c>
      <c r="L10" s="11" t="inlineStr">
        <is>
          <t>B</t>
        </is>
      </c>
      <c r="M10" s="11" t="inlineStr">
        <is>
          <t>B</t>
        </is>
      </c>
      <c r="N10" s="11" t="inlineStr">
        <is>
          <t>B</t>
        </is>
      </c>
      <c r="O10" s="9">
        <f>ROUND(((IF(C10="A",1,IF(C10="C",-1,0))+IF(D10="A",1,IF(D10="C",-1,0))+IF(E10="A",1,IF(E10="C",-1,0))+IF(F10="A",1,IF(F10="C",-1,0)))+(IF(G10="A",1,IF(G10="C",-1,0))+IF(H10="A",1,IF(H10="C",-1,0))+IF(I10="A",1,IF(I10="C",-1,0))+IF(J10="A",1,IF(J10="C",-1,0)))+(IF(K10="A",1,IF(K10="C",-1,0))+IF(L10="A",1,IF(L10="C",-1,0))+IF(M10="A",1,IF(M10="C",-1,0))+IF(N10="A",1,IF(N10="C",-1,0))))/3,0)</f>
        <v/>
      </c>
      <c r="P10" s="6" t="n"/>
    </row>
    <row r="11">
      <c r="A11" s="6" t="n"/>
      <c r="B11" s="6" t="n"/>
      <c r="C11" s="11" t="inlineStr">
        <is>
          <t>B</t>
        </is>
      </c>
      <c r="D11" s="11" t="inlineStr">
        <is>
          <t>B</t>
        </is>
      </c>
      <c r="E11" s="11" t="inlineStr">
        <is>
          <t>B</t>
        </is>
      </c>
      <c r="F11" s="11" t="inlineStr">
        <is>
          <t>B</t>
        </is>
      </c>
      <c r="G11" s="11" t="inlineStr">
        <is>
          <t>B</t>
        </is>
      </c>
      <c r="H11" s="11" t="inlineStr">
        <is>
          <t>B</t>
        </is>
      </c>
      <c r="I11" s="11" t="inlineStr">
        <is>
          <t>B</t>
        </is>
      </c>
      <c r="J11" s="11" t="inlineStr">
        <is>
          <t>B</t>
        </is>
      </c>
      <c r="K11" s="11" t="inlineStr">
        <is>
          <t>B</t>
        </is>
      </c>
      <c r="L11" s="11" t="inlineStr">
        <is>
          <t>B</t>
        </is>
      </c>
      <c r="M11" s="11" t="inlineStr">
        <is>
          <t>B</t>
        </is>
      </c>
      <c r="N11" s="11" t="inlineStr">
        <is>
          <t>B</t>
        </is>
      </c>
      <c r="O11" s="9">
        <f>ROUND(((IF(C11="A",1,IF(C11="C",-1,0))+IF(D11="A",1,IF(D11="C",-1,0))+IF(E11="A",1,IF(E11="C",-1,0))+IF(F11="A",1,IF(F11="C",-1,0)))+(IF(G11="A",1,IF(G11="C",-1,0))+IF(H11="A",1,IF(H11="C",-1,0))+IF(I11="A",1,IF(I11="C",-1,0))+IF(J11="A",1,IF(J11="C",-1,0)))+(IF(K11="A",1,IF(K11="C",-1,0))+IF(L11="A",1,IF(L11="C",-1,0))+IF(M11="A",1,IF(M11="C",-1,0))+IF(N11="A",1,IF(N11="C",-1,0))))/3,0)</f>
        <v/>
      </c>
      <c r="P11" s="6" t="n"/>
    </row>
    <row r="12">
      <c r="A12" s="6" t="n"/>
      <c r="B12" s="6" t="n"/>
      <c r="C12" s="11" t="inlineStr">
        <is>
          <t>B</t>
        </is>
      </c>
      <c r="D12" s="11" t="inlineStr">
        <is>
          <t>B</t>
        </is>
      </c>
      <c r="E12" s="11" t="inlineStr">
        <is>
          <t>B</t>
        </is>
      </c>
      <c r="F12" s="11" t="inlineStr">
        <is>
          <t>B</t>
        </is>
      </c>
      <c r="G12" s="11" t="inlineStr">
        <is>
          <t>B</t>
        </is>
      </c>
      <c r="H12" s="11" t="inlineStr">
        <is>
          <t>C</t>
        </is>
      </c>
      <c r="I12" s="11" t="inlineStr">
        <is>
          <t>B</t>
        </is>
      </c>
      <c r="J12" s="11" t="inlineStr">
        <is>
          <t>B</t>
        </is>
      </c>
      <c r="K12" s="11" t="inlineStr">
        <is>
          <t>B</t>
        </is>
      </c>
      <c r="L12" s="11" t="inlineStr">
        <is>
          <t>B</t>
        </is>
      </c>
      <c r="M12" s="11" t="inlineStr">
        <is>
          <t>B</t>
        </is>
      </c>
      <c r="N12" s="11" t="inlineStr">
        <is>
          <t>B</t>
        </is>
      </c>
      <c r="O12" s="9">
        <f>ROUND(((IF(C12="A",1,IF(C12="C",-1,0))+IF(D12="A",1,IF(D12="C",-1,0))+IF(E12="A",1,IF(E12="C",-1,0))+IF(F12="A",1,IF(F12="C",-1,0)))+(IF(G12="A",1,IF(G12="C",-1,0))+IF(H12="A",1,IF(H12="C",-1,0))+IF(I12="A",1,IF(I12="C",-1,0))+IF(J12="A",1,IF(J12="C",-1,0)))+(IF(K12="A",1,IF(K12="C",-1,0))+IF(L12="A",1,IF(L12="C",-1,0))+IF(M12="A",1,IF(M12="C",-1,0))+IF(N12="A",1,IF(N12="C",-1,0))))/3,0)</f>
        <v/>
      </c>
      <c r="P12" s="6" t="n"/>
    </row>
    <row r="13">
      <c r="A13" s="6" t="n"/>
      <c r="B13" s="6" t="n"/>
      <c r="C13" s="11" t="inlineStr">
        <is>
          <t>B</t>
        </is>
      </c>
      <c r="D13" s="11" t="inlineStr">
        <is>
          <t>B</t>
        </is>
      </c>
      <c r="E13" s="11" t="inlineStr">
        <is>
          <t>B</t>
        </is>
      </c>
      <c r="F13" s="11" t="inlineStr">
        <is>
          <t>B</t>
        </is>
      </c>
      <c r="G13" s="11" t="inlineStr">
        <is>
          <t>B</t>
        </is>
      </c>
      <c r="H13" s="11" t="inlineStr">
        <is>
          <t>B</t>
        </is>
      </c>
      <c r="I13" s="11" t="inlineStr">
        <is>
          <t>B</t>
        </is>
      </c>
      <c r="J13" s="11" t="inlineStr">
        <is>
          <t>B</t>
        </is>
      </c>
      <c r="K13" s="11" t="inlineStr">
        <is>
          <t>B</t>
        </is>
      </c>
      <c r="L13" s="11" t="inlineStr">
        <is>
          <t>B</t>
        </is>
      </c>
      <c r="M13" s="11" t="inlineStr">
        <is>
          <t>B</t>
        </is>
      </c>
      <c r="N13" s="11" t="inlineStr">
        <is>
          <t>B</t>
        </is>
      </c>
      <c r="O13" s="9">
        <f>ROUND(((IF(C13="A",1,IF(C13="C",-1,0))+IF(D13="A",1,IF(D13="C",-1,0))+IF(E13="A",1,IF(E13="C",-1,0))+IF(F13="A",1,IF(F13="C",-1,0)))+(IF(G13="A",1,IF(G13="C",-1,0))+IF(H13="A",1,IF(H13="C",-1,0))+IF(I13="A",1,IF(I13="C",-1,0))+IF(J13="A",1,IF(J13="C",-1,0)))+(IF(K13="A",1,IF(K13="C",-1,0))+IF(L13="A",1,IF(L13="C",-1,0))+IF(M13="A",1,IF(M13="C",-1,0))+IF(N13="A",1,IF(N13="C",-1,0))))/3,0)</f>
        <v/>
      </c>
      <c r="P13" s="6" t="n"/>
    </row>
    <row r="14">
      <c r="A14" s="6" t="n"/>
      <c r="B14" s="6" t="n"/>
      <c r="C14" s="11" t="inlineStr">
        <is>
          <t>B</t>
        </is>
      </c>
      <c r="D14" s="11" t="inlineStr">
        <is>
          <t>B</t>
        </is>
      </c>
      <c r="E14" s="11" t="inlineStr">
        <is>
          <t>B</t>
        </is>
      </c>
      <c r="F14" s="11" t="inlineStr">
        <is>
          <t>B</t>
        </is>
      </c>
      <c r="G14" s="11" t="inlineStr">
        <is>
          <t>B</t>
        </is>
      </c>
      <c r="H14" s="11" t="inlineStr">
        <is>
          <t>C</t>
        </is>
      </c>
      <c r="I14" s="11" t="inlineStr">
        <is>
          <t>B</t>
        </is>
      </c>
      <c r="J14" s="11" t="inlineStr">
        <is>
          <t>B</t>
        </is>
      </c>
      <c r="K14" s="11" t="inlineStr">
        <is>
          <t>B</t>
        </is>
      </c>
      <c r="L14" s="11" t="inlineStr">
        <is>
          <t>C</t>
        </is>
      </c>
      <c r="M14" s="11" t="inlineStr">
        <is>
          <t>B</t>
        </is>
      </c>
      <c r="N14" s="11" t="inlineStr">
        <is>
          <t>B</t>
        </is>
      </c>
      <c r="O14" s="9">
        <f>ROUND(((IF(C14="A",1,IF(C14="C",-1,0))+IF(D14="A",1,IF(D14="C",-1,0))+IF(E14="A",1,IF(E14="C",-1,0))+IF(F14="A",1,IF(F14="C",-1,0)))+(IF(G14="A",1,IF(G14="C",-1,0))+IF(H14="A",1,IF(H14="C",-1,0))+IF(I14="A",1,IF(I14="C",-1,0))+IF(J14="A",1,IF(J14="C",-1,0)))+(IF(K14="A",1,IF(K14="C",-1,0))+IF(L14="A",1,IF(L14="C",-1,0))+IF(M14="A",1,IF(M14="C",-1,0))+IF(N14="A",1,IF(N14="C",-1,0))))/3,0)</f>
        <v/>
      </c>
      <c r="P14" s="6" t="n"/>
    </row>
    <row r="15">
      <c r="A15" s="6" t="n"/>
      <c r="B15" s="6" t="n"/>
      <c r="C15" s="11" t="inlineStr">
        <is>
          <t>B</t>
        </is>
      </c>
      <c r="D15" s="11" t="inlineStr">
        <is>
          <t>B</t>
        </is>
      </c>
      <c r="E15" s="11" t="inlineStr">
        <is>
          <t>B</t>
        </is>
      </c>
      <c r="F15" s="11" t="inlineStr">
        <is>
          <t>B</t>
        </is>
      </c>
      <c r="G15" s="11" t="inlineStr">
        <is>
          <t>B</t>
        </is>
      </c>
      <c r="H15" s="11" t="inlineStr">
        <is>
          <t>B</t>
        </is>
      </c>
      <c r="I15" s="11" t="inlineStr">
        <is>
          <t>B</t>
        </is>
      </c>
      <c r="J15" s="11" t="inlineStr">
        <is>
          <t>B</t>
        </is>
      </c>
      <c r="K15" s="11" t="inlineStr">
        <is>
          <t>B</t>
        </is>
      </c>
      <c r="L15" s="11" t="inlineStr">
        <is>
          <t>B</t>
        </is>
      </c>
      <c r="M15" s="11" t="inlineStr">
        <is>
          <t>B</t>
        </is>
      </c>
      <c r="N15" s="11" t="inlineStr">
        <is>
          <t>B</t>
        </is>
      </c>
      <c r="O15" s="9">
        <f>ROUND(((IF(C15="A",1,IF(C15="C",-1,0))+IF(D15="A",1,IF(D15="C",-1,0))+IF(E15="A",1,IF(E15="C",-1,0))+IF(F15="A",1,IF(F15="C",-1,0)))+(IF(G15="A",1,IF(G15="C",-1,0))+IF(H15="A",1,IF(H15="C",-1,0))+IF(I15="A",1,IF(I15="C",-1,0))+IF(J15="A",1,IF(J15="C",-1,0)))+(IF(K15="A",1,IF(K15="C",-1,0))+IF(L15="A",1,IF(L15="C",-1,0))+IF(M15="A",1,IF(M15="C",-1,0))+IF(N15="A",1,IF(N15="C",-1,0))))/3,0)</f>
        <v/>
      </c>
      <c r="P15" s="6" t="n"/>
    </row>
    <row r="16">
      <c r="A16" s="6" t="n"/>
      <c r="B16" s="6" t="n"/>
      <c r="C16" s="11" t="inlineStr">
        <is>
          <t>B</t>
        </is>
      </c>
      <c r="D16" s="11" t="inlineStr">
        <is>
          <t>B</t>
        </is>
      </c>
      <c r="E16" s="11" t="inlineStr">
        <is>
          <t>B</t>
        </is>
      </c>
      <c r="F16" s="11" t="inlineStr">
        <is>
          <t>B</t>
        </is>
      </c>
      <c r="G16" s="11" t="inlineStr">
        <is>
          <t>B</t>
        </is>
      </c>
      <c r="H16" s="11" t="inlineStr">
        <is>
          <t>B</t>
        </is>
      </c>
      <c r="I16" s="11" t="inlineStr">
        <is>
          <t>B</t>
        </is>
      </c>
      <c r="J16" s="11" t="inlineStr">
        <is>
          <t>B</t>
        </is>
      </c>
      <c r="K16" s="11" t="inlineStr">
        <is>
          <t>B</t>
        </is>
      </c>
      <c r="L16" s="11" t="inlineStr">
        <is>
          <t>B</t>
        </is>
      </c>
      <c r="M16" s="11" t="inlineStr">
        <is>
          <t>B</t>
        </is>
      </c>
      <c r="N16" s="11" t="inlineStr">
        <is>
          <t>B</t>
        </is>
      </c>
      <c r="O16" s="9">
        <f>ROUND(((IF(C16="A",1,IF(C16="C",-1,0))+IF(D16="A",1,IF(D16="C",-1,0))+IF(E16="A",1,IF(E16="C",-1,0))+IF(F16="A",1,IF(F16="C",-1,0)))+(IF(G16="A",1,IF(G16="C",-1,0))+IF(H16="A",1,IF(H16="C",-1,0))+IF(I16="A",1,IF(I16="C",-1,0))+IF(J16="A",1,IF(J16="C",-1,0)))+(IF(K16="A",1,IF(K16="C",-1,0))+IF(L16="A",1,IF(L16="C",-1,0))+IF(M16="A",1,IF(M16="C",-1,0))+IF(N16="A",1,IF(N16="C",-1,0))))/3,0)</f>
        <v/>
      </c>
      <c r="P16" s="6" t="n"/>
    </row>
    <row r="17">
      <c r="A17" s="6" t="n"/>
      <c r="B17" s="6" t="n"/>
      <c r="C17" s="11" t="inlineStr">
        <is>
          <t>B</t>
        </is>
      </c>
      <c r="D17" s="11" t="inlineStr">
        <is>
          <t>B</t>
        </is>
      </c>
      <c r="E17" s="11" t="inlineStr">
        <is>
          <t>B</t>
        </is>
      </c>
      <c r="F17" s="11" t="inlineStr">
        <is>
          <t>B</t>
        </is>
      </c>
      <c r="G17" s="11" t="inlineStr">
        <is>
          <t>B</t>
        </is>
      </c>
      <c r="H17" s="11" t="inlineStr">
        <is>
          <t>B</t>
        </is>
      </c>
      <c r="I17" s="11" t="inlineStr">
        <is>
          <t>B</t>
        </is>
      </c>
      <c r="J17" s="11" t="inlineStr">
        <is>
          <t>B</t>
        </is>
      </c>
      <c r="K17" s="11" t="inlineStr">
        <is>
          <t>B</t>
        </is>
      </c>
      <c r="L17" s="11" t="inlineStr">
        <is>
          <t>B</t>
        </is>
      </c>
      <c r="M17" s="11" t="inlineStr">
        <is>
          <t>B</t>
        </is>
      </c>
      <c r="N17" s="11" t="inlineStr">
        <is>
          <t>B</t>
        </is>
      </c>
      <c r="O17" s="9" t="inlineStr">
        <is>
          <t>C</t>
        </is>
      </c>
      <c r="P17" s="6" t="n"/>
    </row>
  </sheetData>
  <mergeCells count="9">
    <mergeCell ref="K4:N4"/>
    <mergeCell ref="B4:B5"/>
    <mergeCell ref="C4:F4"/>
    <mergeCell ref="A2:R2"/>
    <mergeCell ref="A4:A5"/>
    <mergeCell ref="G4:J4"/>
    <mergeCell ref="O4:O5"/>
    <mergeCell ref="P4:P5"/>
    <mergeCell ref="A1:R1"/>
  </mergeCells>
  <dataValidations count="1">
    <dataValidation sqref="C6 C7 C8 C9 C10 C11 C12 C13 C14 C15 C16 C17 D6 D7 D8 D9 D10 D11 D12 D13 D14 D15 D16 D17 E6 E7 E8 E9 E10 E11 E12 E13 E14 E15 E16 E17 F6 F7 F8 F9 F10 F11 F12 F13 F14 F15 F16 F17 G6 G7 G8 G9 G10 G11 G12 G13 G14 G15 G16 G17 H6 H7 H8 H9 H10 H11 H12 H13 H14 H15 H16 H17 I6 I7 I8 I9 I10 I11 I12 I13 I14 I15 I16 I17 J6 J7 J8 J9 J10 J11 J12 J13 J14 J15 J16 J17 K6 K7 K8 K9 K10 K11 K12 K13 K14 K15 K16 K17 L6 L7 L8 L9 L10 L11 L12 L13 L14 L15 L16 L17 M6 M7 M8 M9 M10 M11 M12 M13 M14 M15 M16 M17 N6 N7 N8 N9 N10 N11 N12 N13 N14 N15 N16 N17" showDropDown="0" showInputMessage="0" showErrorMessage="0" allowBlank="1" type="list">
      <formula1>"A,B,C"</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 供管自评5项（Q2）</t>
        </is>
      </c>
    </row>
    <row r="2">
      <c r="A2" s="4" t="inlineStr">
        <is>
          <t>规则：高=1分 | 中=0分 | 低=0分 | 加分=5项中评高的项数（封顶5）</t>
        </is>
      </c>
    </row>
    <row r="4">
      <c r="A4" s="5" t="inlineStr">
        <is>
          <t>供应商ID</t>
        </is>
      </c>
      <c r="B4" s="5" t="inlineStr">
        <is>
          <t>供应商名称</t>
        </is>
      </c>
      <c r="C4" s="5" t="inlineStr">
        <is>
          <t>战略协作</t>
        </is>
      </c>
      <c r="D4" s="5" t="inlineStr">
        <is>
          <t>响应质量</t>
        </is>
      </c>
      <c r="E4" s="5" t="inlineStr">
        <is>
          <t>高效执行</t>
        </is>
      </c>
      <c r="F4" s="5" t="inlineStr">
        <is>
          <t>共同成长</t>
        </is>
      </c>
      <c r="G4" s="5" t="inlineStr">
        <is>
          <t>坦诚透明</t>
        </is>
      </c>
      <c r="H4" s="5" t="inlineStr">
        <is>
          <t>自评加分</t>
        </is>
      </c>
    </row>
    <row r="5">
      <c r="A5" s="6" t="inlineStr">
        <is>
          <t>S001</t>
        </is>
      </c>
      <c r="B5" s="6" t="inlineStr">
        <is>
          <t>供应商A-均衡优</t>
        </is>
      </c>
      <c r="C5" s="6" t="inlineStr">
        <is>
          <t>高</t>
        </is>
      </c>
      <c r="D5" s="6" t="inlineStr">
        <is>
          <t>高</t>
        </is>
      </c>
      <c r="E5" s="6" t="inlineStr">
        <is>
          <t>高</t>
        </is>
      </c>
      <c r="F5" s="6" t="inlineStr">
        <is>
          <t>高</t>
        </is>
      </c>
      <c r="G5" s="6" t="inlineStr">
        <is>
          <t>高</t>
        </is>
      </c>
      <c r="H5" s="9">
        <f>COUNTIF(C5:G5,"高")</f>
        <v/>
      </c>
    </row>
    <row r="6">
      <c r="A6" s="6" t="inlineStr">
        <is>
          <t>S002</t>
        </is>
      </c>
      <c r="B6" s="6" t="inlineStr">
        <is>
          <t>供应商B-首贷强</t>
        </is>
      </c>
      <c r="C6" s="6" t="inlineStr">
        <is>
          <t>高</t>
        </is>
      </c>
      <c r="D6" s="6" t="inlineStr">
        <is>
          <t>高</t>
        </is>
      </c>
      <c r="E6" s="6" t="inlineStr">
        <is>
          <t>高</t>
        </is>
      </c>
      <c r="F6" s="6" t="inlineStr">
        <is>
          <t>中</t>
        </is>
      </c>
      <c r="G6" s="6" t="inlineStr">
        <is>
          <t>高</t>
        </is>
      </c>
      <c r="H6" s="9">
        <f>COUNTIF(C6:G6,"高")</f>
        <v/>
      </c>
    </row>
    <row r="7">
      <c r="A7" s="6" t="inlineStr">
        <is>
          <t>S003</t>
        </is>
      </c>
      <c r="B7" s="6" t="inlineStr">
        <is>
          <t>供应商C-均衡良</t>
        </is>
      </c>
      <c r="C7" s="6" t="inlineStr">
        <is>
          <t>高</t>
        </is>
      </c>
      <c r="D7" s="6" t="inlineStr">
        <is>
          <t>高</t>
        </is>
      </c>
      <c r="E7" s="6" t="inlineStr">
        <is>
          <t>中</t>
        </is>
      </c>
      <c r="F7" s="6" t="inlineStr">
        <is>
          <t>高</t>
        </is>
      </c>
      <c r="G7" s="6" t="inlineStr">
        <is>
          <t>高</t>
        </is>
      </c>
      <c r="H7" s="9">
        <f>COUNTIF(C7:G7,"高")</f>
        <v/>
      </c>
    </row>
    <row r="8">
      <c r="A8" s="6" t="inlineStr">
        <is>
          <t>S004</t>
        </is>
      </c>
      <c r="B8" s="6" t="inlineStr">
        <is>
          <t>供应商D-复贷强</t>
        </is>
      </c>
      <c r="C8" s="6" t="inlineStr">
        <is>
          <t>高</t>
        </is>
      </c>
      <c r="D8" s="6" t="inlineStr">
        <is>
          <t>中</t>
        </is>
      </c>
      <c r="E8" s="6" t="inlineStr">
        <is>
          <t>高</t>
        </is>
      </c>
      <c r="F8" s="6" t="inlineStr">
        <is>
          <t>中</t>
        </is>
      </c>
      <c r="G8" s="6" t="inlineStr">
        <is>
          <t>高</t>
        </is>
      </c>
      <c r="H8" s="9">
        <f>COUNTIF(C8:G8,"高")</f>
        <v/>
      </c>
    </row>
    <row r="9">
      <c r="A9" s="6" t="inlineStr">
        <is>
          <t>S005</t>
        </is>
      </c>
      <c r="B9" s="6" t="inlineStr">
        <is>
          <t>供应商E-中上</t>
        </is>
      </c>
      <c r="C9" s="6" t="inlineStr">
        <is>
          <t>中</t>
        </is>
      </c>
      <c r="D9" s="6" t="inlineStr">
        <is>
          <t>高</t>
        </is>
      </c>
      <c r="E9" s="6" t="inlineStr">
        <is>
          <t>中</t>
        </is>
      </c>
      <c r="F9" s="6" t="inlineStr">
        <is>
          <t>高</t>
        </is>
      </c>
      <c r="G9" s="6" t="inlineStr">
        <is>
          <t>中</t>
        </is>
      </c>
      <c r="H9" s="9">
        <f>COUNTIF(C9:G9,"高")</f>
        <v/>
      </c>
    </row>
    <row r="10">
      <c r="A10" s="6" t="inlineStr">
        <is>
          <t>S006</t>
        </is>
      </c>
      <c r="B10" s="6" t="inlineStr">
        <is>
          <t>供应商F-中</t>
        </is>
      </c>
      <c r="C10" s="6" t="inlineStr">
        <is>
          <t>中</t>
        </is>
      </c>
      <c r="D10" s="6" t="inlineStr">
        <is>
          <t>中</t>
        </is>
      </c>
      <c r="E10" s="6" t="inlineStr">
        <is>
          <t>高</t>
        </is>
      </c>
      <c r="F10" s="6" t="inlineStr">
        <is>
          <t>中</t>
        </is>
      </c>
      <c r="G10" s="6" t="inlineStr">
        <is>
          <t>中</t>
        </is>
      </c>
      <c r="H10" s="9">
        <f>COUNTIF(C10:G10,"高")</f>
        <v/>
      </c>
    </row>
    <row r="11">
      <c r="A11" s="6" t="inlineStr">
        <is>
          <t>S007</t>
        </is>
      </c>
      <c r="B11" s="6" t="inlineStr">
        <is>
          <t>供应商G-中</t>
        </is>
      </c>
      <c r="C11" s="6" t="inlineStr">
        <is>
          <t>中</t>
        </is>
      </c>
      <c r="D11" s="6" t="inlineStr">
        <is>
          <t>中</t>
        </is>
      </c>
      <c r="E11" s="6" t="inlineStr">
        <is>
          <t>中</t>
        </is>
      </c>
      <c r="F11" s="6" t="inlineStr">
        <is>
          <t>高</t>
        </is>
      </c>
      <c r="G11" s="6" t="inlineStr">
        <is>
          <t>中</t>
        </is>
      </c>
      <c r="H11" s="9">
        <f>COUNTIF(C11:G11,"高")</f>
        <v/>
      </c>
    </row>
    <row r="12">
      <c r="A12" s="6" t="inlineStr">
        <is>
          <t>S008</t>
        </is>
      </c>
      <c r="B12" s="6" t="inlineStr">
        <is>
          <t>供应商H-中下</t>
        </is>
      </c>
      <c r="C12" s="6" t="inlineStr">
        <is>
          <t>中</t>
        </is>
      </c>
      <c r="D12" s="6" t="inlineStr">
        <is>
          <t>低</t>
        </is>
      </c>
      <c r="E12" s="6" t="inlineStr">
        <is>
          <t>中</t>
        </is>
      </c>
      <c r="F12" s="6" t="inlineStr">
        <is>
          <t>中</t>
        </is>
      </c>
      <c r="G12" s="6" t="inlineStr">
        <is>
          <t>中</t>
        </is>
      </c>
      <c r="H12" s="9">
        <f>COUNTIF(C12:G12,"高")</f>
        <v/>
      </c>
    </row>
    <row r="13">
      <c r="A13" s="6" t="inlineStr">
        <is>
          <t>S009</t>
        </is>
      </c>
      <c r="B13" s="6" t="inlineStr">
        <is>
          <t>供应商I-中边</t>
        </is>
      </c>
      <c r="C13" s="6" t="inlineStr">
        <is>
          <t>低</t>
        </is>
      </c>
      <c r="D13" s="6" t="inlineStr">
        <is>
          <t>中</t>
        </is>
      </c>
      <c r="E13" s="6" t="inlineStr">
        <is>
          <t>中</t>
        </is>
      </c>
      <c r="F13" s="6" t="inlineStr">
        <is>
          <t>中</t>
        </is>
      </c>
      <c r="G13" s="6" t="inlineStr">
        <is>
          <t>低</t>
        </is>
      </c>
      <c r="H13" s="9">
        <f>COUNTIF(C13:G13,"高")</f>
        <v/>
      </c>
    </row>
    <row r="14">
      <c r="A14" s="6" t="inlineStr">
        <is>
          <t>S010</t>
        </is>
      </c>
      <c r="B14" s="6" t="inlineStr">
        <is>
          <t>供应商J-差边</t>
        </is>
      </c>
      <c r="C14" s="6" t="inlineStr">
        <is>
          <t>低</t>
        </is>
      </c>
      <c r="D14" s="6" t="inlineStr">
        <is>
          <t>低</t>
        </is>
      </c>
      <c r="E14" s="6" t="inlineStr">
        <is>
          <t>中</t>
        </is>
      </c>
      <c r="F14" s="6" t="inlineStr">
        <is>
          <t>低</t>
        </is>
      </c>
      <c r="G14" s="6" t="inlineStr">
        <is>
          <t>中</t>
        </is>
      </c>
      <c r="H14" s="9">
        <f>COUNTIF(C14:G14,"高")</f>
        <v/>
      </c>
    </row>
    <row r="15">
      <c r="A15" s="6" t="inlineStr">
        <is>
          <t>S011</t>
        </is>
      </c>
      <c r="B15" s="6" t="inlineStr">
        <is>
          <t>供应商K-差</t>
        </is>
      </c>
      <c r="C15" s="6" t="inlineStr">
        <is>
          <t>低</t>
        </is>
      </c>
      <c r="D15" s="6" t="inlineStr">
        <is>
          <t>低</t>
        </is>
      </c>
      <c r="E15" s="6" t="inlineStr">
        <is>
          <t>低</t>
        </is>
      </c>
      <c r="F15" s="6" t="inlineStr">
        <is>
          <t>中</t>
        </is>
      </c>
      <c r="G15" s="6" t="inlineStr">
        <is>
          <t>低</t>
        </is>
      </c>
      <c r="H15" s="9">
        <f>COUNTIF(C15:G15,"高")</f>
        <v/>
      </c>
    </row>
    <row r="16">
      <c r="A16" s="6" t="inlineStr">
        <is>
          <t>S012</t>
        </is>
      </c>
      <c r="B16" s="6" t="inlineStr">
        <is>
          <t>供应商L-差红</t>
        </is>
      </c>
      <c r="C16" s="6" t="inlineStr">
        <is>
          <t>低</t>
        </is>
      </c>
      <c r="D16" s="6" t="inlineStr">
        <is>
          <t>低</t>
        </is>
      </c>
      <c r="E16" s="6" t="inlineStr">
        <is>
          <t>低</t>
        </is>
      </c>
      <c r="F16" s="6" t="inlineStr">
        <is>
          <t>低</t>
        </is>
      </c>
      <c r="G16" s="6" t="inlineStr">
        <is>
          <t>低</t>
        </is>
      </c>
      <c r="H16" s="9">
        <f>COUNTIF(C16:G16,"高")</f>
        <v/>
      </c>
    </row>
  </sheetData>
  <mergeCells count="2">
    <mergeCell ref="A2:H2"/>
    <mergeCell ref="A1:H1"/>
  </mergeCells>
  <dataValidations count="1">
    <dataValidation sqref="C5 C6 C7 C8 C9 C10 C11 C12 C13 C14 C15 C16 D5 D6 D7 D8 D9 D10 D11 D12 D13 D14 D15 D16 E5 E6 E7 E8 E9 E10 E11 E12 E13 E14 E15 E16 F5 F6 F7 F8 F9 F10 F11 F12 F13 F14 F15 F16 G5 G6 G7 G8 G9 G10 G11 G12 G13 G14 G15 G16" showDropDown="0" showInputMessage="0" showErrorMessage="0" allowBlank="1" type="list">
      <formula1>"高,中,低"</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9"/>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14" customWidth="1" min="3" max="3"/>
    <col width="12" customWidth="1" min="4" max="4"/>
    <col width="14" customWidth="1" min="5" max="5"/>
    <col width="14" customWidth="1" min="6" max="6"/>
    <col width="12" customWidth="1" min="7" max="7"/>
    <col width="8" customWidth="1" min="8" max="8"/>
    <col width="10" customWidth="1" min="9" max="9"/>
    <col width="10" customWidth="1" min="10" max="10"/>
    <col width="10" customWidth="1" min="11" max="11"/>
    <col width="14" customWidth="1" min="12" max="12"/>
    <col width="12" customWidth="1" min="13" max="13"/>
    <col width="12" customWidth="1" min="14" max="14"/>
    <col width="22" customWidth="1" min="15" max="15"/>
  </cols>
  <sheetData>
    <row r="1">
      <c r="A1" s="1" t="inlineStr">
        <is>
          <t>🏆 供应商分级评级结果（自动计算）</t>
        </is>
      </c>
    </row>
    <row r="2">
      <c r="A2" s="4" t="inlineStr">
        <is>
          <t>⚠️ 本表全部自动计算，无需手动修改。数据源：Sheet 1-4</t>
        </is>
      </c>
    </row>
    <row r="4">
      <c r="A4" s="5" t="inlineStr">
        <is>
          <t>供应商ID</t>
        </is>
      </c>
      <c r="B4" s="5" t="inlineStr">
        <is>
          <t>供应商名称</t>
        </is>
      </c>
      <c r="C4" s="5" t="inlineStr">
        <is>
          <t>Q2赛马基础分</t>
        </is>
      </c>
      <c r="D4" s="5" t="inlineStr">
        <is>
          <t>Q2合规扣分</t>
        </is>
      </c>
      <c r="E4" s="5" t="inlineStr">
        <is>
          <t>Q2稳定性得分</t>
        </is>
      </c>
      <c r="F4" s="5" t="inlineStr">
        <is>
          <t>Q2供管自评加分</t>
        </is>
      </c>
      <c r="G4" s="5" t="inlineStr">
        <is>
          <t>最终得分</t>
        </is>
      </c>
      <c r="H4" s="5" t="inlineStr">
        <is>
          <t>排名</t>
        </is>
      </c>
      <c r="I4" s="5" t="inlineStr">
        <is>
          <t>X档(贡献)</t>
        </is>
      </c>
      <c r="J4" s="5" t="inlineStr">
        <is>
          <t>环比%</t>
        </is>
      </c>
      <c r="K4" s="5" t="inlineStr">
        <is>
          <t>Y档(趋势)</t>
        </is>
      </c>
      <c r="L4" s="5" t="inlineStr">
        <is>
          <t>九宫格位置</t>
        </is>
      </c>
      <c r="M4" s="5" t="inlineStr">
        <is>
          <t>ABC评级</t>
        </is>
      </c>
      <c r="N4" s="5" t="inlineStr">
        <is>
          <t>偏科标记</t>
        </is>
      </c>
      <c r="O4" s="5" t="inlineStr">
        <is>
          <t>评级说明</t>
        </is>
      </c>
    </row>
    <row r="5">
      <c r="A5" s="12">
        <f>IF('1.赛马分原始数据'!A4="","",'1.赛马分原始数据'!A4)</f>
        <v/>
      </c>
      <c r="B5" s="12">
        <f>IF('1.赛马分原始数据'!B4="","",'1.赛马分原始数据'!B4)</f>
        <v/>
      </c>
      <c r="C5" s="13">
        <f>'1.赛马分原始数据'!T4</f>
        <v/>
      </c>
      <c r="D5" s="12">
        <f>'2.SLA扣分台账'!F4</f>
        <v/>
      </c>
      <c r="E5" s="12">
        <f>'3.稳定性检查表'!O4</f>
        <v/>
      </c>
      <c r="F5" s="12">
        <f>'4.供管自评表'!H4</f>
        <v/>
      </c>
      <c r="G5" s="14">
        <f>ROUND(C5-D5+E5+F5,1)</f>
        <v/>
      </c>
      <c r="H5" s="12">
        <f>IF(G5=0,"",RANK(G5,$G$5:$G$16,0))</f>
        <v/>
      </c>
      <c r="I5" s="9">
        <f>IF(H5="","",IF(H5&lt;=4,"高",IF(H5&lt;=9,"中","低")))</f>
        <v/>
      </c>
      <c r="J5" s="15">
        <f>'1.赛马分原始数据'!U4</f>
        <v/>
      </c>
      <c r="K5" s="9">
        <f>'1.赛马分原始数据'!V4</f>
        <v/>
      </c>
      <c r="L5" s="9">
        <f>IF(OR(I5="",K5="数据不全"),"",I5&amp;"-"&amp;K5)</f>
        <v/>
      </c>
      <c r="M5" s="14">
        <f>IF(B5="","",IF('2.SLA扣分台账'!G4="是·直接C级","C(红线)",IF(I5="高",IF(K5="下降","A(防下滑)","A"),IF(I5="中","B",IF(I5="低","C","")))))</f>
        <v/>
      </c>
      <c r="N5" s="9">
        <f>'1.赛马分原始数据'!W4</f>
        <v/>
      </c>
      <c r="O5" s="12">
        <f>IF(M5="","",IF(LEFT(M5,1)="A","优秀·资源优先倾斜",IF(LEFT(M5,1)="B","合格·维持现状",IF(LEFT(M5,1)="C","不合格·整改或清退",""))))</f>
        <v/>
      </c>
    </row>
    <row r="6">
      <c r="A6" s="12">
        <f>IF('1.赛马分原始数据'!A5="","",'1.赛马分原始数据'!A5)</f>
        <v/>
      </c>
      <c r="B6" s="12">
        <f>IF('1.赛马分原始数据'!B5="","",'1.赛马分原始数据'!B5)</f>
        <v/>
      </c>
      <c r="C6" s="13">
        <f>'1.赛马分原始数据'!T5</f>
        <v/>
      </c>
      <c r="D6" s="12">
        <f>'2.SLA扣分台账'!F5</f>
        <v/>
      </c>
      <c r="E6" s="12">
        <f>'3.稳定性检查表'!O5</f>
        <v/>
      </c>
      <c r="F6" s="12">
        <f>'4.供管自评表'!H5</f>
        <v/>
      </c>
      <c r="G6" s="14">
        <f>ROUND(C6-D6+E6+F6,1)</f>
        <v/>
      </c>
      <c r="H6" s="12">
        <f>IF(G6=0,"",RANK(G6,$G$5:$G$16,0))</f>
        <v/>
      </c>
      <c r="I6" s="9">
        <f>IF(H6="","",IF(H6&lt;=4,"高",IF(H6&lt;=9,"中","低")))</f>
        <v/>
      </c>
      <c r="J6" s="15">
        <f>'1.赛马分原始数据'!U5</f>
        <v/>
      </c>
      <c r="K6" s="9">
        <f>'1.赛马分原始数据'!V5</f>
        <v/>
      </c>
      <c r="L6" s="9">
        <f>IF(OR(I6="",K6="数据不全"),"",I6&amp;"-"&amp;K6)</f>
        <v/>
      </c>
      <c r="M6" s="14">
        <f>IF(B6="","",IF('2.SLA扣分台账'!G5="是·直接C级","C(红线)",IF(I6="高",IF(K6="下降","A(防下滑)","A"),IF(I6="中","B",IF(I6="低","C","")))))</f>
        <v/>
      </c>
      <c r="N6" s="9">
        <f>'1.赛马分原始数据'!W5</f>
        <v/>
      </c>
      <c r="O6" s="12">
        <f>IF(M6="","",IF(LEFT(M6,1)="A","优秀·资源优先倾斜",IF(LEFT(M6,1)="B","合格·维持现状",IF(LEFT(M6,1)="C","不合格·整改或清退",""))))</f>
        <v/>
      </c>
    </row>
    <row r="7">
      <c r="A7" s="12">
        <f>IF('1.赛马分原始数据'!A6="","",'1.赛马分原始数据'!A6)</f>
        <v/>
      </c>
      <c r="B7" s="12">
        <f>IF('1.赛马分原始数据'!B6="","",'1.赛马分原始数据'!B6)</f>
        <v/>
      </c>
      <c r="C7" s="13">
        <f>'1.赛马分原始数据'!T6</f>
        <v/>
      </c>
      <c r="D7" s="12">
        <f>'2.SLA扣分台账'!F6</f>
        <v/>
      </c>
      <c r="E7" s="12">
        <f>'3.稳定性检查表'!O6</f>
        <v/>
      </c>
      <c r="F7" s="12">
        <f>'4.供管自评表'!H6</f>
        <v/>
      </c>
      <c r="G7" s="14">
        <f>ROUND(C7-D7+E7+F7,1)</f>
        <v/>
      </c>
      <c r="H7" s="12">
        <f>IF(G7=0,"",RANK(G7,$G$5:$G$16,0))</f>
        <v/>
      </c>
      <c r="I7" s="9">
        <f>IF(H7="","",IF(H7&lt;=4,"高",IF(H7&lt;=9,"中","低")))</f>
        <v/>
      </c>
      <c r="J7" s="15">
        <f>'1.赛马分原始数据'!U6</f>
        <v/>
      </c>
      <c r="K7" s="9">
        <f>'1.赛马分原始数据'!V6</f>
        <v/>
      </c>
      <c r="L7" s="9">
        <f>IF(OR(I7="",K7="数据不全"),"",I7&amp;"-"&amp;K7)</f>
        <v/>
      </c>
      <c r="M7" s="14">
        <f>IF(B7="","",IF('2.SLA扣分台账'!G6="是·直接C级","C(红线)",IF(I7="高",IF(K7="下降","A(防下滑)","A"),IF(I7="中","B",IF(I7="低","C","")))))</f>
        <v/>
      </c>
      <c r="N7" s="9">
        <f>'1.赛马分原始数据'!W6</f>
        <v/>
      </c>
      <c r="O7" s="12">
        <f>IF(M7="","",IF(LEFT(M7,1)="A","优秀·资源优先倾斜",IF(LEFT(M7,1)="B","合格·维持现状",IF(LEFT(M7,1)="C","不合格·整改或清退",""))))</f>
        <v/>
      </c>
    </row>
    <row r="8">
      <c r="A8" s="12">
        <f>IF('1.赛马分原始数据'!A7="","",'1.赛马分原始数据'!A7)</f>
        <v/>
      </c>
      <c r="B8" s="12">
        <f>IF('1.赛马分原始数据'!B7="","",'1.赛马分原始数据'!B7)</f>
        <v/>
      </c>
      <c r="C8" s="13">
        <f>'1.赛马分原始数据'!T7</f>
        <v/>
      </c>
      <c r="D8" s="12">
        <f>'2.SLA扣分台账'!F7</f>
        <v/>
      </c>
      <c r="E8" s="12">
        <f>'3.稳定性检查表'!O7</f>
        <v/>
      </c>
      <c r="F8" s="12">
        <f>'4.供管自评表'!H7</f>
        <v/>
      </c>
      <c r="G8" s="14">
        <f>ROUND(C8-D8+E8+F8,1)</f>
        <v/>
      </c>
      <c r="H8" s="12">
        <f>IF(G8=0,"",RANK(G8,$G$5:$G$16,0))</f>
        <v/>
      </c>
      <c r="I8" s="9">
        <f>IF(H8="","",IF(H8&lt;=4,"高",IF(H8&lt;=9,"中","低")))</f>
        <v/>
      </c>
      <c r="J8" s="15">
        <f>'1.赛马分原始数据'!U7</f>
        <v/>
      </c>
      <c r="K8" s="9">
        <f>'1.赛马分原始数据'!V7</f>
        <v/>
      </c>
      <c r="L8" s="9">
        <f>IF(OR(I8="",K8="数据不全"),"",I8&amp;"-"&amp;K8)</f>
        <v/>
      </c>
      <c r="M8" s="14">
        <f>IF(B8="","",IF('2.SLA扣分台账'!G7="是·直接C级","C(红线)",IF(I8="高",IF(K8="下降","A(防下滑)","A"),IF(I8="中","B",IF(I8="低","C","")))))</f>
        <v/>
      </c>
      <c r="N8" s="9">
        <f>'1.赛马分原始数据'!W7</f>
        <v/>
      </c>
      <c r="O8" s="12">
        <f>IF(M8="","",IF(LEFT(M8,1)="A","优秀·资源优先倾斜",IF(LEFT(M8,1)="B","合格·维持现状",IF(LEFT(M8,1)="C","不合格·整改或清退",""))))</f>
        <v/>
      </c>
    </row>
    <row r="9">
      <c r="A9" s="12">
        <f>IF('1.赛马分原始数据'!A8="","",'1.赛马分原始数据'!A8)</f>
        <v/>
      </c>
      <c r="B9" s="12">
        <f>IF('1.赛马分原始数据'!B8="","",'1.赛马分原始数据'!B8)</f>
        <v/>
      </c>
      <c r="C9" s="13">
        <f>'1.赛马分原始数据'!T8</f>
        <v/>
      </c>
      <c r="D9" s="12">
        <f>'2.SLA扣分台账'!F8</f>
        <v/>
      </c>
      <c r="E9" s="12">
        <f>'3.稳定性检查表'!O8</f>
        <v/>
      </c>
      <c r="F9" s="12">
        <f>'4.供管自评表'!H8</f>
        <v/>
      </c>
      <c r="G9" s="14">
        <f>ROUND(C9-D9+E9+F9,1)</f>
        <v/>
      </c>
      <c r="H9" s="12">
        <f>IF(G9=0,"",RANK(G9,$G$5:$G$16,0))</f>
        <v/>
      </c>
      <c r="I9" s="9">
        <f>IF(H9="","",IF(H9&lt;=4,"高",IF(H9&lt;=9,"中","低")))</f>
        <v/>
      </c>
      <c r="J9" s="15">
        <f>'1.赛马分原始数据'!U8</f>
        <v/>
      </c>
      <c r="K9" s="9">
        <f>'1.赛马分原始数据'!V8</f>
        <v/>
      </c>
      <c r="L9" s="9">
        <f>IF(OR(I9="",K9="数据不全"),"",I9&amp;"-"&amp;K9)</f>
        <v/>
      </c>
      <c r="M9" s="14">
        <f>IF(B9="","",IF('2.SLA扣分台账'!G8="是·直接C级","C(红线)",IF(I9="高",IF(K9="下降","A(防下滑)","A"),IF(I9="中","B",IF(I9="低","C","")))))</f>
        <v/>
      </c>
      <c r="N9" s="9">
        <f>'1.赛马分原始数据'!W8</f>
        <v/>
      </c>
      <c r="O9" s="12">
        <f>IF(M9="","",IF(LEFT(M9,1)="A","优秀·资源优先倾斜",IF(LEFT(M9,1)="B","合格·维持现状",IF(LEFT(M9,1)="C","不合格·整改或清退",""))))</f>
        <v/>
      </c>
    </row>
    <row r="10">
      <c r="A10" s="12">
        <f>IF('1.赛马分原始数据'!A9="","",'1.赛马分原始数据'!A9)</f>
        <v/>
      </c>
      <c r="B10" s="12">
        <f>IF('1.赛马分原始数据'!B9="","",'1.赛马分原始数据'!B9)</f>
        <v/>
      </c>
      <c r="C10" s="13">
        <f>'1.赛马分原始数据'!T9</f>
        <v/>
      </c>
      <c r="D10" s="12">
        <f>'2.SLA扣分台账'!F9</f>
        <v/>
      </c>
      <c r="E10" s="12">
        <f>'3.稳定性检查表'!O9</f>
        <v/>
      </c>
      <c r="F10" s="12">
        <f>'4.供管自评表'!H9</f>
        <v/>
      </c>
      <c r="G10" s="14">
        <f>ROUND(C10-D10+E10+F10,1)</f>
        <v/>
      </c>
      <c r="H10" s="12">
        <f>IF(G10=0,"",RANK(G10,$G$5:$G$16,0))</f>
        <v/>
      </c>
      <c r="I10" s="9">
        <f>IF(H10="","",IF(H10&lt;=4,"高",IF(H10&lt;=9,"中","低")))</f>
        <v/>
      </c>
      <c r="J10" s="15">
        <f>'1.赛马分原始数据'!U9</f>
        <v/>
      </c>
      <c r="K10" s="9">
        <f>'1.赛马分原始数据'!V9</f>
        <v/>
      </c>
      <c r="L10" s="9">
        <f>IF(OR(I10="",K10="数据不全"),"",I10&amp;"-"&amp;K10)</f>
        <v/>
      </c>
      <c r="M10" s="14">
        <f>IF(B10="","",IF('2.SLA扣分台账'!G9="是·直接C级","C(红线)",IF(I10="高",IF(K10="下降","A(防下滑)","A"),IF(I10="中","B",IF(I10="低","C","")))))</f>
        <v/>
      </c>
      <c r="N10" s="9">
        <f>'1.赛马分原始数据'!W9</f>
        <v/>
      </c>
      <c r="O10" s="12">
        <f>IF(M10="","",IF(LEFT(M10,1)="A","优秀·资源优先倾斜",IF(LEFT(M10,1)="B","合格·维持现状",IF(LEFT(M10,1)="C","不合格·整改或清退",""))))</f>
        <v/>
      </c>
    </row>
    <row r="11">
      <c r="A11" s="12">
        <f>IF('1.赛马分原始数据'!A10="","",'1.赛马分原始数据'!A10)</f>
        <v/>
      </c>
      <c r="B11" s="12">
        <f>IF('1.赛马分原始数据'!B10="","",'1.赛马分原始数据'!B10)</f>
        <v/>
      </c>
      <c r="C11" s="13">
        <f>'1.赛马分原始数据'!T10</f>
        <v/>
      </c>
      <c r="D11" s="12">
        <f>'2.SLA扣分台账'!F10</f>
        <v/>
      </c>
      <c r="E11" s="12">
        <f>'3.稳定性检查表'!O10</f>
        <v/>
      </c>
      <c r="F11" s="12">
        <f>'4.供管自评表'!H10</f>
        <v/>
      </c>
      <c r="G11" s="14">
        <f>ROUND(C11-D11+E11+F11,1)</f>
        <v/>
      </c>
      <c r="H11" s="12">
        <f>IF(G11=0,"",RANK(G11,$G$5:$G$16,0))</f>
        <v/>
      </c>
      <c r="I11" s="9">
        <f>IF(H11="","",IF(H11&lt;=4,"高",IF(H11&lt;=9,"中","低")))</f>
        <v/>
      </c>
      <c r="J11" s="15">
        <f>'1.赛马分原始数据'!U10</f>
        <v/>
      </c>
      <c r="K11" s="9">
        <f>'1.赛马分原始数据'!V10</f>
        <v/>
      </c>
      <c r="L11" s="9">
        <f>IF(OR(I11="",K11="数据不全"),"",I11&amp;"-"&amp;K11)</f>
        <v/>
      </c>
      <c r="M11" s="14">
        <f>IF(B11="","",IF('2.SLA扣分台账'!G10="是·直接C级","C(红线)",IF(I11="高",IF(K11="下降","A(防下滑)","A"),IF(I11="中","B",IF(I11="低","C","")))))</f>
        <v/>
      </c>
      <c r="N11" s="9">
        <f>'1.赛马分原始数据'!W10</f>
        <v/>
      </c>
      <c r="O11" s="12">
        <f>IF(M11="","",IF(LEFT(M11,1)="A","优秀·资源优先倾斜",IF(LEFT(M11,1)="B","合格·维持现状",IF(LEFT(M11,1)="C","不合格·整改或清退",""))))</f>
        <v/>
      </c>
    </row>
    <row r="12">
      <c r="A12" s="12">
        <f>IF('1.赛马分原始数据'!A11="","",'1.赛马分原始数据'!A11)</f>
        <v/>
      </c>
      <c r="B12" s="12">
        <f>IF('1.赛马分原始数据'!B11="","",'1.赛马分原始数据'!B11)</f>
        <v/>
      </c>
      <c r="C12" s="13">
        <f>'1.赛马分原始数据'!T11</f>
        <v/>
      </c>
      <c r="D12" s="12">
        <f>'2.SLA扣分台账'!F11</f>
        <v/>
      </c>
      <c r="E12" s="12">
        <f>'3.稳定性检查表'!O11</f>
        <v/>
      </c>
      <c r="F12" s="12">
        <f>'4.供管自评表'!H11</f>
        <v/>
      </c>
      <c r="G12" s="14">
        <f>ROUND(C12-D12+E12+F12,1)</f>
        <v/>
      </c>
      <c r="H12" s="12">
        <f>IF(G12=0,"",RANK(G12,$G$5:$G$16,0))</f>
        <v/>
      </c>
      <c r="I12" s="9">
        <f>IF(H12="","",IF(H12&lt;=4,"高",IF(H12&lt;=9,"中","低")))</f>
        <v/>
      </c>
      <c r="J12" s="15">
        <f>'1.赛马分原始数据'!U11</f>
        <v/>
      </c>
      <c r="K12" s="9">
        <f>'1.赛马分原始数据'!V11</f>
        <v/>
      </c>
      <c r="L12" s="9">
        <f>IF(OR(I12="",K12="数据不全"),"",I12&amp;"-"&amp;K12)</f>
        <v/>
      </c>
      <c r="M12" s="14">
        <f>IF(B12="","",IF('2.SLA扣分台账'!G11="是·直接C级","C(红线)",IF(I12="高",IF(K12="下降","A(防下滑)","A"),IF(I12="中","B",IF(I12="低","C","")))))</f>
        <v/>
      </c>
      <c r="N12" s="9">
        <f>'1.赛马分原始数据'!W11</f>
        <v/>
      </c>
      <c r="O12" s="12">
        <f>IF(M12="","",IF(LEFT(M12,1)="A","优秀·资源优先倾斜",IF(LEFT(M12,1)="B","合格·维持现状",IF(LEFT(M12,1)="C","不合格·整改或清退",""))))</f>
        <v/>
      </c>
    </row>
    <row r="13">
      <c r="A13" s="12">
        <f>IF('1.赛马分原始数据'!A12="","",'1.赛马分原始数据'!A12)</f>
        <v/>
      </c>
      <c r="B13" s="12">
        <f>IF('1.赛马分原始数据'!B12="","",'1.赛马分原始数据'!B12)</f>
        <v/>
      </c>
      <c r="C13" s="13">
        <f>'1.赛马分原始数据'!T12</f>
        <v/>
      </c>
      <c r="D13" s="12">
        <f>'2.SLA扣分台账'!F12</f>
        <v/>
      </c>
      <c r="E13" s="12">
        <f>'3.稳定性检查表'!O12</f>
        <v/>
      </c>
      <c r="F13" s="12">
        <f>'4.供管自评表'!H12</f>
        <v/>
      </c>
      <c r="G13" s="14">
        <f>ROUND(C13-D13+E13+F13,1)</f>
        <v/>
      </c>
      <c r="H13" s="12">
        <f>IF(G13=0,"",RANK(G13,$G$5:$G$16,0))</f>
        <v/>
      </c>
      <c r="I13" s="9">
        <f>IF(H13="","",IF(H13&lt;=4,"高",IF(H13&lt;=9,"中","低")))</f>
        <v/>
      </c>
      <c r="J13" s="15">
        <f>'1.赛马分原始数据'!U12</f>
        <v/>
      </c>
      <c r="K13" s="9">
        <f>'1.赛马分原始数据'!V12</f>
        <v/>
      </c>
      <c r="L13" s="9">
        <f>IF(OR(I13="",K13="数据不全"),"",I13&amp;"-"&amp;K13)</f>
        <v/>
      </c>
      <c r="M13" s="14">
        <f>IF(B13="","",IF('2.SLA扣分台账'!G12="是·直接C级","C(红线)",IF(I13="高",IF(K13="下降","A(防下滑)","A"),IF(I13="中","B",IF(I13="低","C","")))))</f>
        <v/>
      </c>
      <c r="N13" s="9">
        <f>'1.赛马分原始数据'!W12</f>
        <v/>
      </c>
      <c r="O13" s="12">
        <f>IF(M13="","",IF(LEFT(M13,1)="A","优秀·资源优先倾斜",IF(LEFT(M13,1)="B","合格·维持现状",IF(LEFT(M13,1)="C","不合格·整改或清退",""))))</f>
        <v/>
      </c>
    </row>
    <row r="14">
      <c r="A14" s="12">
        <f>IF('1.赛马分原始数据'!A13="","",'1.赛马分原始数据'!A13)</f>
        <v/>
      </c>
      <c r="B14" s="12">
        <f>IF('1.赛马分原始数据'!B13="","",'1.赛马分原始数据'!B13)</f>
        <v/>
      </c>
      <c r="C14" s="13">
        <f>'1.赛马分原始数据'!T13</f>
        <v/>
      </c>
      <c r="D14" s="12">
        <f>'2.SLA扣分台账'!F13</f>
        <v/>
      </c>
      <c r="E14" s="12">
        <f>'3.稳定性检查表'!O13</f>
        <v/>
      </c>
      <c r="F14" s="12">
        <f>'4.供管自评表'!H13</f>
        <v/>
      </c>
      <c r="G14" s="14">
        <f>ROUND(C14-D14+E14+F14,1)</f>
        <v/>
      </c>
      <c r="H14" s="12">
        <f>IF(G14=0,"",RANK(G14,$G$5:$G$16,0))</f>
        <v/>
      </c>
      <c r="I14" s="9">
        <f>IF(H14="","",IF(H14&lt;=4,"高",IF(H14&lt;=9,"中","低")))</f>
        <v/>
      </c>
      <c r="J14" s="15">
        <f>'1.赛马分原始数据'!U13</f>
        <v/>
      </c>
      <c r="K14" s="9">
        <f>'1.赛马分原始数据'!V13</f>
        <v/>
      </c>
      <c r="L14" s="9">
        <f>IF(OR(I14="",K14="数据不全"),"",I14&amp;"-"&amp;K14)</f>
        <v/>
      </c>
      <c r="M14" s="14">
        <f>IF(B14="","",IF('2.SLA扣分台账'!G13="是·直接C级","C(红线)",IF(I14="高",IF(K14="下降","A(防下滑)","A"),IF(I14="中","B",IF(I14="低","C","")))))</f>
        <v/>
      </c>
      <c r="N14" s="9">
        <f>'1.赛马分原始数据'!W13</f>
        <v/>
      </c>
      <c r="O14" s="12">
        <f>IF(M14="","",IF(LEFT(M14,1)="A","优秀·资源优先倾斜",IF(LEFT(M14,1)="B","合格·维持现状",IF(LEFT(M14,1)="C","不合格·整改或清退",""))))</f>
        <v/>
      </c>
    </row>
    <row r="15">
      <c r="A15" s="12">
        <f>IF('1.赛马分原始数据'!A14="","",'1.赛马分原始数据'!A14)</f>
        <v/>
      </c>
      <c r="B15" s="12">
        <f>IF('1.赛马分原始数据'!B14="","",'1.赛马分原始数据'!B14)</f>
        <v/>
      </c>
      <c r="C15" s="13">
        <f>'1.赛马分原始数据'!T14</f>
        <v/>
      </c>
      <c r="D15" s="12">
        <f>'2.SLA扣分台账'!F14</f>
        <v/>
      </c>
      <c r="E15" s="12">
        <f>'3.稳定性检查表'!O14</f>
        <v/>
      </c>
      <c r="F15" s="12">
        <f>'4.供管自评表'!H14</f>
        <v/>
      </c>
      <c r="G15" s="14">
        <f>ROUND(C15-D15+E15+F15,1)</f>
        <v/>
      </c>
      <c r="H15" s="12">
        <f>IF(G15=0,"",RANK(G15,$G$5:$G$16,0))</f>
        <v/>
      </c>
      <c r="I15" s="9">
        <f>IF(H15="","",IF(H15&lt;=4,"高",IF(H15&lt;=9,"中","低")))</f>
        <v/>
      </c>
      <c r="J15" s="15">
        <f>'1.赛马分原始数据'!U14</f>
        <v/>
      </c>
      <c r="K15" s="9">
        <f>'1.赛马分原始数据'!V14</f>
        <v/>
      </c>
      <c r="L15" s="9">
        <f>IF(OR(I15="",K15="数据不全"),"",I15&amp;"-"&amp;K15)</f>
        <v/>
      </c>
      <c r="M15" s="14">
        <f>IF(B15="","",IF('2.SLA扣分台账'!G14="是·直接C级","C(红线)",IF(I15="高",IF(K15="下降","A(防下滑)","A"),IF(I15="中","B",IF(I15="低","C","")))))</f>
        <v/>
      </c>
      <c r="N15" s="9">
        <f>'1.赛马分原始数据'!W14</f>
        <v/>
      </c>
      <c r="O15" s="12">
        <f>IF(M15="","",IF(LEFT(M15,1)="A","优秀·资源优先倾斜",IF(LEFT(M15,1)="B","合格·维持现状",IF(LEFT(M15,1)="C","不合格·整改或清退",""))))</f>
        <v/>
      </c>
    </row>
    <row r="16">
      <c r="A16" s="12">
        <f>IF('1.赛马分原始数据'!A15="","",'1.赛马分原始数据'!A15)</f>
        <v/>
      </c>
      <c r="B16" s="12">
        <f>IF('1.赛马分原始数据'!B15="","",'1.赛马分原始数据'!B15)</f>
        <v/>
      </c>
      <c r="C16" s="13">
        <f>'1.赛马分原始数据'!T15</f>
        <v/>
      </c>
      <c r="D16" s="12">
        <f>'2.SLA扣分台账'!F15</f>
        <v/>
      </c>
      <c r="E16" s="12">
        <f>'3.稳定性检查表'!O15</f>
        <v/>
      </c>
      <c r="F16" s="12">
        <f>'4.供管自评表'!H15</f>
        <v/>
      </c>
      <c r="G16" s="14">
        <f>ROUND(C16-D16+E16+F16,1)</f>
        <v/>
      </c>
      <c r="H16" s="12">
        <f>IF(G16=0,"",RANK(G16,$G$5:$G$16,0))</f>
        <v/>
      </c>
      <c r="I16" s="9">
        <f>IF(H16="","",IF(H16&lt;=4,"高",IF(H16&lt;=9,"中","低")))</f>
        <v/>
      </c>
      <c r="J16" s="15">
        <f>'1.赛马分原始数据'!U15</f>
        <v/>
      </c>
      <c r="K16" s="9">
        <f>'1.赛马分原始数据'!V15</f>
        <v/>
      </c>
      <c r="L16" s="9">
        <f>IF(OR(I16="",K16="数据不全"),"",I16&amp;"-"&amp;K16)</f>
        <v/>
      </c>
      <c r="M16" s="14">
        <f>IF(B16="","",IF('2.SLA扣分台账'!G15="是·直接C级","C(红线)",IF(I16="高",IF(K16="下降","A(防下滑)","A"),IF(I16="中","B",IF(I16="低","C","")))))</f>
        <v/>
      </c>
      <c r="N16" s="9">
        <f>'1.赛马分原始数据'!W15</f>
        <v/>
      </c>
      <c r="O16" s="12">
        <f>IF(M16="","",IF(LEFT(M16,1)="A","优秀·资源优先倾斜",IF(LEFT(M16,1)="B","合格·维持现状",IF(LEFT(M16,1)="C","不合格·整改或清退",""))))</f>
        <v/>
      </c>
    </row>
    <row r="19">
      <c r="A19" s="16" t="inlineStr">
        <is>
          <t>📊 九宫格分布统计</t>
        </is>
      </c>
    </row>
    <row r="20">
      <c r="A20" s="17" t="inlineStr">
        <is>
          <t>九宫格位置</t>
        </is>
      </c>
      <c r="B20" s="17" t="inlineStr">
        <is>
          <t>含义</t>
        </is>
      </c>
      <c r="C20" s="17" t="inlineStr">
        <is>
          <t>数量</t>
        </is>
      </c>
    </row>
    <row r="21">
      <c r="A21" s="12" t="inlineStr">
        <is>
          <t>高-上升</t>
        </is>
      </c>
      <c r="B21" s="12" t="inlineStr">
        <is>
          <t>战略绑定</t>
        </is>
      </c>
      <c r="C21" s="9">
        <f>COUNTIF(L5:L16,"高-上升")</f>
        <v/>
      </c>
    </row>
    <row r="22">
      <c r="A22" s="12" t="inlineStr">
        <is>
          <t>高-持平</t>
        </is>
      </c>
      <c r="B22" s="12" t="inlineStr">
        <is>
          <t>核心保持</t>
        </is>
      </c>
      <c r="C22" s="9">
        <f>COUNTIF(L5:L16,"高-持平")</f>
        <v/>
      </c>
    </row>
    <row r="23">
      <c r="A23" s="12" t="inlineStr">
        <is>
          <t>高-下降</t>
        </is>
      </c>
      <c r="B23" s="12" t="inlineStr">
        <is>
          <t>防止下滑</t>
        </is>
      </c>
      <c r="C23" s="9">
        <f>COUNTIF(L5:L16,"高-下降")</f>
        <v/>
      </c>
    </row>
    <row r="24">
      <c r="A24" s="12" t="inlineStr">
        <is>
          <t>中-上升</t>
        </is>
      </c>
      <c r="B24" s="12" t="inlineStr">
        <is>
          <t>重点培养</t>
        </is>
      </c>
      <c r="C24" s="9">
        <f>COUNTIF(L5:L16,"中-上升")</f>
        <v/>
      </c>
    </row>
    <row r="25">
      <c r="A25" s="12" t="inlineStr">
        <is>
          <t>中-持平</t>
        </is>
      </c>
      <c r="B25" s="12" t="inlineStr">
        <is>
          <t>稳定维持</t>
        </is>
      </c>
      <c r="C25" s="9">
        <f>COUNTIF(L5:L16,"中-持平")</f>
        <v/>
      </c>
    </row>
    <row r="26">
      <c r="A26" s="12" t="inlineStr">
        <is>
          <t>中-下降</t>
        </is>
      </c>
      <c r="B26" s="12" t="inlineStr">
        <is>
          <t>关注下降</t>
        </is>
      </c>
      <c r="C26" s="9">
        <f>COUNTIF(L5:L16,"中-下降")</f>
        <v/>
      </c>
    </row>
    <row r="27">
      <c r="A27" s="12" t="inlineStr">
        <is>
          <t>低-上升</t>
        </is>
      </c>
      <c r="B27" s="12" t="inlineStr">
        <is>
          <t>边缘培养</t>
        </is>
      </c>
      <c r="C27" s="9">
        <f>COUNTIF(L5:L16,"低-上升")</f>
        <v/>
      </c>
    </row>
    <row r="28">
      <c r="A28" s="12" t="inlineStr">
        <is>
          <t>低-持平</t>
        </is>
      </c>
      <c r="B28" s="12" t="inlineStr">
        <is>
          <t>观察区</t>
        </is>
      </c>
      <c r="C28" s="9">
        <f>COUNTIF(L5:L16,"低-持平")</f>
        <v/>
      </c>
    </row>
    <row r="29">
      <c r="A29" s="12" t="inlineStr">
        <is>
          <t>低-下降</t>
        </is>
      </c>
      <c r="B29" s="12" t="inlineStr">
        <is>
          <t>预警清退</t>
        </is>
      </c>
      <c r="C29" s="9">
        <f>COUNTIF(L5:L16,"低-下降")</f>
        <v/>
      </c>
    </row>
  </sheetData>
  <mergeCells count="3">
    <mergeCell ref="A1:O1"/>
    <mergeCell ref="A19:N19"/>
    <mergeCell ref="A2:O2"/>
  </mergeCells>
  <conditionalFormatting sqref="M5">
    <cfRule type="expression" priority="1" dxfId="0">
      <formula>LEFT(M5,1)="A"</formula>
    </cfRule>
    <cfRule type="expression" priority="2" dxfId="1">
      <formula>LEFT(M5,1)="B"</formula>
    </cfRule>
    <cfRule type="expression" priority="3" dxfId="2">
      <formula>LEFT(M5,1)="C"</formula>
    </cfRule>
  </conditionalFormatting>
  <conditionalFormatting sqref="M6">
    <cfRule type="expression" priority="4" dxfId="0">
      <formula>LEFT(M6,1)="A"</formula>
    </cfRule>
    <cfRule type="expression" priority="5" dxfId="1">
      <formula>LEFT(M6,1)="B"</formula>
    </cfRule>
    <cfRule type="expression" priority="6" dxfId="2">
      <formula>LEFT(M6,1)="C"</formula>
    </cfRule>
  </conditionalFormatting>
  <conditionalFormatting sqref="M7">
    <cfRule type="expression" priority="7" dxfId="0">
      <formula>LEFT(M7,1)="A"</formula>
    </cfRule>
    <cfRule type="expression" priority="8" dxfId="1">
      <formula>LEFT(M7,1)="B"</formula>
    </cfRule>
    <cfRule type="expression" priority="9" dxfId="2">
      <formula>LEFT(M7,1)="C"</formula>
    </cfRule>
  </conditionalFormatting>
  <conditionalFormatting sqref="M8">
    <cfRule type="expression" priority="10" dxfId="0">
      <formula>LEFT(M8,1)="A"</formula>
    </cfRule>
    <cfRule type="expression" priority="11" dxfId="1">
      <formula>LEFT(M8,1)="B"</formula>
    </cfRule>
    <cfRule type="expression" priority="12" dxfId="2">
      <formula>LEFT(M8,1)="C"</formula>
    </cfRule>
  </conditionalFormatting>
  <conditionalFormatting sqref="M9">
    <cfRule type="expression" priority="13" dxfId="0">
      <formula>LEFT(M9,1)="A"</formula>
    </cfRule>
    <cfRule type="expression" priority="14" dxfId="1">
      <formula>LEFT(M9,1)="B"</formula>
    </cfRule>
    <cfRule type="expression" priority="15" dxfId="2">
      <formula>LEFT(M9,1)="C"</formula>
    </cfRule>
  </conditionalFormatting>
  <conditionalFormatting sqref="M10">
    <cfRule type="expression" priority="16" dxfId="0">
      <formula>LEFT(M10,1)="A"</formula>
    </cfRule>
    <cfRule type="expression" priority="17" dxfId="1">
      <formula>LEFT(M10,1)="B"</formula>
    </cfRule>
    <cfRule type="expression" priority="18" dxfId="2">
      <formula>LEFT(M10,1)="C"</formula>
    </cfRule>
  </conditionalFormatting>
  <conditionalFormatting sqref="M11">
    <cfRule type="expression" priority="19" dxfId="0">
      <formula>LEFT(M11,1)="A"</formula>
    </cfRule>
    <cfRule type="expression" priority="20" dxfId="1">
      <formula>LEFT(M11,1)="B"</formula>
    </cfRule>
    <cfRule type="expression" priority="21" dxfId="2">
      <formula>LEFT(M11,1)="C"</formula>
    </cfRule>
  </conditionalFormatting>
  <conditionalFormatting sqref="M12">
    <cfRule type="expression" priority="22" dxfId="0">
      <formula>LEFT(M12,1)="A"</formula>
    </cfRule>
    <cfRule type="expression" priority="23" dxfId="1">
      <formula>LEFT(M12,1)="B"</formula>
    </cfRule>
    <cfRule type="expression" priority="24" dxfId="2">
      <formula>LEFT(M12,1)="C"</formula>
    </cfRule>
  </conditionalFormatting>
  <conditionalFormatting sqref="M13">
    <cfRule type="expression" priority="25" dxfId="0">
      <formula>LEFT(M13,1)="A"</formula>
    </cfRule>
    <cfRule type="expression" priority="26" dxfId="1">
      <formula>LEFT(M13,1)="B"</formula>
    </cfRule>
    <cfRule type="expression" priority="27" dxfId="2">
      <formula>LEFT(M13,1)="C"</formula>
    </cfRule>
  </conditionalFormatting>
  <conditionalFormatting sqref="M14">
    <cfRule type="expression" priority="28" dxfId="0">
      <formula>LEFT(M14,1)="A"</formula>
    </cfRule>
    <cfRule type="expression" priority="29" dxfId="1">
      <formula>LEFT(M14,1)="B"</formula>
    </cfRule>
    <cfRule type="expression" priority="30" dxfId="2">
      <formula>LEFT(M14,1)="C"</formula>
    </cfRule>
  </conditionalFormatting>
  <conditionalFormatting sqref="M15">
    <cfRule type="expression" priority="31" dxfId="0">
      <formula>LEFT(M15,1)="A"</formula>
    </cfRule>
    <cfRule type="expression" priority="32" dxfId="1">
      <formula>LEFT(M15,1)="B"</formula>
    </cfRule>
    <cfRule type="expression" priority="33" dxfId="2">
      <formula>LEFT(M15,1)="C"</formula>
    </cfRule>
  </conditionalFormatting>
  <conditionalFormatting sqref="M16">
    <cfRule type="expression" priority="34" dxfId="0">
      <formula>LEFT(M16,1)="A"</formula>
    </cfRule>
    <cfRule type="expression" priority="35" dxfId="1">
      <formula>LEFT(M16,1)="B"</formula>
    </cfRule>
    <cfRule type="expression" priority="36" dxfId="2">
      <formula>LEFT(M16,1)="C"</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0" customWidth="1" min="1" max="1"/>
    <col width="12" customWidth="1" min="2" max="2"/>
    <col width="12" customWidth="1" min="3" max="3"/>
    <col width="12" customWidth="1" min="4" max="4"/>
    <col width="22" customWidth="1" min="5" max="5"/>
    <col width="22" customWidth="1" min="6" max="6"/>
    <col width="22" customWidth="1" min="7" max="7"/>
  </cols>
  <sheetData>
    <row r="1">
      <c r="A1" s="1" t="inlineStr">
        <is>
          <t>📋 三张清单（保留/培养/优化）</t>
        </is>
      </c>
    </row>
    <row r="3">
      <c r="A3" s="18" t="inlineStr">
        <is>
          <t>🟢 保留清单（A级）</t>
        </is>
      </c>
    </row>
    <row r="4">
      <c r="A4" s="5" t="inlineStr">
        <is>
          <t>供应商名称</t>
        </is>
      </c>
      <c r="B4" s="5" t="inlineStr">
        <is>
          <t>最终得分</t>
        </is>
      </c>
      <c r="C4" s="5" t="inlineStr">
        <is>
          <t>九宫格</t>
        </is>
      </c>
      <c r="D4" s="5" t="inlineStr">
        <is>
          <t>偏科标记</t>
        </is>
      </c>
      <c r="E4" s="5" t="inlineStr">
        <is>
          <t>关键优势（手填）</t>
        </is>
      </c>
      <c r="F4" s="5" t="inlineStr">
        <is>
          <t>保留理由（手填）</t>
        </is>
      </c>
      <c r="G4" s="5" t="inlineStr">
        <is>
          <t>资源倾斜建议（手填）</t>
        </is>
      </c>
    </row>
    <row r="5">
      <c r="A5" s="19" t="inlineStr">
        <is>
          <t>💡 建议操作：打开「5.评级结果」，按 ABC评级 列筛选，复制对应供应商到这里</t>
        </is>
      </c>
      <c r="B5" s="43" t="n"/>
      <c r="C5" s="43" t="n"/>
      <c r="D5" s="43" t="n"/>
      <c r="E5" s="43" t="n"/>
      <c r="F5" s="43" t="n"/>
      <c r="G5" s="41" t="n"/>
    </row>
    <row r="6">
      <c r="A6" s="12" t="n"/>
      <c r="B6" s="12" t="n"/>
      <c r="C6" s="12" t="n"/>
      <c r="D6" s="12" t="n"/>
      <c r="E6" s="6" t="n"/>
      <c r="F6" s="6" t="n"/>
      <c r="G6" s="6" t="n"/>
    </row>
    <row r="7">
      <c r="A7" s="12" t="n"/>
      <c r="B7" s="12" t="n"/>
      <c r="C7" s="12" t="n"/>
      <c r="D7" s="12" t="n"/>
      <c r="E7" s="6" t="n"/>
      <c r="F7" s="6" t="n"/>
      <c r="G7" s="6" t="n"/>
    </row>
    <row r="8">
      <c r="A8" s="12" t="n"/>
      <c r="B8" s="12" t="n"/>
      <c r="C8" s="12" t="n"/>
      <c r="D8" s="12" t="n"/>
      <c r="E8" s="6" t="n"/>
      <c r="F8" s="6" t="n"/>
      <c r="G8" s="6" t="n"/>
    </row>
    <row r="9">
      <c r="A9" s="12" t="n"/>
      <c r="B9" s="12" t="n"/>
      <c r="C9" s="12" t="n"/>
      <c r="D9" s="12" t="n"/>
      <c r="E9" s="6" t="n"/>
      <c r="F9" s="6" t="n"/>
      <c r="G9" s="6" t="n"/>
    </row>
    <row r="10">
      <c r="A10" s="12" t="n"/>
      <c r="B10" s="12" t="n"/>
      <c r="C10" s="12" t="n"/>
      <c r="D10" s="12" t="n"/>
      <c r="E10" s="6" t="n"/>
      <c r="F10" s="6" t="n"/>
      <c r="G10" s="6" t="n"/>
    </row>
    <row r="11">
      <c r="A11" s="20" t="inlineStr">
        <is>
          <t>🟡 培养清单（B级）</t>
        </is>
      </c>
    </row>
    <row r="12">
      <c r="A12" s="5" t="inlineStr">
        <is>
          <t>供应商名称</t>
        </is>
      </c>
      <c r="B12" s="5" t="inlineStr">
        <is>
          <t>最终得分</t>
        </is>
      </c>
      <c r="C12" s="5" t="inlineStr">
        <is>
          <t>九宫格</t>
        </is>
      </c>
      <c r="D12" s="5" t="inlineStr">
        <is>
          <t>偏科标记</t>
        </is>
      </c>
      <c r="E12" s="5" t="inlineStr">
        <is>
          <t>短板（手填）</t>
        </is>
      </c>
      <c r="F12" s="5" t="inlineStr">
        <is>
          <t>培养方向（手填）</t>
        </is>
      </c>
      <c r="G12" s="5" t="inlineStr">
        <is>
          <t>提升路径（手填）</t>
        </is>
      </c>
    </row>
    <row r="13">
      <c r="A13" s="12" t="n"/>
      <c r="B13" s="12" t="n"/>
      <c r="C13" s="12" t="n"/>
      <c r="D13" s="12" t="n"/>
      <c r="E13" s="6" t="n"/>
      <c r="F13" s="6" t="n"/>
      <c r="G13" s="6" t="n"/>
    </row>
    <row r="14">
      <c r="A14" s="12" t="n"/>
      <c r="B14" s="12" t="n"/>
      <c r="C14" s="12" t="n"/>
      <c r="D14" s="12" t="n"/>
      <c r="E14" s="6" t="n"/>
      <c r="F14" s="6" t="n"/>
      <c r="G14" s="6" t="n"/>
    </row>
    <row r="15">
      <c r="A15" s="12" t="n"/>
      <c r="B15" s="12" t="n"/>
      <c r="C15" s="12" t="n"/>
      <c r="D15" s="12" t="n"/>
      <c r="E15" s="6" t="n"/>
      <c r="F15" s="6" t="n"/>
      <c r="G15" s="6" t="n"/>
    </row>
    <row r="16">
      <c r="A16" s="12" t="n"/>
      <c r="B16" s="12" t="n"/>
      <c r="C16" s="12" t="n"/>
      <c r="D16" s="12" t="n"/>
      <c r="E16" s="6" t="n"/>
      <c r="F16" s="6" t="n"/>
      <c r="G16" s="6" t="n"/>
    </row>
    <row r="17">
      <c r="A17" s="12" t="n"/>
      <c r="B17" s="12" t="n"/>
      <c r="C17" s="12" t="n"/>
      <c r="D17" s="12" t="n"/>
      <c r="E17" s="6" t="n"/>
      <c r="F17" s="6" t="n"/>
      <c r="G17" s="6" t="n"/>
    </row>
    <row r="18">
      <c r="A18" s="12" t="n"/>
      <c r="B18" s="12" t="n"/>
      <c r="C18" s="12" t="n"/>
      <c r="D18" s="12" t="n"/>
      <c r="E18" s="6" t="n"/>
      <c r="F18" s="6" t="n"/>
      <c r="G18" s="6" t="n"/>
    </row>
    <row r="19">
      <c r="A19" s="21" t="inlineStr">
        <is>
          <t>🔴 优化清单（C级）</t>
        </is>
      </c>
    </row>
    <row r="20">
      <c r="A20" s="5" t="inlineStr">
        <is>
          <t>供应商名称</t>
        </is>
      </c>
      <c r="B20" s="5" t="inlineStr">
        <is>
          <t>最终得分</t>
        </is>
      </c>
      <c r="C20" s="5" t="inlineStr">
        <is>
          <t>九宫格</t>
        </is>
      </c>
      <c r="D20" s="5" t="inlineStr">
        <is>
          <t>偏科标记</t>
        </is>
      </c>
      <c r="E20" s="5" t="inlineStr">
        <is>
          <t>主要问题（手填）</t>
        </is>
      </c>
      <c r="F20" s="5" t="inlineStr">
        <is>
          <t>整改/清退路径（手填）</t>
        </is>
      </c>
      <c r="G20" s="5" t="inlineStr">
        <is>
          <t>时间节点（手填）</t>
        </is>
      </c>
    </row>
    <row r="21">
      <c r="A21" s="12" t="n"/>
      <c r="B21" s="12" t="n"/>
      <c r="C21" s="12" t="n"/>
      <c r="D21" s="12" t="n"/>
      <c r="E21" s="6" t="n"/>
      <c r="F21" s="6" t="n"/>
      <c r="G21" s="6" t="n"/>
    </row>
    <row r="22">
      <c r="A22" s="12" t="n"/>
      <c r="B22" s="12" t="n"/>
      <c r="C22" s="12" t="n"/>
      <c r="D22" s="12" t="n"/>
      <c r="E22" s="6" t="n"/>
      <c r="F22" s="6" t="n"/>
      <c r="G22" s="6" t="n"/>
    </row>
    <row r="23">
      <c r="A23" s="12" t="n"/>
      <c r="B23" s="12" t="n"/>
      <c r="C23" s="12" t="n"/>
      <c r="D23" s="12" t="n"/>
      <c r="E23" s="6" t="n"/>
      <c r="F23" s="6" t="n"/>
      <c r="G23" s="6" t="n"/>
    </row>
    <row r="24">
      <c r="A24" s="12" t="n"/>
      <c r="B24" s="12" t="n"/>
      <c r="C24" s="12" t="n"/>
      <c r="D24" s="12" t="n"/>
      <c r="E24" s="6" t="n"/>
      <c r="F24" s="6" t="n"/>
      <c r="G24" s="6" t="n"/>
    </row>
    <row r="25">
      <c r="A25" s="12" t="n"/>
      <c r="B25" s="12" t="n"/>
      <c r="C25" s="12" t="n"/>
      <c r="D25" s="12" t="n"/>
      <c r="E25" s="6" t="n"/>
      <c r="F25" s="6" t="n"/>
      <c r="G25" s="6" t="n"/>
    </row>
    <row r="26">
      <c r="A26" s="12" t="n"/>
      <c r="B26" s="12" t="n"/>
      <c r="C26" s="12" t="n"/>
      <c r="D26" s="12" t="n"/>
      <c r="E26" s="6" t="n"/>
      <c r="F26" s="6" t="n"/>
      <c r="G26" s="6" t="n"/>
    </row>
  </sheetData>
  <mergeCells count="5">
    <mergeCell ref="A1:G1"/>
    <mergeCell ref="A3:G3"/>
    <mergeCell ref="A19:G19"/>
    <mergeCell ref="A11:G11"/>
    <mergeCell ref="A5:G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4" customWidth="1" min="1" max="1"/>
    <col width="20" customWidth="1" min="2" max="2"/>
    <col width="14" customWidth="1" min="3" max="3"/>
    <col width="16" customWidth="1" min="4" max="4"/>
    <col width="20" customWidth="1" min="5" max="5"/>
  </cols>
  <sheetData>
    <row r="1">
      <c r="A1" s="1" t="inlineStr">
        <is>
          <t>📊 集中度管控检查</t>
        </is>
      </c>
    </row>
    <row r="3">
      <c r="A3" s="22" t="inlineStr">
        <is>
          <t>规则：A级供应商合计产能占比 ≤ 40%（PDF第十六条）</t>
        </is>
      </c>
    </row>
    <row r="5">
      <c r="A5" s="23" t="inlineStr">
        <is>
          <t>步骤1：填入A级供应商Q2月均产能</t>
        </is>
      </c>
    </row>
    <row r="6">
      <c r="A6" s="5" t="inlineStr">
        <is>
          <t>供应商名称</t>
        </is>
      </c>
      <c r="B6" s="5" t="inlineStr">
        <is>
          <t>Q2月均产能（手填）</t>
        </is>
      </c>
      <c r="C6" s="5" t="inlineStr">
        <is>
          <t>产能占比</t>
        </is>
      </c>
      <c r="D6" s="5" t="inlineStr">
        <is>
          <t>是否单家&gt;25%</t>
        </is>
      </c>
      <c r="E6" s="5" t="inlineStr">
        <is>
          <t>备注</t>
        </is>
      </c>
    </row>
    <row r="7">
      <c r="A7" s="24" t="n"/>
      <c r="B7" s="24" t="n"/>
      <c r="C7" s="25">
        <f>IFERROR(B7/$B$12,0)</f>
        <v/>
      </c>
      <c r="D7" s="26">
        <f>IF(C7&gt;0.25,"⚠️ 超标","达标")</f>
        <v/>
      </c>
      <c r="E7" s="24" t="n"/>
    </row>
    <row r="8">
      <c r="A8" s="24" t="n"/>
      <c r="B8" s="24" t="n"/>
      <c r="C8" s="25">
        <f>IFERROR(B8/$B$12,0)</f>
        <v/>
      </c>
      <c r="D8" s="26">
        <f>IF(C8&gt;0.25,"⚠️ 超标","达标")</f>
        <v/>
      </c>
      <c r="E8" s="24" t="n"/>
    </row>
    <row r="9">
      <c r="A9" s="24" t="n"/>
      <c r="B9" s="24" t="n"/>
      <c r="C9" s="25">
        <f>IFERROR(B9/$B$12,0)</f>
        <v/>
      </c>
      <c r="D9" s="26">
        <f>IF(C9&gt;0.25,"⚠️ 超标","达标")</f>
        <v/>
      </c>
      <c r="E9" s="24" t="n"/>
    </row>
    <row r="10">
      <c r="A10" s="24" t="n"/>
      <c r="B10" s="24" t="n"/>
      <c r="C10" s="25">
        <f>IFERROR(B10/$B$12,0)</f>
        <v/>
      </c>
      <c r="D10" s="26">
        <f>IF(C10&gt;0.25,"⚠️ 超标","达标")</f>
        <v/>
      </c>
      <c r="E10" s="24" t="n"/>
    </row>
    <row r="11">
      <c r="A11" s="27" t="inlineStr">
        <is>
          <t>A级合计</t>
        </is>
      </c>
      <c r="B11" s="27">
        <f>SUM(B7:B10)</f>
        <v/>
      </c>
      <c r="C11" s="28">
        <f>SUM(C7:C10)</f>
        <v/>
      </c>
      <c r="D11" s="27" t="n"/>
      <c r="E11" s="27" t="n"/>
    </row>
    <row r="12">
      <c r="A12" s="29" t="inlineStr">
        <is>
          <t>金条产线总产能（含所有级）</t>
        </is>
      </c>
      <c r="B12" s="30" t="n"/>
    </row>
    <row r="14">
      <c r="A14" s="23" t="inlineStr">
        <is>
          <t>集中度检查结论</t>
        </is>
      </c>
    </row>
    <row r="15">
      <c r="A15" t="inlineStr">
        <is>
          <t>A级合计产能占比</t>
        </is>
      </c>
      <c r="B15" s="31">
        <f>C11</f>
        <v/>
      </c>
    </row>
    <row r="16">
      <c r="A16" t="inlineStr">
        <is>
          <t>阈值</t>
        </is>
      </c>
      <c r="B16" s="32" t="n">
        <v>0.4</v>
      </c>
    </row>
    <row r="17">
      <c r="A17" t="inlineStr">
        <is>
          <t>是否达标</t>
        </is>
      </c>
      <c r="B17" s="33">
        <f>IF(B15&lt;=B16,"✅ 达标","⚠️ 超标·需调整")</f>
        <v/>
      </c>
    </row>
    <row r="19">
      <c r="A19" s="29" t="inlineStr">
        <is>
          <t>若超标的应对建议：</t>
        </is>
      </c>
    </row>
    <row r="20">
      <c r="A20" s="34" t="inlineStr">
        <is>
          <t>1. 培养B级供应商分流部分产能
2. 引入新供应商稀释集中度
3. 调整资源分配降低单家依赖</t>
        </is>
      </c>
    </row>
    <row r="21"/>
    <row r="22"/>
  </sheetData>
  <mergeCells count="6">
    <mergeCell ref="A20:E22"/>
    <mergeCell ref="A19:E19"/>
    <mergeCell ref="A1:E1"/>
    <mergeCell ref="A5:E5"/>
    <mergeCell ref="A14:E14"/>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28" customWidth="1" min="6" max="6"/>
    <col width="22" customWidth="1" min="7" max="7"/>
  </cols>
  <sheetData>
    <row r="1">
      <c r="A1" s="1" t="inlineStr">
        <is>
          <t>🚪 清退路径判定（针对C级供应商）</t>
        </is>
      </c>
    </row>
    <row r="3">
      <c r="A3" s="35" t="inlineStr">
        <is>
          <t>按以下顺序判断每家C级供应商走哪条路径</t>
        </is>
      </c>
    </row>
    <row r="5">
      <c r="A5" s="5" t="inlineStr">
        <is>
          <t>供应商名称</t>
        </is>
      </c>
      <c r="B5" s="5" t="inlineStr">
        <is>
          <t>是否红线违规</t>
        </is>
      </c>
      <c r="C5" s="5" t="inlineStr">
        <is>
          <t>是否连续两季C</t>
        </is>
      </c>
      <c r="D5" s="5" t="inlineStr">
        <is>
          <t>当季C且趋势下降</t>
        </is>
      </c>
      <c r="E5" s="5" t="inlineStr">
        <is>
          <t>首次C趋势持平/上升</t>
        </is>
      </c>
      <c r="F5" s="5" t="inlineStr">
        <is>
          <t>走哪条路径</t>
        </is>
      </c>
      <c r="G5" s="5" t="inlineStr">
        <is>
          <t>关键时间节点</t>
        </is>
      </c>
    </row>
    <row r="6">
      <c r="A6" s="6" t="n"/>
      <c r="B6" s="6" t="n"/>
      <c r="C6" s="6" t="n"/>
      <c r="D6" s="6" t="n"/>
      <c r="E6" s="6" t="n"/>
      <c r="F6" s="36">
        <f>IF(A6="","",IF(B6="是","路径三：红线清退·联合评估",IF(C6="是","路径一·末期：启动解约",IF(D6="是","路径二：快车道·30天交接",IF(E6="是","路径一：常规·整改30天→观察→复评","⚠️ 请核对判定条件")))))</f>
        <v/>
      </c>
      <c r="G6" s="12">
        <f>IF(A6="","",IF(B6="是","管理层决策后执行",IF(C6="是","启动解约",IF(D6="是","D0通知→D30交接完成",IF(E6="是","D30整改报告→D90复评","")))))</f>
        <v/>
      </c>
    </row>
    <row r="7">
      <c r="A7" s="6" t="n"/>
      <c r="B7" s="6" t="n"/>
      <c r="C7" s="6" t="n"/>
      <c r="D7" s="6" t="n"/>
      <c r="E7" s="6" t="n"/>
      <c r="F7" s="36">
        <f>IF(A7="","",IF(B7="是","路径三：红线清退·联合评估",IF(C7="是","路径一·末期：启动解约",IF(D7="是","路径二：快车道·30天交接",IF(E7="是","路径一：常规·整改30天→观察→复评","⚠️ 请核对判定条件")))))</f>
        <v/>
      </c>
      <c r="G7" s="12">
        <f>IF(A7="","",IF(B7="是","管理层决策后执行",IF(C7="是","启动解约",IF(D7="是","D0通知→D30交接完成",IF(E7="是","D30整改报告→D90复评","")))))</f>
        <v/>
      </c>
    </row>
    <row r="8">
      <c r="A8" s="6" t="n"/>
      <c r="B8" s="6" t="n"/>
      <c r="C8" s="6" t="n"/>
      <c r="D8" s="6" t="n"/>
      <c r="E8" s="6" t="n"/>
      <c r="F8" s="36">
        <f>IF(A8="","",IF(B8="是","路径三：红线清退·联合评估",IF(C8="是","路径一·末期：启动解约",IF(D8="是","路径二：快车道·30天交接",IF(E8="是","路径一：常规·整改30天→观察→复评","⚠️ 请核对判定条件")))))</f>
        <v/>
      </c>
      <c r="G8" s="12">
        <f>IF(A8="","",IF(B8="是","管理层决策后执行",IF(C8="是","启动解约",IF(D8="是","D0通知→D30交接完成",IF(E8="是","D30整改报告→D90复评","")))))</f>
        <v/>
      </c>
    </row>
    <row r="9">
      <c r="A9" s="6" t="n"/>
      <c r="B9" s="6" t="n"/>
      <c r="C9" s="6" t="n"/>
      <c r="D9" s="6" t="n"/>
      <c r="E9" s="6" t="n"/>
      <c r="F9" s="36">
        <f>IF(A9="","",IF(B9="是","路径三：红线清退·联合评估",IF(C9="是","路径一·末期：启动解约",IF(D9="是","路径二：快车道·30天交接",IF(E9="是","路径一：常规·整改30天→观察→复评","⚠️ 请核对判定条件")))))</f>
        <v/>
      </c>
      <c r="G9" s="12">
        <f>IF(A9="","",IF(B9="是","管理层决策后执行",IF(C9="是","启动解约",IF(D9="是","D0通知→D30交接完成",IF(E9="是","D30整改报告→D90复评","")))))</f>
        <v/>
      </c>
    </row>
    <row r="10">
      <c r="A10" s="6" t="n"/>
      <c r="B10" s="6" t="n"/>
      <c r="C10" s="6" t="n"/>
      <c r="D10" s="6" t="n"/>
      <c r="E10" s="6" t="n"/>
      <c r="F10" s="36">
        <f>IF(A10="","",IF(B10="是","路径三：红线清退·联合评估",IF(C10="是","路径一·末期：启动解约",IF(D10="是","路径二：快车道·30天交接",IF(E10="是","路径一：常规·整改30天→观察→复评","⚠️ 请核对判定条件")))))</f>
        <v/>
      </c>
      <c r="G10" s="12">
        <f>IF(A10="","",IF(B10="是","管理层决策后执行",IF(C10="是","启动解约",IF(D10="是","D0通知→D30交接完成",IF(E10="是","D30整改报告→D90复评","")))))</f>
        <v/>
      </c>
    </row>
    <row r="11">
      <c r="A11" s="6" t="n"/>
      <c r="B11" s="6" t="n"/>
      <c r="C11" s="6" t="n"/>
      <c r="D11" s="6" t="n"/>
      <c r="E11" s="6" t="n"/>
      <c r="F11" s="36">
        <f>IF(A11="","",IF(B11="是","路径三：红线清退·联合评估",IF(C11="是","路径一·末期：启动解约",IF(D11="是","路径二：快车道·30天交接",IF(E11="是","路径一：常规·整改30天→观察→复评","⚠️ 请核对判定条件")))))</f>
        <v/>
      </c>
      <c r="G11" s="12">
        <f>IF(A11="","",IF(B11="是","管理层决策后执行",IF(C11="是","启动解约",IF(D11="是","D0通知→D30交接完成",IF(E11="是","D30整改报告→D90复评","")))))</f>
        <v/>
      </c>
    </row>
    <row r="14">
      <c r="A14" s="23" t="inlineStr">
        <is>
          <t>三条路径详解</t>
        </is>
      </c>
    </row>
    <row r="15">
      <c r="A15" s="37" t="inlineStr">
        <is>
          <t>路径</t>
        </is>
      </c>
      <c r="B15" s="37" t="inlineStr">
        <is>
          <t>触发条件</t>
        </is>
      </c>
      <c r="C15" s="37" t="inlineStr">
        <is>
          <t>流程</t>
        </is>
      </c>
      <c r="D15" s="37" t="inlineStr">
        <is>
          <t>关键节点</t>
        </is>
      </c>
    </row>
    <row r="16">
      <c r="A16" s="38" t="inlineStr">
        <is>
          <t>路径一：常规清退</t>
        </is>
      </c>
      <c r="B16" s="39" t="inlineStr">
        <is>
          <t>首次C，趋势持平/上升</t>
        </is>
      </c>
      <c r="C16" s="39" t="inlineStr">
        <is>
          <t>整改期30天 → 观察期1季度 → 复评 → 达标升B/未达标解约</t>
        </is>
      </c>
      <c r="D16" s="41" t="n"/>
      <c r="E16" s="43" t="n"/>
      <c r="F16" s="43" t="n"/>
      <c r="G16" s="41" t="n"/>
    </row>
    <row r="17">
      <c r="A17" s="38" t="inlineStr">
        <is>
          <t>路径二：快车道清退</t>
        </is>
      </c>
      <c r="B17" s="39" t="inlineStr">
        <is>
          <t>当季C 且 趋势下降</t>
        </is>
      </c>
      <c r="C17" s="39" t="inlineStr">
        <is>
          <t>通知 → 30天内完成业务交接</t>
        </is>
      </c>
      <c r="D17" s="43" t="n"/>
      <c r="E17" s="41" t="n"/>
      <c r="F17" s="43" t="n"/>
      <c r="G17" s="41" t="n"/>
    </row>
    <row r="18">
      <c r="A18" s="38" t="inlineStr">
        <is>
          <t>路径三：红线清退</t>
        </is>
      </c>
      <c r="B18" s="39" t="inlineStr">
        <is>
          <t>触发红线违规</t>
        </is>
      </c>
      <c r="C18" s="39" t="inlineStr">
        <is>
          <t>联合评估 → 管理层决策 → 执行交接</t>
        </is>
      </c>
      <c r="D18" s="43" t="n"/>
      <c r="E18" s="41" t="n"/>
      <c r="F18" s="43" t="n"/>
      <c r="G18" s="41" t="n"/>
    </row>
    <row r="20">
      <c r="A20" s="40" t="inlineStr">
        <is>
          <t>⚠️ 清退前必检</t>
        </is>
      </c>
    </row>
    <row r="21">
      <c r="A21" t="inlineStr">
        <is>
          <t>1. 储备库中有可承接的潜在供应商</t>
        </is>
      </c>
    </row>
    <row r="22">
      <c r="A22" t="inlineStr">
        <is>
          <t>2. 替代供应商已完成入项评估</t>
        </is>
      </c>
    </row>
    <row r="23">
      <c r="A23" t="inlineStr">
        <is>
          <t>3. 产能、SLA、价格可承接原业务量</t>
        </is>
      </c>
    </row>
    <row r="24">
      <c r="A24" t="inlineStr">
        <is>
          <t>4. 交接方案已制定</t>
        </is>
      </c>
    </row>
    <row r="25">
      <c r="A25" t="inlineStr">
        <is>
          <t>5. 清退前1个月必须确定替代供应商（PDF第十三条）</t>
        </is>
      </c>
    </row>
  </sheetData>
  <mergeCells count="15">
    <mergeCell ref="C16:E16"/>
    <mergeCell ref="A14:G14"/>
    <mergeCell ref="D18:G18"/>
    <mergeCell ref="A1:G1"/>
    <mergeCell ref="D17:G17"/>
    <mergeCell ref="A3:G3"/>
    <mergeCell ref="A21:G21"/>
    <mergeCell ref="A22:G22"/>
    <mergeCell ref="D16:G16"/>
    <mergeCell ref="C18:E18"/>
    <mergeCell ref="A20:G20"/>
    <mergeCell ref="A24:G24"/>
    <mergeCell ref="C17:E17"/>
    <mergeCell ref="A25:G25"/>
    <mergeCell ref="A23:G23"/>
  </mergeCells>
  <dataValidations count="1">
    <dataValidation sqref="B6 B7 B8 B9 B10 B11 C6 C7 C8 C9 C10 C11 D6 D7 D8 D9 D10 D11 E6 E7 E8 E9 E10 E11" showDropDown="0" showInputMessage="0" showErrorMessage="0" allowBlank="1" type="list">
      <formula1>"是,否"</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2026-07-22T08:09:28Z</dcterms:created>
  <dcterms:modified xmlns:dcterms="http://purl.org/dc/terms/" xmlns:xsi="http://www.w3.org/2001/XMLSchema-instance" xsi:type="dcterms:W3CDTF">2026-07-22T08:11:10Z</dcterms:modified>
</cp:coreProperties>
</file>