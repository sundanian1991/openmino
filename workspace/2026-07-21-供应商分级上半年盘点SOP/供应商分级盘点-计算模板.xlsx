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sundanian/Documents/projects/ai-agents/my-agent/workspace/2026-07-21-供应商分级上半年盘点SOP/"/>
    </mc:Choice>
  </mc:AlternateContent>
  <xr:revisionPtr revIDLastSave="0" documentId="13_ncr:1_{3183EF95-D6B8-DE4F-9E3F-F2B29B81F208}" xr6:coauthVersionLast="47" xr6:coauthVersionMax="47" xr10:uidLastSave="{00000000-0000-0000-0000-000000000000}"/>
  <bookViews>
    <workbookView xWindow="0" yWindow="760" windowWidth="30240" windowHeight="17180" activeTab="4" xr2:uid="{00000000-000D-0000-FFFF-FFFF00000000}"/>
  </bookViews>
  <sheets>
    <sheet name="使用说明" sheetId="1" r:id="rId1"/>
    <sheet name="1.赛马分原始数据" sheetId="2" r:id="rId2"/>
    <sheet name="2.SLA扣分台账" sheetId="3" r:id="rId3"/>
    <sheet name="3.稳定性检查表" sheetId="4" r:id="rId4"/>
    <sheet name="4.供管自评表" sheetId="5" r:id="rId5"/>
    <sheet name="5.评级结果" sheetId="6" r:id="rId6"/>
    <sheet name="6.三张清单" sheetId="7" r:id="rId7"/>
    <sheet name="7.集中度管控" sheetId="8" r:id="rId8"/>
    <sheet name="8.清退路径"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H6" i="3" l="1"/>
  <c r="H7" i="3"/>
  <c r="H8" i="3"/>
  <c r="H9" i="3"/>
  <c r="H10" i="3"/>
  <c r="H11" i="3"/>
  <c r="H12" i="3"/>
  <c r="H13" i="3"/>
  <c r="H14" i="3"/>
  <c r="H15" i="3"/>
  <c r="H5" i="3"/>
  <c r="M7" i="9"/>
  <c r="I7" i="9"/>
  <c r="L7" i="9" s="1"/>
  <c r="A7" i="9"/>
  <c r="B7" i="9" s="1"/>
  <c r="M6" i="9"/>
  <c r="L6" i="9"/>
  <c r="I6" i="9"/>
  <c r="J6" i="9" s="1"/>
  <c r="E6" i="9"/>
  <c r="D6" i="9"/>
  <c r="A6" i="9"/>
  <c r="L5" i="9"/>
  <c r="I5" i="9"/>
  <c r="M5" i="9" s="1"/>
  <c r="A5" i="9"/>
  <c r="B11" i="8"/>
  <c r="D9" i="8"/>
  <c r="C9" i="8"/>
  <c r="A9" i="8"/>
  <c r="C8" i="8"/>
  <c r="D8" i="8" s="1"/>
  <c r="A8" i="8"/>
  <c r="C7" i="8"/>
  <c r="D7" i="8" s="1"/>
  <c r="A7" i="8"/>
  <c r="H15" i="5"/>
  <c r="H14" i="5"/>
  <c r="H13" i="5"/>
  <c r="H12" i="5"/>
  <c r="H11" i="5"/>
  <c r="H10" i="5"/>
  <c r="H9" i="5"/>
  <c r="H8" i="5"/>
  <c r="H7" i="5"/>
  <c r="H6" i="5"/>
  <c r="H5" i="5"/>
  <c r="O16" i="4"/>
  <c r="O15" i="4"/>
  <c r="O14" i="4"/>
  <c r="O13" i="4"/>
  <c r="O12" i="4"/>
  <c r="O11" i="4"/>
  <c r="O10" i="4"/>
  <c r="O9" i="4"/>
  <c r="O8" i="4"/>
  <c r="O7" i="4"/>
  <c r="O6" i="4"/>
  <c r="G15" i="3"/>
  <c r="F15" i="3"/>
  <c r="G14" i="3"/>
  <c r="B6" i="9" s="1"/>
  <c r="F14" i="3"/>
  <c r="G13" i="3"/>
  <c r="F13" i="3"/>
  <c r="G12" i="3"/>
  <c r="F12" i="3"/>
  <c r="G11" i="3"/>
  <c r="F11" i="3"/>
  <c r="G10" i="3"/>
  <c r="F10" i="3"/>
  <c r="G9" i="3"/>
  <c r="F9" i="3"/>
  <c r="G8" i="3"/>
  <c r="F8" i="3"/>
  <c r="G7" i="3"/>
  <c r="F7" i="3"/>
  <c r="G6" i="3"/>
  <c r="F6" i="3"/>
  <c r="G5" i="3"/>
  <c r="F5" i="3"/>
  <c r="O6" i="9" l="1"/>
  <c r="N6" i="9"/>
  <c r="G6" i="9"/>
  <c r="F6" i="9"/>
  <c r="D7" i="9"/>
  <c r="G7" i="9" s="1"/>
  <c r="C11" i="8"/>
  <c r="B15" i="8" s="1"/>
  <c r="B17" i="8" s="1"/>
  <c r="J5" i="9"/>
  <c r="E7" i="9"/>
  <c r="B5" i="9"/>
  <c r="J7" i="9"/>
  <c r="D5" i="9"/>
  <c r="E5" i="9"/>
  <c r="F5" i="9" l="1"/>
  <c r="F7" i="9"/>
  <c r="O5" i="9"/>
  <c r="N5" i="9"/>
  <c r="O7" i="9"/>
  <c r="N7" i="9"/>
  <c r="G5" i="9"/>
</calcChain>
</file>

<file path=xl/sharedStrings.xml><?xml version="1.0" encoding="utf-8"?>
<sst xmlns="http://schemas.openxmlformats.org/spreadsheetml/2006/main" count="794" uniqueCount="247">
  <si>
    <t>金条产线供应商分级 · 上半年盘点计算模板 v3</t>
  </si>
  <si>
    <t>📍 颜色含义</t>
  </si>
  <si>
    <t>🟡 黄色</t>
  </si>
  <si>
    <t>需要你手动填入（首贷分/复贷分/SLA事件/供管自评）</t>
  </si>
  <si>
    <t>🟢 绿色</t>
  </si>
  <si>
    <t>自动计算（不要改）</t>
  </si>
  <si>
    <t>🟠 橙色</t>
  </si>
  <si>
    <t>最终结果（评级、清单等）</t>
  </si>
  <si>
    <t>⚪ 灰色</t>
  </si>
  <si>
    <t>默认值（稳定性已预填B档，有异常才改）</t>
  </si>
  <si>
    <t>🔵 蓝色</t>
  </si>
  <si>
    <t>打分标准（供管和业管参照标准打分留痕）</t>
  </si>
  <si>
    <t>📋 操作步骤</t>
  </si>
  <si>
    <t>Step 1</t>
  </si>
  <si>
    <t>「1.赛马分原始数据」→ 填11家×6个月的首贷分+复贷分</t>
  </si>
  <si>
    <t>Step 2</t>
  </si>
  <si>
    <t>「2.SLA扣分台账」→ 填Q2黄牌/投诉/红线次数</t>
  </si>
  <si>
    <t>Step 3</t>
  </si>
  <si>
    <t>「3.稳定性检查表」→ 默认B档，有异常改A/C（标准已写好）</t>
  </si>
  <si>
    <t>Step 4</t>
  </si>
  <si>
    <t>「4.供管自评表」→ 对每家5项打高/中/低（标准已写好）</t>
  </si>
  <si>
    <t>Step 5</t>
  </si>
  <si>
    <t>「5.评级结果」→ 查看自动计算（含偏科标记）</t>
  </si>
  <si>
    <t>Step 6</t>
  </si>
  <si>
    <t>「6.三张清单」→ 按评级分组</t>
  </si>
  <si>
    <t>Step 7</t>
  </si>
  <si>
    <t>「7.集中度管控」→ 检查A级产能占比</t>
  </si>
  <si>
    <t>Step 8</t>
  </si>
  <si>
    <t>「8.清退路径」→ C级处理路径</t>
  </si>
  <si>
    <t>📊 11家供应商分位规则</t>
  </si>
  <si>
    <t>高贡献</t>
  </si>
  <si>
    <t>前30% = 前3名（排名第1-3）</t>
  </si>
  <si>
    <t>中贡献</t>
  </si>
  <si>
    <t>30%-70% = 第4-8名</t>
  </si>
  <si>
    <t>低贡献</t>
  </si>
  <si>
    <t>后30% = 第9-11名</t>
  </si>
  <si>
    <t>⚠️ 首贷/复贷处理</t>
  </si>
  <si>
    <t>规则</t>
  </si>
  <si>
    <t>月度赛马分 = (首贷分 + 复贷分) / 2</t>
  </si>
  <si>
    <t>偏科标记</t>
  </si>
  <si>
    <t>首贷复贷分差&gt;10分 → 标记偏科</t>
  </si>
  <si>
    <t>⚠️ 其他注意事项</t>
  </si>
  <si>
    <t>1</t>
  </si>
  <si>
    <t>赛马分缺失的月份填0</t>
  </si>
  <si>
    <t>2</t>
  </si>
  <si>
    <t>红线违规=直接C级，不走分数计算</t>
  </si>
  <si>
    <t>3</t>
  </si>
  <si>
    <t>临界点（第3/4名、第8/9名分差&lt;2分）需人工复核</t>
  </si>
  <si>
    <t>📊 赛马月度评分 - 原始数据（首贷+复贷 → 算术平均）</t>
  </si>
  <si>
    <t>规则：月度赛马分 = (首贷分 + 复贷分) / 2 | Q1基础分 = (Q1首贷均 + Q1复贷均) / 2</t>
  </si>
  <si>
    <t>供应商ID</t>
  </si>
  <si>
    <t>供应商名称</t>
  </si>
  <si>
    <t>1月</t>
  </si>
  <si>
    <t>2月</t>
  </si>
  <si>
    <t>3月</t>
  </si>
  <si>
    <t>4月</t>
  </si>
  <si>
    <t>5月</t>
  </si>
  <si>
    <t>6月</t>
  </si>
  <si>
    <t>Q1首贷均</t>
  </si>
  <si>
    <t>Q2首贷均</t>
  </si>
  <si>
    <t>Q1复贷均</t>
  </si>
  <si>
    <t>Q2复贷均</t>
  </si>
  <si>
    <t>Q1基础分</t>
  </si>
  <si>
    <t>Q2基础分</t>
  </si>
  <si>
    <t>环比%</t>
  </si>
  <si>
    <t>Y档</t>
  </si>
  <si>
    <t>备注</t>
  </si>
  <si>
    <t>首贷分</t>
  </si>
  <si>
    <t>复贷分</t>
  </si>
  <si>
    <t>S001</t>
  </si>
  <si>
    <t>毅航合肥职场</t>
  </si>
  <si>
    <t>持平</t>
  </si>
  <si>
    <t>均衡</t>
  </si>
  <si>
    <t>S002</t>
  </si>
  <si>
    <t>毛毛虫职场</t>
  </si>
  <si>
    <t>S003</t>
  </si>
  <si>
    <t>赛维斯职场</t>
  </si>
  <si>
    <t>S004</t>
  </si>
  <si>
    <t>博岳石家庄职场</t>
  </si>
  <si>
    <t>S005</t>
  </si>
  <si>
    <t>汇讯职场</t>
  </si>
  <si>
    <t>S006</t>
  </si>
  <si>
    <t>伽玛职场</t>
  </si>
  <si>
    <t>S007</t>
  </si>
  <si>
    <t>翰锐曲靖职场</t>
  </si>
  <si>
    <t>S008</t>
  </si>
  <si>
    <t>广达陕西职场</t>
  </si>
  <si>
    <t>复贷偏强</t>
  </si>
  <si>
    <t>S009</t>
  </si>
  <si>
    <t>人和职场</t>
  </si>
  <si>
    <t>S010</t>
  </si>
  <si>
    <t>岐力职场</t>
  </si>
  <si>
    <t>S011</t>
  </si>
  <si>
    <t>华啸职场</t>
  </si>
  <si>
    <t>上升</t>
  </si>
  <si>
    <t>⚠️ SLA/合规扣分台账（Q2）</t>
  </si>
  <si>
    <t>黄牌整改</t>
  </si>
  <si>
    <t>红线违规</t>
  </si>
  <si>
    <t>Q2合规扣分</t>
  </si>
  <si>
    <t>触发直接C级</t>
  </si>
  <si>
    <t>扣分明细</t>
  </si>
  <si>
    <t>否</t>
  </si>
  <si>
    <t>📋 扣分标准说明</t>
  </si>
  <si>
    <t>项目</t>
  </si>
  <si>
    <t>定义与操作</t>
  </si>
  <si>
    <t>触发底线：合规/资金/信息安全等重大违规。选'是'=直接评级C级，启动清退评估</t>
  </si>
  <si>
    <t>🔧 月度稳定性检查表（Q2三个月）</t>
  </si>
  <si>
    <t>🔑 操作：默认已预填B档。有异常才改A/C。打分标准见下方蓝色区域。</t>
  </si>
  <si>
    <t>Q2稳定性得分</t>
  </si>
  <si>
    <t>人员变动</t>
  </si>
  <si>
    <t>产能波动</t>
  </si>
  <si>
    <t>SLA达成</t>
  </si>
  <si>
    <t>突发情况</t>
  </si>
  <si>
    <t>B</t>
  </si>
  <si>
    <t>📋 稳定性检查表 · 打分标准（业管参照此标准打分，在备注列写明依据）</t>
  </si>
  <si>
    <t>维度</t>
  </si>
  <si>
    <t>检查什么</t>
  </si>
  <si>
    <t>A档（+1分）</t>
  </si>
  <si>
    <t>B档（0分）</t>
  </si>
  <si>
    <t>C档（-1分）</t>
  </si>
  <si>
    <t>核心人员（主管/质检/培训师/核心TOP坐席）流失或调岗情况</t>
  </si>
  <si>
    <t>团队零流失或仅个别基层流动，核心团队完整，人员替补无缝衔接，对产能和培训无任何影响</t>
  </si>
  <si>
    <t>有少量人员流动（个位数），但不涉及核心岗位，或涉及核心岗位但有成熟替补机制，交付未受影响</t>
  </si>
  <si>
    <t>核心人员（主管/质检/培训师）流失≥2人，或单月人员流失率&gt;15%，导致产能下降或培训断档，影响当月交付</t>
  </si>
  <si>
    <t>月度实际产能相对月均基准的波动幅度</t>
  </si>
  <si>
    <t>产能稳定，波动≤±5%，持续超预期交付，能灵活响应临时加量需求</t>
  </si>
  <si>
    <t>产能波动在±5%~15%之间，基本按计划交付，偶有偏差但可通过加班/调配补齐</t>
  </si>
  <si>
    <t>产能波动&gt;±15%，出现明显交付缺口或严重超量（导致资源浪费），未达月度产能目标的80%或超出120%</t>
  </si>
  <si>
    <t>月度SLA核心指标达成率（接通率/转化率/合规率/首解率等综合）</t>
  </si>
  <si>
    <t>SLA达成率≥98%，核心指标全面达标，多项指标超基准值，质量标杆级表现</t>
  </si>
  <si>
    <t>SLA达成率85%~98%，核心指标基本达标，个别指标在临界值但未触发预警线</t>
  </si>
  <si>
    <t>SLA达成率&lt;85%，或核心指标中任意一项触发红线（如合规率&lt;90%、客诉率超标等），当月有黄牌/投诉记录</t>
  </si>
  <si>
    <t>重大故障/系统事故/客户投诉升级/舆情事件</t>
  </si>
  <si>
    <t>当月无任何突发，且能主动协助其他职场处理突发，应急预案完善</t>
  </si>
  <si>
    <t>当月有≤2次小规模突发（如短时系统卡顿、个别客户投诉），但已快速恢复，未造成业务影响</t>
  </si>
  <si>
    <t>当月有重大故障（如大规模系统瘫痪、集中客诉≥5件、舆情发酵），或突发反复发生≥2次未根治，影响业务连续性</t>
  </si>
  <si>
    <t>📝 供管自评5项（Q2）</t>
  </si>
  <si>
    <t>规则：高=1分 | 中=0分 | 低=-1分 | 加分=5项中评高的项数（封顶5）</t>
  </si>
  <si>
    <t>战略协作</t>
  </si>
  <si>
    <t>响应质量</t>
  </si>
  <si>
    <t>高效执行</t>
  </si>
  <si>
    <t>共同成长</t>
  </si>
  <si>
    <t>坦诚透明</t>
  </si>
  <si>
    <t>自评加分</t>
  </si>
  <si>
    <t>中</t>
  </si>
  <si>
    <t>📋 供管自评5项 · 打分标准（供管参照此标准打分，必须有事实依据）</t>
  </si>
  <si>
    <t>高（1分）· 评分依据</t>
  </si>
  <si>
    <t>中（0分）· 评分依据</t>
  </si>
  <si>
    <t>主动配合战略级项目落地，能前瞻性提出业务优化建议，在关键决策上与平台保持高度一致</t>
  </si>
  <si>
    <t>按要求配合日常项目，不主动但也不抵触，被动执行为主</t>
  </si>
  <si>
    <t>问题响应速度快（&lt;2小时），回复内容准确、完整、有建设性，能举一反三提供解决方案</t>
  </si>
  <si>
    <t>问题响应正常（2-8小时），回复内容基本可用，偶有遗漏需追问</t>
  </si>
  <si>
    <t>响应慢（&gt;8小时或不回复），回复内容敷衍、不完整，需多次追问</t>
  </si>
  <si>
    <t>任务交付准时率&gt;95%，交付质量超预期，能主动优化执行流程，减少返工</t>
  </si>
  <si>
    <t>任务交付基本准时（80%-95%），质量达标，偶有返工</t>
  </si>
  <si>
    <t>任务经常延期（准时率&lt;80%），质量不达标，频繁返工</t>
  </si>
  <si>
    <t>主动分享行业经验/最佳实践，参与平台组织的培训和能力共建，团队专业能力持续提升</t>
  </si>
  <si>
    <t>按平台要求参与培训，但不主动分享，能力维持现状</t>
  </si>
  <si>
    <t>拒绝参与培训/共建活动，团队专业能力停滞或下滑</t>
  </si>
  <si>
    <t>主动如实汇报问题（包括自身失误），数据透明无隐瞒，遇到困难及时上报</t>
  </si>
  <si>
    <t>被问到才汇报问题，数据基本真实但不够主动</t>
  </si>
  <si>
    <t>隐瞒问题或虚报数据，被发现后才承认，缺乏诚信</t>
  </si>
  <si>
    <t>🏆 供应商分级评级结果（首贷/复贷分开评级）</t>
  </si>
  <si>
    <t>Q2基础分=4-6月均分 | 最终=基础分-合规+稳定性+自评 | X档:前3高/4-8中/9-11低</t>
  </si>
  <si>
    <t>📈 首贷评级</t>
  </si>
  <si>
    <t>📈 复贷评级</t>
  </si>
  <si>
    <t>Q2首贷基础分</t>
  </si>
  <si>
    <t>合规扣分</t>
  </si>
  <si>
    <t>稳定性</t>
  </si>
  <si>
    <t>供管自评</t>
  </si>
  <si>
    <t>最终得分</t>
  </si>
  <si>
    <t>排名</t>
  </si>
  <si>
    <t>X档</t>
  </si>
  <si>
    <t>九宫格</t>
  </si>
  <si>
    <t>ABC评级</t>
  </si>
  <si>
    <t>Q2复贷基础分</t>
  </si>
  <si>
    <t>高</t>
  </si>
  <si>
    <t>高-持平</t>
  </si>
  <si>
    <t>A</t>
  </si>
  <si>
    <t>中-持平</t>
  </si>
  <si>
    <t>下降</t>
  </si>
  <si>
    <t>中-下降</t>
  </si>
  <si>
    <t>低</t>
  </si>
  <si>
    <t>低-持平</t>
  </si>
  <si>
    <t>C</t>
  </si>
  <si>
    <t>低-下降</t>
  </si>
  <si>
    <t>中-上升</t>
  </si>
  <si>
    <t>低-上升</t>
  </si>
  <si>
    <t>高-上升</t>
  </si>
  <si>
    <t>📊 九宫格分布统计</t>
  </si>
  <si>
    <t>首贷</t>
  </si>
  <si>
    <t>复贷</t>
  </si>
  <si>
    <t>战略绑定</t>
  </si>
  <si>
    <t>核心保持</t>
  </si>
  <si>
    <t>高-下降</t>
  </si>
  <si>
    <t>防止下滑</t>
  </si>
  <si>
    <t>重点培养</t>
  </si>
  <si>
    <t>稳定维持</t>
  </si>
  <si>
    <t>关注下降</t>
  </si>
  <si>
    <t>边缘培养</t>
  </si>
  <si>
    <t>观察区</t>
  </si>
  <si>
    <t>预警清退</t>
  </si>
  <si>
    <t>📋 三张清单（首贷评级）</t>
  </si>
  <si>
    <t>📋 三张清单（复贷评级）</t>
  </si>
  <si>
    <t>🟢 保留清单（A级）</t>
  </si>
  <si>
    <t>关键优势</t>
  </si>
  <si>
    <t>保留理由</t>
  </si>
  <si>
    <t>资源倾斜建议</t>
  </si>
  <si>
    <t>🟡 培养清单（B级）</t>
  </si>
  <si>
    <t>短板</t>
  </si>
  <si>
    <t>培养方向</t>
  </si>
  <si>
    <t>提升路径</t>
  </si>
  <si>
    <t>🔴 优化清单（C级）</t>
  </si>
  <si>
    <t>主要问题</t>
  </si>
  <si>
    <t>整改/清退路径</t>
  </si>
  <si>
    <t>时间节点</t>
  </si>
  <si>
    <t>📊 集中度管控检查</t>
  </si>
  <si>
    <t>规则：A级供应商合计产能占比 ≤ 40%（PDF第十六条）</t>
  </si>
  <si>
    <t>步骤1：A级供应商自动带出，只需填产能数据</t>
  </si>
  <si>
    <t>供应商名称（自动）</t>
  </si>
  <si>
    <t>Q2月均产能（手填）</t>
  </si>
  <si>
    <t>产能占比</t>
  </si>
  <si>
    <t>是否单家&gt;25%</t>
  </si>
  <si>
    <t>A级合计</t>
  </si>
  <si>
    <t>金条产线总产能（含所有级）</t>
  </si>
  <si>
    <t>集中度检查结论</t>
  </si>
  <si>
    <t>A级合计产能占比</t>
  </si>
  <si>
    <t>阈值</t>
  </si>
  <si>
    <t>是否达标</t>
  </si>
  <si>
    <t>🚪 清退路径判定（C级供应商）</t>
  </si>
  <si>
    <t>📈 首贷C级</t>
  </si>
  <si>
    <t>📈 复贷C级</t>
  </si>
  <si>
    <t>是否红线</t>
  </si>
  <si>
    <t>连续两季C</t>
  </si>
  <si>
    <t>当季C且下降</t>
  </si>
  <si>
    <t>首次C持平/上升</t>
  </si>
  <si>
    <t>走哪条路径</t>
  </si>
  <si>
    <t>关键节点</t>
  </si>
  <si>
    <t>否（首次盘点）</t>
  </si>
  <si>
    <t>舆情投诉</t>
    <phoneticPr fontId="14" type="noConversion"/>
  </si>
  <si>
    <t>备注</t>
    <phoneticPr fontId="14" type="noConversion"/>
  </si>
  <si>
    <t>员工微博投诉，cc刘总</t>
    <phoneticPr fontId="14" type="noConversion"/>
  </si>
  <si>
    <t>SLA核心指标未达标/质量问题被下发整改通知。选0=无，选-1=有</t>
    <phoneticPr fontId="14" type="noConversion"/>
  </si>
  <si>
    <r>
      <rPr>
        <i/>
        <sz val="9"/>
        <color rgb="FF666666"/>
        <rFont val="Apple Color Emoji"/>
        <family val="2"/>
        <charset val="134"/>
      </rPr>
      <t>🔑</t>
    </r>
    <r>
      <rPr>
        <i/>
        <sz val="9"/>
        <color rgb="FF666666"/>
        <rFont val="微软雅黑"/>
        <family val="2"/>
        <charset val="134"/>
      </rPr>
      <t xml:space="preserve"> 操作：点击黄色格子，下拉选择扣分值（0=无发生 / -1=有发生），自动汇总到Q2合规扣分</t>
    </r>
    <phoneticPr fontId="14" type="noConversion"/>
  </si>
  <si>
    <t>舆情客户投诉经核查供应商有责任。选0=无，选-1=有。多次发生可叠加选择（每次-1）</t>
    <phoneticPr fontId="14" type="noConversion"/>
  </si>
  <si>
    <t>低（-1分）· 评分依据</t>
    <phoneticPr fontId="14" type="noConversion"/>
  </si>
  <si>
    <t>对战略项目配合度低，抵触变革，或在关键节点不响应</t>
    <phoneticPr fontId="1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</si>
</sst>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
    <numFmt numFmtId="177" formatCode="0.0%"/>
  </numFmts>
  <fonts count="28">
    <font>
      <sz val="11"/>
      <color theme="1"/>
      <name val="宋体"/>
      <family val="2"/>
      <scheme val="minor"/>
    </font>
    <font>
      <b/>
      <sz val="14"/>
      <color rgb="FF1F4E78"/>
      <name val="微软雅黑"/>
      <family val="2"/>
      <charset val="134"/>
    </font>
    <font>
      <b/>
      <sz val="10"/>
      <name val="微软雅黑"/>
      <family val="2"/>
      <charset val="134"/>
    </font>
    <font>
      <sz val="10"/>
      <name val="微软雅黑"/>
      <family val="2"/>
      <charset val="134"/>
    </font>
    <font>
      <i/>
      <sz val="9"/>
      <color rgb="FF666666"/>
      <name val="微软雅黑"/>
      <family val="2"/>
      <charset val="134"/>
    </font>
    <font>
      <b/>
      <sz val="11"/>
      <color rgb="FFFFFFFF"/>
      <name val="微软雅黑"/>
      <family val="2"/>
      <charset val="134"/>
    </font>
    <font>
      <b/>
      <sz val="11"/>
      <color rgb="FFC00000"/>
      <name val="微软雅黑"/>
      <family val="2"/>
      <charset val="134"/>
    </font>
    <font>
      <b/>
      <sz val="11"/>
      <name val="微软雅黑"/>
      <family val="2"/>
      <charset val="134"/>
    </font>
    <font>
      <b/>
      <sz val="11"/>
      <color rgb="FF1F4E78"/>
      <name val="微软雅黑"/>
      <family val="2"/>
      <charset val="134"/>
    </font>
    <font>
      <b/>
      <sz val="10"/>
      <color rgb="FF1F4E78"/>
      <name val="微软雅黑"/>
      <family val="2"/>
      <charset val="134"/>
    </font>
    <font>
      <i/>
      <sz val="9"/>
      <color rgb="FF006100"/>
      <name val="微软雅黑"/>
      <family val="2"/>
      <charset val="134"/>
    </font>
    <font>
      <b/>
      <sz val="10"/>
      <color rgb="FFC00000"/>
      <name val="微软雅黑"/>
      <family val="2"/>
      <charset val="134"/>
    </font>
    <font>
      <b/>
      <sz val="11"/>
      <name val="宋体"/>
      <family val="3"/>
      <charset val="134"/>
    </font>
    <font>
      <b/>
      <sz val="12"/>
      <name val="宋体"/>
      <family val="3"/>
      <charset val="134"/>
    </font>
    <font>
      <sz val="9"/>
      <name val="宋体"/>
      <family val="3"/>
      <charset val="134"/>
      <scheme val="minor"/>
    </font>
    <font>
      <b/>
      <sz val="11"/>
      <name val="宋体"/>
      <family val="3"/>
      <charset val="134"/>
    </font>
    <font>
      <sz val="11"/>
      <name val="宋体"/>
      <family val="3"/>
      <charset val="134"/>
    </font>
    <font>
      <b/>
      <sz val="14"/>
      <name val="宋体"/>
      <family val="3"/>
      <charset val="134"/>
    </font>
    <font>
      <sz val="9"/>
      <color rgb="FF666666"/>
      <name val="宋体"/>
      <family val="3"/>
      <charset val="134"/>
    </font>
    <font>
      <b/>
      <sz val="12"/>
      <color rgb="FF1F4E79"/>
      <name val="宋体"/>
      <family val="3"/>
      <charset val="134"/>
    </font>
    <font>
      <b/>
      <sz val="12"/>
      <name val="宋体"/>
      <family val="3"/>
      <charset val="134"/>
    </font>
    <font>
      <b/>
      <sz val="13"/>
      <name val="宋体"/>
      <family val="3"/>
      <charset val="134"/>
    </font>
    <font>
      <b/>
      <sz val="11"/>
      <color rgb="FF008000"/>
      <name val="宋体"/>
      <family val="3"/>
      <charset val="134"/>
    </font>
    <font>
      <b/>
      <sz val="11"/>
      <color rgb="FFBF8F00"/>
      <name val="宋体"/>
      <family val="3"/>
      <charset val="134"/>
    </font>
    <font>
      <b/>
      <sz val="11"/>
      <color rgb="FFCC0000"/>
      <name val="宋体"/>
      <family val="3"/>
      <charset val="134"/>
    </font>
    <font>
      <b/>
      <sz val="11"/>
      <color rgb="FFCC0000"/>
      <name val="宋体"/>
      <family val="3"/>
      <charset val="134"/>
    </font>
    <font>
      <b/>
      <sz val="11"/>
      <color rgb="FFFF0000"/>
      <name val="宋体"/>
      <family val="3"/>
      <charset val="134"/>
    </font>
    <font>
      <i/>
      <sz val="9"/>
      <color rgb="FF666666"/>
      <name val="Apple Color Emoji"/>
      <family val="2"/>
      <charset val="134"/>
    </font>
  </fonts>
  <fills count="16">
    <fill>
      <patternFill patternType="none"/>
    </fill>
    <fill>
      <patternFill patternType="gray125"/>
    </fill>
    <fill>
      <patternFill patternType="solid">
        <fgColor rgb="FF1F4E78"/>
      </patternFill>
    </fill>
    <fill>
      <patternFill patternType="solid">
        <fgColor rgb="FFFFF2CC"/>
      </patternFill>
    </fill>
    <fill>
      <patternFill patternType="solid">
        <fgColor rgb="FFE2EFDA"/>
      </patternFill>
    </fill>
    <fill>
      <patternFill patternType="solid">
        <fgColor rgb="FFE8F4FD"/>
      </patternFill>
    </fill>
    <fill>
      <patternFill patternType="solid">
        <fgColor rgb="FFD6E4F0"/>
      </patternFill>
    </fill>
    <fill>
      <patternFill patternType="solid">
        <fgColor rgb="FFF2F2F2"/>
      </patternFill>
    </fill>
    <fill>
      <patternFill patternType="solid">
        <fgColor rgb="FFC6EFCE"/>
      </patternFill>
    </fill>
    <fill>
      <patternFill patternType="solid">
        <fgColor rgb="FFFFEB9C"/>
      </patternFill>
    </fill>
    <fill>
      <patternFill patternType="solid">
        <fgColor rgb="FFFFC7CE"/>
      </patternFill>
    </fill>
    <fill>
      <patternFill patternType="solid">
        <fgColor rgb="FFFCE4D6"/>
      </patternFill>
    </fill>
    <fill>
      <patternFill patternType="solid">
        <fgColor rgb="FFFFF2CC"/>
        <bgColor rgb="FFFFF2CC"/>
      </patternFill>
    </fill>
    <fill>
      <patternFill patternType="solid">
        <fgColor rgb="FFE2EFDA"/>
        <bgColor rgb="FFE2EFDA"/>
      </patternFill>
    </fill>
    <fill>
      <patternFill patternType="solid">
        <fgColor rgb="FFFCE4D6"/>
        <bgColor rgb="FFFCE4D6"/>
      </patternFill>
    </fill>
    <fill>
      <patternFill patternType="solid">
        <fgColor rgb="FFD6E4F0"/>
        <bgColor rgb="FFD6E4F0"/>
      </patternFill>
    </fill>
  </fills>
  <borders count="12">
    <border>
      <left/>
      <right/>
      <top/>
      <bottom/>
      <diagonal/>
    </border>
    <border>
      <left style="thin">
        <color rgb="FFB0B0B0"/>
      </left>
      <right style="thin">
        <color rgb="FFB0B0B0"/>
      </right>
      <top style="thin">
        <color rgb="FFB0B0B0"/>
      </top>
      <bottom style="thin">
        <color rgb="FFB0B0B0"/>
      </bottom>
      <diagonal/>
    </border>
    <border>
      <left style="thin">
        <color rgb="FFB0B0B0"/>
      </left>
      <right style="thin">
        <color rgb="FFB0B0B0"/>
      </right>
      <top/>
      <bottom style="thin">
        <color rgb="FFB0B0B0"/>
      </bottom>
      <diagonal/>
    </border>
    <border>
      <left/>
      <right style="thin">
        <color rgb="FFB0B0B0"/>
      </right>
      <top style="thin">
        <color rgb="FFB0B0B0"/>
      </top>
      <bottom style="thin">
        <color rgb="FFB0B0B0"/>
      </bottom>
      <diagonal/>
    </border>
    <border>
      <left/>
      <right/>
      <top style="thin">
        <color rgb="FFB0B0B0"/>
      </top>
      <bottom style="thin">
        <color rgb="FFB0B0B0"/>
      </bottom>
      <diagonal/>
    </border>
    <border>
      <left style="thin">
        <color rgb="FFB0B0B0"/>
      </left>
      <right style="thin">
        <color rgb="FFB0B0B0"/>
      </right>
      <top/>
      <bottom/>
      <diagonal/>
    </border>
    <border>
      <left style="thin">
        <color auto="1"/>
      </left>
      <right style="thin">
        <color auto="1"/>
      </right>
      <top style="thin">
        <color auto="1"/>
      </top>
      <bottom style="thin">
        <color auto="1"/>
      </bottom>
      <diagonal/>
    </border>
    <border>
      <left/>
      <right/>
      <top/>
      <bottom/>
      <diagonal/>
    </border>
    <border>
      <left/>
      <right/>
      <top/>
      <bottom/>
      <diagonal/>
    </border>
    <border>
      <left/>
      <right/>
      <top/>
      <bottom/>
      <diagonal/>
    </border>
    <border>
      <left/>
      <right/>
      <top/>
      <bottom/>
      <diagonal/>
    </border>
    <border>
      <left style="thin">
        <color rgb="FFB0B0B0"/>
      </left>
      <right/>
      <top style="thin">
        <color rgb="FFB0B0B0"/>
      </top>
      <bottom style="thin">
        <color rgb="FFB0B0B0"/>
      </bottom>
      <diagonal/>
    </border>
  </borders>
  <cellStyleXfs count="1">
    <xf numFmtId="0" fontId="0" fillId="0" borderId="0"/>
  </cellStyleXfs>
  <cellXfs count="78">
    <xf numFmtId="0" fontId="0" fillId="0" borderId="0" xfId="0"/>
    <xf numFmtId="0" fontId="2" fillId="0" borderId="0" xfId="0" applyFont="1"/>
    <xf numFmtId="0" fontId="5" fillId="2" borderId="1" xfId="0" applyFont="1" applyFill="1" applyBorder="1" applyAlignment="1">
      <alignment horizontal="center" vertical="center" wrapText="1"/>
    </xf>
    <xf numFmtId="0" fontId="0" fillId="3" borderId="1" xfId="0" applyFill="1" applyBorder="1"/>
    <xf numFmtId="0" fontId="6" fillId="3" borderId="1" xfId="0" applyFont="1" applyFill="1" applyBorder="1" applyAlignment="1">
      <alignment horizontal="center" vertical="center" wrapText="1"/>
    </xf>
    <xf numFmtId="0" fontId="9" fillId="6" borderId="1" xfId="0" applyFont="1" applyFill="1" applyBorder="1" applyAlignment="1">
      <alignment horizontal="center" vertical="center" wrapText="1"/>
    </xf>
    <xf numFmtId="0" fontId="2" fillId="5" borderId="1" xfId="0" applyFont="1" applyFill="1" applyBorder="1" applyAlignment="1">
      <alignment horizontal="left" vertical="center" wrapText="1"/>
    </xf>
    <xf numFmtId="0" fontId="0" fillId="8" borderId="0" xfId="0" applyFill="1"/>
    <xf numFmtId="0" fontId="0" fillId="3" borderId="0" xfId="0" applyFill="1"/>
    <xf numFmtId="177" fontId="0" fillId="4" borderId="0" xfId="0" applyNumberFormat="1" applyFill="1"/>
    <xf numFmtId="0" fontId="0" fillId="4" borderId="0" xfId="0" applyFill="1"/>
    <xf numFmtId="0" fontId="2" fillId="11" borderId="0" xfId="0" applyFont="1" applyFill="1"/>
    <xf numFmtId="177" fontId="2" fillId="11" borderId="0" xfId="0" applyNumberFormat="1" applyFont="1" applyFill="1"/>
    <xf numFmtId="0" fontId="12" fillId="0" borderId="0" xfId="0" applyFont="1"/>
    <xf numFmtId="0" fontId="12" fillId="3" borderId="0" xfId="0" applyFont="1" applyFill="1"/>
    <xf numFmtId="177" fontId="12" fillId="0" borderId="0" xfId="0" applyNumberFormat="1" applyFont="1"/>
    <xf numFmtId="177" fontId="0" fillId="0" borderId="0" xfId="0" applyNumberFormat="1"/>
    <xf numFmtId="0" fontId="13" fillId="0" borderId="0" xfId="0" applyFont="1"/>
    <xf numFmtId="176" fontId="0" fillId="12" borderId="6" xfId="0" applyNumberFormat="1" applyFill="1" applyBorder="1" applyAlignment="1">
      <alignment horizontal="center"/>
    </xf>
    <xf numFmtId="176" fontId="0" fillId="13" borderId="6" xfId="0" applyNumberFormat="1" applyFill="1" applyBorder="1" applyAlignment="1">
      <alignment horizontal="center"/>
    </xf>
    <xf numFmtId="177" fontId="0" fillId="13" borderId="6" xfId="0" applyNumberFormat="1" applyFill="1" applyBorder="1" applyAlignment="1">
      <alignment horizontal="center"/>
    </xf>
    <xf numFmtId="0" fontId="0" fillId="13" borderId="6" xfId="0" applyFill="1" applyBorder="1" applyAlignment="1">
      <alignment horizontal="center"/>
    </xf>
    <xf numFmtId="0" fontId="7" fillId="13" borderId="6" xfId="0" applyFont="1" applyFill="1" applyBorder="1" applyAlignment="1">
      <alignment horizontal="center"/>
    </xf>
    <xf numFmtId="176" fontId="15" fillId="14" borderId="6" xfId="0" applyNumberFormat="1" applyFont="1" applyFill="1" applyBorder="1" applyAlignment="1">
      <alignment horizontal="center"/>
    </xf>
    <xf numFmtId="0" fontId="17" fillId="0" borderId="7" xfId="0" applyFont="1" applyBorder="1"/>
    <xf numFmtId="0" fontId="16" fillId="0" borderId="7" xfId="0" applyFont="1" applyBorder="1"/>
    <xf numFmtId="0" fontId="18" fillId="0" borderId="7" xfId="0" applyFont="1" applyBorder="1"/>
    <xf numFmtId="0" fontId="19" fillId="0" borderId="7" xfId="0" applyFont="1" applyBorder="1"/>
    <xf numFmtId="176" fontId="15" fillId="15" borderId="6" xfId="0" applyNumberFormat="1" applyFont="1" applyFill="1" applyBorder="1" applyAlignment="1">
      <alignment horizontal="center"/>
    </xf>
    <xf numFmtId="0" fontId="15" fillId="15" borderId="6" xfId="0" applyFont="1" applyFill="1" applyBorder="1" applyAlignment="1">
      <alignment horizontal="center"/>
    </xf>
    <xf numFmtId="177" fontId="15" fillId="15" borderId="6" xfId="0" applyNumberFormat="1" applyFont="1" applyFill="1" applyBorder="1" applyAlignment="1">
      <alignment horizontal="center"/>
    </xf>
    <xf numFmtId="176" fontId="16" fillId="0" borderId="6" xfId="0" applyNumberFormat="1" applyFont="1" applyBorder="1" applyAlignment="1">
      <alignment horizontal="center"/>
    </xf>
    <xf numFmtId="0" fontId="16" fillId="0" borderId="6" xfId="0" applyFont="1" applyBorder="1" applyAlignment="1">
      <alignment horizontal="center"/>
    </xf>
    <xf numFmtId="177" fontId="16" fillId="0" borderId="6" xfId="0" applyNumberFormat="1" applyFont="1" applyBorder="1" applyAlignment="1">
      <alignment horizontal="center"/>
    </xf>
    <xf numFmtId="0" fontId="20" fillId="0" borderId="7" xfId="0" applyFont="1" applyBorder="1"/>
    <xf numFmtId="0" fontId="15" fillId="0" borderId="7" xfId="0" applyFont="1" applyBorder="1"/>
    <xf numFmtId="0" fontId="21" fillId="0" borderId="8" xfId="0" applyFont="1" applyBorder="1"/>
    <xf numFmtId="0" fontId="16" fillId="0" borderId="8" xfId="0" applyFont="1" applyBorder="1"/>
    <xf numFmtId="0" fontId="25" fillId="0" borderId="8" xfId="0" applyFont="1" applyBorder="1"/>
    <xf numFmtId="0" fontId="15" fillId="15" borderId="6" xfId="0" applyFont="1" applyFill="1" applyBorder="1" applyAlignment="1">
      <alignment horizontal="center" wrapText="1"/>
    </xf>
    <xf numFmtId="0" fontId="16" fillId="0" borderId="6" xfId="0" applyFont="1" applyBorder="1" applyAlignment="1">
      <alignment horizontal="center" wrapText="1"/>
    </xf>
    <xf numFmtId="0" fontId="16" fillId="0" borderId="9" xfId="0" applyFont="1" applyBorder="1"/>
    <xf numFmtId="0" fontId="22" fillId="0" borderId="6" xfId="0" applyFont="1" applyBorder="1" applyAlignment="1">
      <alignment horizontal="center"/>
    </xf>
    <xf numFmtId="0" fontId="26" fillId="0" borderId="6" xfId="0" applyFont="1" applyBorder="1" applyAlignment="1">
      <alignment horizontal="center"/>
    </xf>
    <xf numFmtId="0" fontId="21" fillId="0" borderId="10" xfId="0" applyFont="1" applyBorder="1"/>
    <xf numFmtId="0" fontId="16" fillId="0" borderId="10" xfId="0" applyFont="1" applyBorder="1"/>
    <xf numFmtId="0" fontId="22" fillId="0" borderId="10" xfId="0" applyFont="1" applyBorder="1"/>
    <xf numFmtId="176" fontId="16" fillId="0" borderId="10" xfId="0" applyNumberFormat="1" applyFont="1" applyBorder="1"/>
    <xf numFmtId="0" fontId="23" fillId="0" borderId="10" xfId="0" applyFont="1" applyBorder="1"/>
    <xf numFmtId="0" fontId="24" fillId="0" borderId="10" xfId="0" applyFont="1" applyBorder="1"/>
    <xf numFmtId="0" fontId="16" fillId="0" borderId="6" xfId="0" applyFont="1" applyBorder="1"/>
    <xf numFmtId="0" fontId="0" fillId="3" borderId="11" xfId="0" applyFill="1" applyBorder="1"/>
    <xf numFmtId="0" fontId="0" fillId="3" borderId="6" xfId="0" applyFill="1" applyBorder="1"/>
    <xf numFmtId="0" fontId="0" fillId="13" borderId="6" xfId="0" applyFill="1" applyBorder="1" applyAlignment="1">
      <alignment horizontal="center" vertical="center"/>
    </xf>
    <xf numFmtId="0" fontId="0" fillId="7" borderId="1" xfId="0" applyFill="1" applyBorder="1" applyAlignment="1">
      <alignment horizontal="center" vertical="center"/>
    </xf>
    <xf numFmtId="0" fontId="5" fillId="2" borderId="5"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0" xfId="0" applyFont="1"/>
    <xf numFmtId="0" fontId="0" fillId="0" borderId="0" xfId="0"/>
    <xf numFmtId="0" fontId="3" fillId="0" borderId="0" xfId="0" applyFont="1" applyAlignment="1">
      <alignment horizontal="left" vertical="center" wrapText="1"/>
    </xf>
    <xf numFmtId="0" fontId="5" fillId="2" borderId="1" xfId="0" applyFont="1" applyFill="1" applyBorder="1" applyAlignment="1">
      <alignment horizontal="center" vertical="center" wrapText="1"/>
    </xf>
    <xf numFmtId="0" fontId="0" fillId="0" borderId="3" xfId="0" applyBorder="1"/>
    <xf numFmtId="0" fontId="4" fillId="0" borderId="0" xfId="0" applyFont="1"/>
    <xf numFmtId="0" fontId="0" fillId="0" borderId="2" xfId="0" applyBorder="1"/>
    <xf numFmtId="0" fontId="9" fillId="6" borderId="1" xfId="0" applyFont="1" applyFill="1" applyBorder="1" applyAlignment="1">
      <alignment horizontal="center" vertical="center" wrapText="1"/>
    </xf>
    <xf numFmtId="0" fontId="0" fillId="0" borderId="4" xfId="0" applyBorder="1"/>
    <xf numFmtId="0" fontId="3" fillId="0" borderId="1" xfId="0" applyFont="1" applyBorder="1" applyAlignment="1">
      <alignment horizontal="left" vertical="center" wrapText="1"/>
    </xf>
    <xf numFmtId="0" fontId="4" fillId="0" borderId="0" xfId="0" applyFont="1" applyAlignment="1">
      <alignment vertical="center"/>
    </xf>
    <xf numFmtId="0" fontId="0" fillId="0" borderId="0" xfId="0" applyAlignment="1">
      <alignment vertical="center"/>
    </xf>
    <xf numFmtId="0" fontId="8" fillId="5" borderId="0" xfId="0" applyFont="1" applyFill="1" applyAlignment="1">
      <alignment horizontal="left" vertical="center"/>
    </xf>
    <xf numFmtId="0" fontId="10" fillId="0" borderId="0" xfId="0" applyFont="1"/>
    <xf numFmtId="0" fontId="3" fillId="9" borderId="1" xfId="0" applyFont="1" applyFill="1" applyBorder="1" applyAlignment="1">
      <alignment horizontal="left" vertical="center" wrapText="1"/>
    </xf>
    <xf numFmtId="0" fontId="3" fillId="8" borderId="1" xfId="0" applyFont="1" applyFill="1" applyBorder="1" applyAlignment="1">
      <alignment horizontal="left" vertical="center" wrapText="1"/>
    </xf>
    <xf numFmtId="0" fontId="3" fillId="10" borderId="1" xfId="0" applyFont="1" applyFill="1" applyBorder="1" applyAlignment="1">
      <alignment horizontal="left" vertical="center" wrapText="1"/>
    </xf>
    <xf numFmtId="0" fontId="8" fillId="5" borderId="0" xfId="0" applyFont="1" applyFill="1"/>
    <xf numFmtId="0" fontId="9" fillId="6" borderId="0" xfId="0" applyFont="1" applyFill="1"/>
    <xf numFmtId="0" fontId="11" fillId="0" borderId="0" xfId="0" applyFont="1"/>
    <xf numFmtId="0" fontId="26" fillId="15" borderId="6" xfId="0" applyFont="1" applyFill="1" applyBorder="1" applyAlignment="1">
      <alignment horizontal="center" wrapText="1"/>
    </xf>
  </cellXfs>
  <cellStyles count="1">
    <cellStyle name="常规" xfId="0" builtinId="0"/>
  </cellStyles>
  <dxfs count="3">
    <dxf>
      <fill>
        <patternFill patternType="solid">
          <fgColor rgb="FFFFC7CE"/>
        </patternFill>
      </fill>
    </dxf>
    <dxf>
      <fill>
        <patternFill patternType="solid">
          <fgColor rgb="FFFFEB9C"/>
        </patternFill>
      </fill>
    </dxf>
    <dxf>
      <fill>
        <patternFill patternType="solid">
          <f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34"/>
  <sheetViews>
    <sheetView workbookViewId="0"/>
  </sheetViews>
  <sheetFormatPr baseColWidth="10" defaultColWidth="8.83203125" defaultRowHeight="14"/>
  <cols>
    <col min="1" max="1" width="3" customWidth="1"/>
    <col min="2" max="2" width="28" customWidth="1"/>
    <col min="3" max="8" width="18" customWidth="1"/>
  </cols>
  <sheetData>
    <row r="2" spans="2:8" ht="21" customHeight="1">
      <c r="B2" s="57" t="s">
        <v>0</v>
      </c>
      <c r="C2" s="58"/>
      <c r="D2" s="58"/>
      <c r="E2" s="58"/>
      <c r="F2" s="58"/>
      <c r="G2" s="58"/>
      <c r="H2" s="58"/>
    </row>
    <row r="4" spans="2:8" ht="16" customHeight="1">
      <c r="B4" s="1"/>
      <c r="C4" s="59"/>
      <c r="D4" s="58"/>
      <c r="E4" s="58"/>
      <c r="F4" s="58"/>
      <c r="G4" s="58"/>
      <c r="H4" s="58"/>
    </row>
    <row r="5" spans="2:8" ht="16" customHeight="1">
      <c r="B5" s="1" t="s">
        <v>1</v>
      </c>
      <c r="C5" s="59"/>
      <c r="D5" s="58"/>
      <c r="E5" s="58"/>
      <c r="F5" s="58"/>
      <c r="G5" s="58"/>
      <c r="H5" s="58"/>
    </row>
    <row r="6" spans="2:8" ht="16" customHeight="1">
      <c r="B6" s="1" t="s">
        <v>2</v>
      </c>
      <c r="C6" s="59" t="s">
        <v>3</v>
      </c>
      <c r="D6" s="58"/>
      <c r="E6" s="58"/>
      <c r="F6" s="58"/>
      <c r="G6" s="58"/>
      <c r="H6" s="58"/>
    </row>
    <row r="7" spans="2:8" ht="16" customHeight="1">
      <c r="B7" s="1" t="s">
        <v>4</v>
      </c>
      <c r="C7" s="59" t="s">
        <v>5</v>
      </c>
      <c r="D7" s="58"/>
      <c r="E7" s="58"/>
      <c r="F7" s="58"/>
      <c r="G7" s="58"/>
      <c r="H7" s="58"/>
    </row>
    <row r="8" spans="2:8" ht="16" customHeight="1">
      <c r="B8" s="1" t="s">
        <v>6</v>
      </c>
      <c r="C8" s="59" t="s">
        <v>7</v>
      </c>
      <c r="D8" s="58"/>
      <c r="E8" s="58"/>
      <c r="F8" s="58"/>
      <c r="G8" s="58"/>
      <c r="H8" s="58"/>
    </row>
    <row r="9" spans="2:8" ht="16" customHeight="1">
      <c r="B9" s="1" t="s">
        <v>8</v>
      </c>
      <c r="C9" s="59" t="s">
        <v>9</v>
      </c>
      <c r="D9" s="58"/>
      <c r="E9" s="58"/>
      <c r="F9" s="58"/>
      <c r="G9" s="58"/>
      <c r="H9" s="58"/>
    </row>
    <row r="10" spans="2:8" ht="16" customHeight="1">
      <c r="B10" s="1" t="s">
        <v>10</v>
      </c>
      <c r="C10" s="59" t="s">
        <v>11</v>
      </c>
      <c r="D10" s="58"/>
      <c r="E10" s="58"/>
      <c r="F10" s="58"/>
      <c r="G10" s="58"/>
      <c r="H10" s="58"/>
    </row>
    <row r="11" spans="2:8" ht="16" customHeight="1">
      <c r="B11" s="1"/>
      <c r="C11" s="59"/>
      <c r="D11" s="58"/>
      <c r="E11" s="58"/>
      <c r="F11" s="58"/>
      <c r="G11" s="58"/>
      <c r="H11" s="58"/>
    </row>
    <row r="12" spans="2:8" ht="16" customHeight="1">
      <c r="B12" s="1" t="s">
        <v>12</v>
      </c>
      <c r="C12" s="59"/>
      <c r="D12" s="58"/>
      <c r="E12" s="58"/>
      <c r="F12" s="58"/>
      <c r="G12" s="58"/>
      <c r="H12" s="58"/>
    </row>
    <row r="13" spans="2:8" ht="16" customHeight="1">
      <c r="B13" s="1" t="s">
        <v>13</v>
      </c>
      <c r="C13" s="59" t="s">
        <v>14</v>
      </c>
      <c r="D13" s="58"/>
      <c r="E13" s="58"/>
      <c r="F13" s="58"/>
      <c r="G13" s="58"/>
      <c r="H13" s="58"/>
    </row>
    <row r="14" spans="2:8" ht="16" customHeight="1">
      <c r="B14" s="1" t="s">
        <v>15</v>
      </c>
      <c r="C14" s="59" t="s">
        <v>16</v>
      </c>
      <c r="D14" s="58"/>
      <c r="E14" s="58"/>
      <c r="F14" s="58"/>
      <c r="G14" s="58"/>
      <c r="H14" s="58"/>
    </row>
    <row r="15" spans="2:8" ht="16" customHeight="1">
      <c r="B15" s="1" t="s">
        <v>17</v>
      </c>
      <c r="C15" s="59" t="s">
        <v>18</v>
      </c>
      <c r="D15" s="58"/>
      <c r="E15" s="58"/>
      <c r="F15" s="58"/>
      <c r="G15" s="58"/>
      <c r="H15" s="58"/>
    </row>
    <row r="16" spans="2:8" ht="16" customHeight="1">
      <c r="B16" s="1" t="s">
        <v>19</v>
      </c>
      <c r="C16" s="59" t="s">
        <v>20</v>
      </c>
      <c r="D16" s="58"/>
      <c r="E16" s="58"/>
      <c r="F16" s="58"/>
      <c r="G16" s="58"/>
      <c r="H16" s="58"/>
    </row>
    <row r="17" spans="2:8" ht="16" customHeight="1">
      <c r="B17" s="1" t="s">
        <v>21</v>
      </c>
      <c r="C17" s="59" t="s">
        <v>22</v>
      </c>
      <c r="D17" s="58"/>
      <c r="E17" s="58"/>
      <c r="F17" s="58"/>
      <c r="G17" s="58"/>
      <c r="H17" s="58"/>
    </row>
    <row r="18" spans="2:8" ht="16" customHeight="1">
      <c r="B18" s="1" t="s">
        <v>23</v>
      </c>
      <c r="C18" s="59" t="s">
        <v>24</v>
      </c>
      <c r="D18" s="58"/>
      <c r="E18" s="58"/>
      <c r="F18" s="58"/>
      <c r="G18" s="58"/>
      <c r="H18" s="58"/>
    </row>
    <row r="19" spans="2:8" ht="16" customHeight="1">
      <c r="B19" s="1" t="s">
        <v>25</v>
      </c>
      <c r="C19" s="59" t="s">
        <v>26</v>
      </c>
      <c r="D19" s="58"/>
      <c r="E19" s="58"/>
      <c r="F19" s="58"/>
      <c r="G19" s="58"/>
      <c r="H19" s="58"/>
    </row>
    <row r="20" spans="2:8" ht="16" customHeight="1">
      <c r="B20" s="1" t="s">
        <v>27</v>
      </c>
      <c r="C20" s="59" t="s">
        <v>28</v>
      </c>
      <c r="D20" s="58"/>
      <c r="E20" s="58"/>
      <c r="F20" s="58"/>
      <c r="G20" s="58"/>
      <c r="H20" s="58"/>
    </row>
    <row r="21" spans="2:8" ht="16" customHeight="1">
      <c r="B21" s="1"/>
      <c r="C21" s="59"/>
      <c r="D21" s="58"/>
      <c r="E21" s="58"/>
      <c r="F21" s="58"/>
      <c r="G21" s="58"/>
      <c r="H21" s="58"/>
    </row>
    <row r="22" spans="2:8" ht="16" customHeight="1">
      <c r="B22" s="1" t="s">
        <v>29</v>
      </c>
      <c r="C22" s="59"/>
      <c r="D22" s="58"/>
      <c r="E22" s="58"/>
      <c r="F22" s="58"/>
      <c r="G22" s="58"/>
      <c r="H22" s="58"/>
    </row>
    <row r="23" spans="2:8" ht="16" customHeight="1">
      <c r="B23" s="1" t="s">
        <v>30</v>
      </c>
      <c r="C23" s="59" t="s">
        <v>31</v>
      </c>
      <c r="D23" s="58"/>
      <c r="E23" s="58"/>
      <c r="F23" s="58"/>
      <c r="G23" s="58"/>
      <c r="H23" s="58"/>
    </row>
    <row r="24" spans="2:8" ht="16" customHeight="1">
      <c r="B24" s="1" t="s">
        <v>32</v>
      </c>
      <c r="C24" s="59" t="s">
        <v>33</v>
      </c>
      <c r="D24" s="58"/>
      <c r="E24" s="58"/>
      <c r="F24" s="58"/>
      <c r="G24" s="58"/>
      <c r="H24" s="58"/>
    </row>
    <row r="25" spans="2:8" ht="16" customHeight="1">
      <c r="B25" s="1" t="s">
        <v>34</v>
      </c>
      <c r="C25" s="59" t="s">
        <v>35</v>
      </c>
      <c r="D25" s="58"/>
      <c r="E25" s="58"/>
      <c r="F25" s="58"/>
      <c r="G25" s="58"/>
      <c r="H25" s="58"/>
    </row>
    <row r="26" spans="2:8" ht="16" customHeight="1">
      <c r="B26" s="1"/>
      <c r="C26" s="59"/>
      <c r="D26" s="58"/>
      <c r="E26" s="58"/>
      <c r="F26" s="58"/>
      <c r="G26" s="58"/>
      <c r="H26" s="58"/>
    </row>
    <row r="27" spans="2:8" ht="16" customHeight="1">
      <c r="B27" s="1" t="s">
        <v>36</v>
      </c>
      <c r="C27" s="59"/>
      <c r="D27" s="58"/>
      <c r="E27" s="58"/>
      <c r="F27" s="58"/>
      <c r="G27" s="58"/>
      <c r="H27" s="58"/>
    </row>
    <row r="28" spans="2:8" ht="16" customHeight="1">
      <c r="B28" s="1" t="s">
        <v>37</v>
      </c>
      <c r="C28" s="59" t="s">
        <v>38</v>
      </c>
      <c r="D28" s="58"/>
      <c r="E28" s="58"/>
      <c r="F28" s="58"/>
      <c r="G28" s="58"/>
      <c r="H28" s="58"/>
    </row>
    <row r="29" spans="2:8" ht="16" customHeight="1">
      <c r="B29" s="1" t="s">
        <v>39</v>
      </c>
      <c r="C29" s="59" t="s">
        <v>40</v>
      </c>
      <c r="D29" s="58"/>
      <c r="E29" s="58"/>
      <c r="F29" s="58"/>
      <c r="G29" s="58"/>
      <c r="H29" s="58"/>
    </row>
    <row r="30" spans="2:8" ht="16" customHeight="1">
      <c r="B30" s="1"/>
      <c r="C30" s="59"/>
      <c r="D30" s="58"/>
      <c r="E30" s="58"/>
      <c r="F30" s="58"/>
      <c r="G30" s="58"/>
      <c r="H30" s="58"/>
    </row>
    <row r="31" spans="2:8" ht="16" customHeight="1">
      <c r="B31" s="1" t="s">
        <v>41</v>
      </c>
      <c r="C31" s="59"/>
      <c r="D31" s="58"/>
      <c r="E31" s="58"/>
      <c r="F31" s="58"/>
      <c r="G31" s="58"/>
      <c r="H31" s="58"/>
    </row>
    <row r="32" spans="2:8" ht="16" customHeight="1">
      <c r="B32" s="1" t="s">
        <v>42</v>
      </c>
      <c r="C32" s="59" t="s">
        <v>43</v>
      </c>
      <c r="D32" s="58"/>
      <c r="E32" s="58"/>
      <c r="F32" s="58"/>
      <c r="G32" s="58"/>
      <c r="H32" s="58"/>
    </row>
    <row r="33" spans="2:8" ht="16" customHeight="1">
      <c r="B33" s="1" t="s">
        <v>44</v>
      </c>
      <c r="C33" s="59" t="s">
        <v>45</v>
      </c>
      <c r="D33" s="58"/>
      <c r="E33" s="58"/>
      <c r="F33" s="58"/>
      <c r="G33" s="58"/>
      <c r="H33" s="58"/>
    </row>
    <row r="34" spans="2:8" ht="16" customHeight="1">
      <c r="B34" s="1" t="s">
        <v>46</v>
      </c>
      <c r="C34" s="59" t="s">
        <v>47</v>
      </c>
      <c r="D34" s="58"/>
      <c r="E34" s="58"/>
      <c r="F34" s="58"/>
      <c r="G34" s="58"/>
      <c r="H34" s="58"/>
    </row>
  </sheetData>
  <mergeCells count="32">
    <mergeCell ref="C7:H7"/>
    <mergeCell ref="C32:H32"/>
    <mergeCell ref="C19:H19"/>
    <mergeCell ref="C28:H28"/>
    <mergeCell ref="C13:H13"/>
    <mergeCell ref="C31:H31"/>
    <mergeCell ref="C12:H12"/>
    <mergeCell ref="C21:H21"/>
    <mergeCell ref="C11:H11"/>
    <mergeCell ref="C27:H27"/>
    <mergeCell ref="C23:H23"/>
    <mergeCell ref="C25:H25"/>
    <mergeCell ref="C10:H10"/>
    <mergeCell ref="C16:H16"/>
    <mergeCell ref="C22:H22"/>
    <mergeCell ref="C9:H9"/>
    <mergeCell ref="B2:H2"/>
    <mergeCell ref="C18:H18"/>
    <mergeCell ref="C34:H34"/>
    <mergeCell ref="C30:H30"/>
    <mergeCell ref="C15:H15"/>
    <mergeCell ref="C33:H33"/>
    <mergeCell ref="C6:H6"/>
    <mergeCell ref="C24:H24"/>
    <mergeCell ref="C14:H14"/>
    <mergeCell ref="C5:H5"/>
    <mergeCell ref="C4:H4"/>
    <mergeCell ref="C26:H26"/>
    <mergeCell ref="C29:H29"/>
    <mergeCell ref="C20:H20"/>
    <mergeCell ref="C8:H8"/>
    <mergeCell ref="C17:H17"/>
  </mergeCells>
  <phoneticPr fontId="14"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6"/>
  <sheetViews>
    <sheetView workbookViewId="0">
      <pane xSplit="2" ySplit="5" topLeftCell="C6" activePane="bottomRight" state="frozen"/>
      <selection pane="topRight"/>
      <selection pane="bottomLeft"/>
      <selection pane="bottomRight" activeCell="H26" sqref="H26"/>
    </sheetView>
  </sheetViews>
  <sheetFormatPr baseColWidth="10" defaultColWidth="8.83203125" defaultRowHeight="14"/>
  <cols>
    <col min="1" max="1" width="12" customWidth="1"/>
    <col min="2" max="2" width="18" customWidth="1"/>
    <col min="3" max="14" width="8" customWidth="1"/>
    <col min="15" max="21" width="10" customWidth="1"/>
    <col min="22" max="22" width="8" customWidth="1"/>
    <col min="23" max="23" width="12" customWidth="1"/>
    <col min="24" max="24" width="16" customWidth="1"/>
  </cols>
  <sheetData>
    <row r="1" spans="1:24" ht="21" customHeight="1">
      <c r="A1" s="57" t="s">
        <v>48</v>
      </c>
      <c r="B1" s="58"/>
      <c r="C1" s="58"/>
      <c r="D1" s="58"/>
      <c r="E1" s="58"/>
      <c r="F1" s="58"/>
      <c r="G1" s="58"/>
      <c r="H1" s="58"/>
      <c r="I1" s="58"/>
      <c r="J1" s="58"/>
      <c r="K1" s="58"/>
      <c r="L1" s="58"/>
      <c r="M1" s="58"/>
      <c r="N1" s="58"/>
      <c r="O1" s="58"/>
      <c r="P1" s="58"/>
      <c r="Q1" s="58"/>
      <c r="R1" s="58"/>
      <c r="S1" s="58"/>
      <c r="T1" s="58"/>
      <c r="U1" s="58"/>
      <c r="V1" s="58"/>
      <c r="W1" s="58"/>
      <c r="X1" s="58"/>
    </row>
    <row r="2" spans="1:24" ht="15" customHeight="1">
      <c r="A2" s="62" t="s">
        <v>49</v>
      </c>
      <c r="B2" s="58"/>
      <c r="C2" s="58"/>
      <c r="D2" s="58"/>
      <c r="E2" s="58"/>
      <c r="F2" s="58"/>
      <c r="G2" s="58"/>
      <c r="H2" s="58"/>
      <c r="I2" s="58"/>
      <c r="J2" s="58"/>
      <c r="K2" s="58"/>
      <c r="L2" s="58"/>
      <c r="M2" s="58"/>
      <c r="N2" s="58"/>
      <c r="O2" s="58"/>
      <c r="P2" s="58"/>
      <c r="Q2" s="58"/>
      <c r="R2" s="58"/>
      <c r="S2" s="58"/>
      <c r="T2" s="58"/>
      <c r="U2" s="58"/>
      <c r="V2" s="58"/>
      <c r="W2" s="58"/>
      <c r="X2" s="58"/>
    </row>
    <row r="4" spans="1:24">
      <c r="A4" s="60" t="s">
        <v>50</v>
      </c>
      <c r="B4" s="60" t="s">
        <v>51</v>
      </c>
      <c r="C4" s="60" t="s">
        <v>52</v>
      </c>
      <c r="D4" s="61"/>
      <c r="E4" s="60" t="s">
        <v>53</v>
      </c>
      <c r="F4" s="61"/>
      <c r="G4" s="60" t="s">
        <v>54</v>
      </c>
      <c r="H4" s="61"/>
      <c r="I4" s="60" t="s">
        <v>55</v>
      </c>
      <c r="J4" s="61"/>
      <c r="K4" s="60" t="s">
        <v>56</v>
      </c>
      <c r="L4" s="61"/>
      <c r="M4" s="60" t="s">
        <v>57</v>
      </c>
      <c r="N4" s="61"/>
      <c r="O4" s="60" t="s">
        <v>58</v>
      </c>
      <c r="P4" s="60" t="s">
        <v>59</v>
      </c>
      <c r="Q4" s="60" t="s">
        <v>60</v>
      </c>
      <c r="R4" s="60" t="s">
        <v>61</v>
      </c>
      <c r="S4" s="60" t="s">
        <v>62</v>
      </c>
      <c r="T4" s="60" t="s">
        <v>63</v>
      </c>
      <c r="U4" s="60" t="s">
        <v>64</v>
      </c>
      <c r="V4" s="60" t="s">
        <v>65</v>
      </c>
      <c r="W4" s="60" t="s">
        <v>39</v>
      </c>
      <c r="X4" s="60" t="s">
        <v>66</v>
      </c>
    </row>
    <row r="5" spans="1:24" ht="18" customHeight="1">
      <c r="A5" s="63"/>
      <c r="B5" s="63"/>
      <c r="C5" s="2" t="s">
        <v>67</v>
      </c>
      <c r="D5" s="2" t="s">
        <v>68</v>
      </c>
      <c r="E5" s="2" t="s">
        <v>67</v>
      </c>
      <c r="F5" s="2" t="s">
        <v>68</v>
      </c>
      <c r="G5" s="2" t="s">
        <v>67</v>
      </c>
      <c r="H5" s="2" t="s">
        <v>68</v>
      </c>
      <c r="I5" s="2" t="s">
        <v>67</v>
      </c>
      <c r="J5" s="2" t="s">
        <v>68</v>
      </c>
      <c r="K5" s="2" t="s">
        <v>67</v>
      </c>
      <c r="L5" s="2" t="s">
        <v>68</v>
      </c>
      <c r="M5" s="2" t="s">
        <v>67</v>
      </c>
      <c r="N5" s="2" t="s">
        <v>68</v>
      </c>
      <c r="O5" s="63"/>
      <c r="P5" s="63"/>
      <c r="Q5" s="63"/>
      <c r="R5" s="63"/>
      <c r="S5" s="63"/>
      <c r="T5" s="63"/>
      <c r="U5" s="63"/>
      <c r="V5" s="63"/>
      <c r="W5" s="63"/>
      <c r="X5" s="63"/>
    </row>
    <row r="6" spans="1:24">
      <c r="A6" s="3" t="s">
        <v>69</v>
      </c>
      <c r="B6" s="3" t="s">
        <v>70</v>
      </c>
      <c r="C6" s="18">
        <v>95.1</v>
      </c>
      <c r="D6" s="18">
        <v>84</v>
      </c>
      <c r="E6" s="18">
        <v>96.9</v>
      </c>
      <c r="F6" s="18">
        <v>93.9</v>
      </c>
      <c r="G6" s="18">
        <v>95.3</v>
      </c>
      <c r="H6" s="18">
        <v>93.4</v>
      </c>
      <c r="I6" s="18">
        <v>95</v>
      </c>
      <c r="J6" s="18">
        <v>94.9</v>
      </c>
      <c r="K6" s="18">
        <v>93.9</v>
      </c>
      <c r="L6" s="18">
        <v>92.8</v>
      </c>
      <c r="M6" s="18">
        <v>89</v>
      </c>
      <c r="N6" s="18">
        <v>88.2</v>
      </c>
      <c r="O6" s="19">
        <v>95.8</v>
      </c>
      <c r="P6" s="19">
        <v>92.7</v>
      </c>
      <c r="Q6" s="19">
        <v>90.4</v>
      </c>
      <c r="R6" s="19">
        <v>92</v>
      </c>
      <c r="S6" s="19">
        <v>93.1</v>
      </c>
      <c r="T6" s="19">
        <v>92.3</v>
      </c>
      <c r="U6" s="20">
        <v>-8.6E-3</v>
      </c>
      <c r="V6" s="21" t="s">
        <v>71</v>
      </c>
      <c r="W6" s="21" t="s">
        <v>72</v>
      </c>
      <c r="X6" s="3"/>
    </row>
    <row r="7" spans="1:24">
      <c r="A7" s="3" t="s">
        <v>73</v>
      </c>
      <c r="B7" s="3" t="s">
        <v>74</v>
      </c>
      <c r="C7" s="18">
        <v>93.4</v>
      </c>
      <c r="D7" s="18">
        <v>73.599999999999994</v>
      </c>
      <c r="E7" s="18">
        <v>86.6</v>
      </c>
      <c r="F7" s="18">
        <v>81.8</v>
      </c>
      <c r="G7" s="18">
        <v>90.6</v>
      </c>
      <c r="H7" s="18">
        <v>77.400000000000006</v>
      </c>
      <c r="I7" s="18">
        <v>89.6</v>
      </c>
      <c r="J7" s="18">
        <v>82.5</v>
      </c>
      <c r="K7" s="18">
        <v>84</v>
      </c>
      <c r="L7" s="18">
        <v>82.9</v>
      </c>
      <c r="M7" s="18">
        <v>81.099999999999994</v>
      </c>
      <c r="N7" s="18">
        <v>85.9</v>
      </c>
      <c r="O7" s="19">
        <v>90.2</v>
      </c>
      <c r="P7" s="19">
        <v>84.9</v>
      </c>
      <c r="Q7" s="19">
        <v>77.599999999999994</v>
      </c>
      <c r="R7" s="19">
        <v>83.8</v>
      </c>
      <c r="S7" s="19">
        <v>83.9</v>
      </c>
      <c r="T7" s="19">
        <v>84.3</v>
      </c>
      <c r="U7" s="20">
        <v>4.7999999999999996E-3</v>
      </c>
      <c r="V7" s="21" t="s">
        <v>71</v>
      </c>
      <c r="W7" s="21" t="s">
        <v>72</v>
      </c>
      <c r="X7" s="3"/>
    </row>
    <row r="8" spans="1:24">
      <c r="A8" s="3" t="s">
        <v>75</v>
      </c>
      <c r="B8" s="3" t="s">
        <v>76</v>
      </c>
      <c r="C8" s="18">
        <v>87.8</v>
      </c>
      <c r="D8" s="18">
        <v>90.8</v>
      </c>
      <c r="E8" s="18">
        <v>86.5</v>
      </c>
      <c r="F8" s="18">
        <v>89.1</v>
      </c>
      <c r="G8" s="18">
        <v>79.599999999999994</v>
      </c>
      <c r="H8" s="18">
        <v>83.9</v>
      </c>
      <c r="I8" s="18">
        <v>89.6</v>
      </c>
      <c r="J8" s="18">
        <v>87.2</v>
      </c>
      <c r="K8" s="18">
        <v>74.5</v>
      </c>
      <c r="L8" s="18">
        <v>86.5</v>
      </c>
      <c r="M8" s="18">
        <v>74.5</v>
      </c>
      <c r="N8" s="18">
        <v>88.5</v>
      </c>
      <c r="O8" s="19">
        <v>84.7</v>
      </c>
      <c r="P8" s="19">
        <v>79.5</v>
      </c>
      <c r="Q8" s="19">
        <v>87.9</v>
      </c>
      <c r="R8" s="19">
        <v>87.4</v>
      </c>
      <c r="S8" s="19">
        <v>86.3</v>
      </c>
      <c r="T8" s="19">
        <v>83.5</v>
      </c>
      <c r="U8" s="20">
        <v>-3.2399999999999998E-2</v>
      </c>
      <c r="V8" s="21" t="s">
        <v>71</v>
      </c>
      <c r="W8" s="21" t="s">
        <v>72</v>
      </c>
      <c r="X8" s="3"/>
    </row>
    <row r="9" spans="1:24">
      <c r="A9" s="3" t="s">
        <v>77</v>
      </c>
      <c r="B9" s="3" t="s">
        <v>78</v>
      </c>
      <c r="C9" s="18">
        <v>87.8</v>
      </c>
      <c r="D9" s="18">
        <v>76.900000000000006</v>
      </c>
      <c r="E9" s="18">
        <v>89.4</v>
      </c>
      <c r="F9" s="18">
        <v>78</v>
      </c>
      <c r="G9" s="18">
        <v>82</v>
      </c>
      <c r="H9" s="18">
        <v>77.3</v>
      </c>
      <c r="I9" s="18">
        <v>86.8</v>
      </c>
      <c r="J9" s="18">
        <v>80</v>
      </c>
      <c r="K9" s="18">
        <v>68.5</v>
      </c>
      <c r="L9" s="18">
        <v>76.599999999999994</v>
      </c>
      <c r="M9" s="18">
        <v>76.2</v>
      </c>
      <c r="N9" s="18">
        <v>90</v>
      </c>
      <c r="O9" s="19">
        <v>86.4</v>
      </c>
      <c r="P9" s="19">
        <v>77.2</v>
      </c>
      <c r="Q9" s="19">
        <v>77.400000000000006</v>
      </c>
      <c r="R9" s="19">
        <v>82.2</v>
      </c>
      <c r="S9" s="19">
        <v>81.900000000000006</v>
      </c>
      <c r="T9" s="19">
        <v>79.7</v>
      </c>
      <c r="U9" s="20">
        <v>-2.69E-2</v>
      </c>
      <c r="V9" s="21" t="s">
        <v>71</v>
      </c>
      <c r="W9" s="21" t="s">
        <v>72</v>
      </c>
      <c r="X9" s="3"/>
    </row>
    <row r="10" spans="1:24">
      <c r="A10" s="3" t="s">
        <v>79</v>
      </c>
      <c r="B10" s="3" t="s">
        <v>80</v>
      </c>
      <c r="C10" s="18">
        <v>85.9</v>
      </c>
      <c r="D10" s="18">
        <v>80.900000000000006</v>
      </c>
      <c r="E10" s="18">
        <v>68.2</v>
      </c>
      <c r="F10" s="18">
        <v>73.3</v>
      </c>
      <c r="G10" s="18">
        <v>79.7</v>
      </c>
      <c r="H10" s="18">
        <v>79.900000000000006</v>
      </c>
      <c r="I10" s="18">
        <v>79.8</v>
      </c>
      <c r="J10" s="18">
        <v>73.599999999999994</v>
      </c>
      <c r="K10" s="18">
        <v>71.2</v>
      </c>
      <c r="L10" s="18">
        <v>83.9</v>
      </c>
      <c r="M10" s="18">
        <v>72.5</v>
      </c>
      <c r="N10" s="18">
        <v>84.5</v>
      </c>
      <c r="O10" s="19">
        <v>77.900000000000006</v>
      </c>
      <c r="P10" s="19">
        <v>74.5</v>
      </c>
      <c r="Q10" s="19">
        <v>78</v>
      </c>
      <c r="R10" s="19">
        <v>80.7</v>
      </c>
      <c r="S10" s="19">
        <v>78</v>
      </c>
      <c r="T10" s="19">
        <v>77.599999999999994</v>
      </c>
      <c r="U10" s="20">
        <v>-5.1000000000000004E-3</v>
      </c>
      <c r="V10" s="21" t="s">
        <v>71</v>
      </c>
      <c r="W10" s="21" t="s">
        <v>72</v>
      </c>
      <c r="X10" s="3"/>
    </row>
    <row r="11" spans="1:24">
      <c r="A11" s="3" t="s">
        <v>81</v>
      </c>
      <c r="B11" s="3" t="s">
        <v>82</v>
      </c>
      <c r="C11" s="18">
        <v>84.4</v>
      </c>
      <c r="D11" s="18">
        <v>78</v>
      </c>
      <c r="E11" s="18">
        <v>81.3</v>
      </c>
      <c r="F11" s="18">
        <v>82.5</v>
      </c>
      <c r="G11" s="18">
        <v>77.400000000000006</v>
      </c>
      <c r="H11" s="18">
        <v>77.7</v>
      </c>
      <c r="I11" s="18">
        <v>75.099999999999994</v>
      </c>
      <c r="J11" s="18">
        <v>78.900000000000006</v>
      </c>
      <c r="K11" s="18">
        <v>67.5</v>
      </c>
      <c r="L11" s="18">
        <v>82.1</v>
      </c>
      <c r="M11" s="18">
        <v>71.8</v>
      </c>
      <c r="N11" s="18">
        <v>82.7</v>
      </c>
      <c r="O11" s="19">
        <v>81</v>
      </c>
      <c r="P11" s="19">
        <v>71.5</v>
      </c>
      <c r="Q11" s="19">
        <v>79.400000000000006</v>
      </c>
      <c r="R11" s="19">
        <v>81.3</v>
      </c>
      <c r="S11" s="19">
        <v>80.2</v>
      </c>
      <c r="T11" s="19">
        <v>76.400000000000006</v>
      </c>
      <c r="U11" s="20">
        <v>-4.7399999999999998E-2</v>
      </c>
      <c r="V11" s="21" t="s">
        <v>71</v>
      </c>
      <c r="W11" s="21" t="s">
        <v>72</v>
      </c>
      <c r="X11" s="3"/>
    </row>
    <row r="12" spans="1:24">
      <c r="A12" s="3" t="s">
        <v>83</v>
      </c>
      <c r="B12" s="3" t="s">
        <v>84</v>
      </c>
      <c r="C12" s="18">
        <v>82.8</v>
      </c>
      <c r="D12" s="18">
        <v>81.400000000000006</v>
      </c>
      <c r="E12" s="18">
        <v>89.7</v>
      </c>
      <c r="F12" s="18">
        <v>76.8</v>
      </c>
      <c r="G12" s="18">
        <v>71.099999999999994</v>
      </c>
      <c r="H12" s="18">
        <v>75.7</v>
      </c>
      <c r="I12" s="18">
        <v>84.9</v>
      </c>
      <c r="J12" s="18">
        <v>80</v>
      </c>
      <c r="K12" s="18">
        <v>80.900000000000006</v>
      </c>
      <c r="L12" s="18">
        <v>80.900000000000006</v>
      </c>
      <c r="M12" s="18">
        <v>74.2</v>
      </c>
      <c r="N12" s="18">
        <v>84.6</v>
      </c>
      <c r="O12" s="19">
        <v>81.2</v>
      </c>
      <c r="P12" s="19">
        <v>80</v>
      </c>
      <c r="Q12" s="19">
        <v>78</v>
      </c>
      <c r="R12" s="19">
        <v>81.8</v>
      </c>
      <c r="S12" s="19">
        <v>79.599999999999994</v>
      </c>
      <c r="T12" s="19">
        <v>80.900000000000006</v>
      </c>
      <c r="U12" s="20">
        <v>1.6299999999999999E-2</v>
      </c>
      <c r="V12" s="21" t="s">
        <v>71</v>
      </c>
      <c r="W12" s="21" t="s">
        <v>72</v>
      </c>
      <c r="X12" s="3"/>
    </row>
    <row r="13" spans="1:24">
      <c r="A13" s="3" t="s">
        <v>85</v>
      </c>
      <c r="B13" s="3" t="s">
        <v>86</v>
      </c>
      <c r="C13" s="18">
        <v>82.1</v>
      </c>
      <c r="D13" s="18">
        <v>82.8</v>
      </c>
      <c r="E13" s="18">
        <v>84.8</v>
      </c>
      <c r="F13" s="18">
        <v>71.8</v>
      </c>
      <c r="G13" s="18">
        <v>82.3</v>
      </c>
      <c r="H13" s="18">
        <v>80.099999999999994</v>
      </c>
      <c r="I13" s="18">
        <v>85.4</v>
      </c>
      <c r="J13" s="18">
        <v>79.7</v>
      </c>
      <c r="K13" s="18">
        <v>68.2</v>
      </c>
      <c r="L13" s="18">
        <v>96.9</v>
      </c>
      <c r="M13" s="18">
        <v>66.7</v>
      </c>
      <c r="N13" s="18">
        <v>78.400000000000006</v>
      </c>
      <c r="O13" s="19">
        <v>83.1</v>
      </c>
      <c r="P13" s="19">
        <v>73.400000000000006</v>
      </c>
      <c r="Q13" s="19">
        <v>78.2</v>
      </c>
      <c r="R13" s="19">
        <v>85</v>
      </c>
      <c r="S13" s="19">
        <v>80.7</v>
      </c>
      <c r="T13" s="19">
        <v>79.2</v>
      </c>
      <c r="U13" s="20">
        <v>-1.8599999999999998E-2</v>
      </c>
      <c r="V13" s="21" t="s">
        <v>71</v>
      </c>
      <c r="W13" s="21" t="s">
        <v>87</v>
      </c>
      <c r="X13" s="3"/>
    </row>
    <row r="14" spans="1:24">
      <c r="A14" s="3" t="s">
        <v>88</v>
      </c>
      <c r="B14" s="3" t="s">
        <v>89</v>
      </c>
      <c r="C14" s="18">
        <v>77.7</v>
      </c>
      <c r="D14" s="18">
        <v>73.5</v>
      </c>
      <c r="E14" s="18">
        <v>78</v>
      </c>
      <c r="F14" s="18">
        <v>76.3</v>
      </c>
      <c r="G14" s="18">
        <v>82.3</v>
      </c>
      <c r="H14" s="18">
        <v>68.5</v>
      </c>
      <c r="I14" s="18">
        <v>83.2</v>
      </c>
      <c r="J14" s="18">
        <v>80.400000000000006</v>
      </c>
      <c r="K14" s="18">
        <v>69.8</v>
      </c>
      <c r="L14" s="18">
        <v>78.099999999999994</v>
      </c>
      <c r="M14" s="18">
        <v>69.900000000000006</v>
      </c>
      <c r="N14" s="18">
        <v>92.6</v>
      </c>
      <c r="O14" s="19">
        <v>79.3</v>
      </c>
      <c r="P14" s="19">
        <v>74.3</v>
      </c>
      <c r="Q14" s="19">
        <v>72.8</v>
      </c>
      <c r="R14" s="19">
        <v>83.7</v>
      </c>
      <c r="S14" s="19">
        <v>76</v>
      </c>
      <c r="T14" s="19">
        <v>79</v>
      </c>
      <c r="U14" s="20">
        <v>3.95E-2</v>
      </c>
      <c r="V14" s="21" t="s">
        <v>71</v>
      </c>
      <c r="W14" s="21" t="s">
        <v>72</v>
      </c>
      <c r="X14" s="3"/>
    </row>
    <row r="15" spans="1:24">
      <c r="A15" s="3" t="s">
        <v>90</v>
      </c>
      <c r="B15" s="51" t="s">
        <v>91</v>
      </c>
      <c r="C15" s="52"/>
      <c r="D15" s="18">
        <v>95</v>
      </c>
      <c r="E15" s="52"/>
      <c r="F15" s="18">
        <v>81.3</v>
      </c>
      <c r="G15" s="18">
        <v>61.6</v>
      </c>
      <c r="H15" s="18">
        <v>74.900000000000006</v>
      </c>
      <c r="I15" s="18">
        <v>66.900000000000006</v>
      </c>
      <c r="J15" s="18">
        <v>79.8</v>
      </c>
      <c r="K15" s="18">
        <v>56</v>
      </c>
      <c r="L15" s="18">
        <v>73</v>
      </c>
      <c r="M15" s="18">
        <v>81.7</v>
      </c>
      <c r="N15" s="18">
        <v>88.4</v>
      </c>
      <c r="O15" s="19">
        <v>61.6</v>
      </c>
      <c r="P15" s="19">
        <v>68.2</v>
      </c>
      <c r="Q15" s="19">
        <v>83.7</v>
      </c>
      <c r="R15" s="19">
        <v>80.400000000000006</v>
      </c>
      <c r="S15" s="19">
        <v>72.7</v>
      </c>
      <c r="T15" s="19">
        <v>74.3</v>
      </c>
      <c r="U15" s="20">
        <v>2.1999999999999999E-2</v>
      </c>
      <c r="V15" s="21" t="s">
        <v>71</v>
      </c>
      <c r="W15" s="21" t="s">
        <v>87</v>
      </c>
      <c r="X15" s="3"/>
    </row>
    <row r="16" spans="1:24">
      <c r="A16" s="3" t="s">
        <v>92</v>
      </c>
      <c r="B16" s="51" t="s">
        <v>93</v>
      </c>
      <c r="C16" s="52"/>
      <c r="D16" s="18">
        <v>75.8</v>
      </c>
      <c r="E16" s="52"/>
      <c r="F16" s="18">
        <v>72.2</v>
      </c>
      <c r="G16" s="18">
        <v>55.2</v>
      </c>
      <c r="H16" s="18">
        <v>76.2</v>
      </c>
      <c r="I16" s="18">
        <v>60</v>
      </c>
      <c r="J16" s="18">
        <v>85.2</v>
      </c>
      <c r="K16" s="18">
        <v>47</v>
      </c>
      <c r="L16" s="18">
        <v>86.7</v>
      </c>
      <c r="M16" s="18">
        <v>71.7</v>
      </c>
      <c r="N16" s="18">
        <v>93.6</v>
      </c>
      <c r="O16" s="19">
        <v>55.2</v>
      </c>
      <c r="P16" s="19">
        <v>59.6</v>
      </c>
      <c r="Q16" s="19">
        <v>74.7</v>
      </c>
      <c r="R16" s="19">
        <v>88.5</v>
      </c>
      <c r="S16" s="19">
        <v>65</v>
      </c>
      <c r="T16" s="19">
        <v>74</v>
      </c>
      <c r="U16" s="20">
        <v>0.13850000000000001</v>
      </c>
      <c r="V16" s="21" t="s">
        <v>94</v>
      </c>
      <c r="W16" s="21" t="s">
        <v>87</v>
      </c>
      <c r="X16" s="3"/>
    </row>
  </sheetData>
  <mergeCells count="20">
    <mergeCell ref="O4:O5"/>
    <mergeCell ref="C4:D4"/>
    <mergeCell ref="E4:F4"/>
    <mergeCell ref="Q4:Q5"/>
    <mergeCell ref="A1:X1"/>
    <mergeCell ref="K4:L4"/>
    <mergeCell ref="M4:N4"/>
    <mergeCell ref="A2:X2"/>
    <mergeCell ref="A4:A5"/>
    <mergeCell ref="X4:X5"/>
    <mergeCell ref="S4:S5"/>
    <mergeCell ref="U4:U5"/>
    <mergeCell ref="G4:H4"/>
    <mergeCell ref="I4:J4"/>
    <mergeCell ref="B4:B5"/>
    <mergeCell ref="W4:W5"/>
    <mergeCell ref="P4:P5"/>
    <mergeCell ref="R4:R5"/>
    <mergeCell ref="T4:T5"/>
    <mergeCell ref="V4:V5"/>
  </mergeCells>
  <phoneticPr fontId="14"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1"/>
  <sheetViews>
    <sheetView workbookViewId="0">
      <selection activeCell="G30" sqref="G30"/>
    </sheetView>
  </sheetViews>
  <sheetFormatPr baseColWidth="10" defaultColWidth="8.83203125" defaultRowHeight="14"/>
  <cols>
    <col min="1" max="1" width="12" customWidth="1"/>
    <col min="2" max="2" width="20" customWidth="1"/>
    <col min="3" max="6" width="12" customWidth="1"/>
    <col min="7" max="7" width="16" customWidth="1"/>
    <col min="8" max="8" width="28" customWidth="1"/>
    <col min="9" max="9" width="22.83203125" customWidth="1"/>
  </cols>
  <sheetData>
    <row r="1" spans="1:9" ht="21" customHeight="1">
      <c r="A1" s="57" t="s">
        <v>95</v>
      </c>
      <c r="B1" s="58"/>
      <c r="C1" s="58"/>
      <c r="D1" s="58"/>
      <c r="E1" s="58"/>
      <c r="F1" s="58"/>
      <c r="G1" s="58"/>
      <c r="H1" s="58"/>
      <c r="I1" s="58"/>
    </row>
    <row r="2" spans="1:9" ht="37" customHeight="1">
      <c r="A2" s="67" t="s">
        <v>243</v>
      </c>
      <c r="B2" s="68"/>
      <c r="C2" s="68"/>
      <c r="D2" s="68"/>
      <c r="E2" s="68"/>
      <c r="F2" s="68"/>
      <c r="G2" s="68"/>
      <c r="H2" s="68"/>
      <c r="I2" s="68"/>
    </row>
    <row r="4" spans="1:9" ht="18" customHeight="1">
      <c r="A4" s="2" t="s">
        <v>50</v>
      </c>
      <c r="B4" s="2" t="s">
        <v>51</v>
      </c>
      <c r="C4" s="2" t="s">
        <v>96</v>
      </c>
      <c r="D4" s="2" t="s">
        <v>239</v>
      </c>
      <c r="E4" s="2" t="s">
        <v>97</v>
      </c>
      <c r="F4" s="2" t="s">
        <v>98</v>
      </c>
      <c r="G4" s="2" t="s">
        <v>99</v>
      </c>
      <c r="H4" s="2" t="s">
        <v>100</v>
      </c>
      <c r="I4" s="2" t="s">
        <v>66</v>
      </c>
    </row>
    <row r="5" spans="1:9" ht="18" customHeight="1">
      <c r="A5" s="3" t="s">
        <v>69</v>
      </c>
      <c r="B5" s="3" t="s">
        <v>70</v>
      </c>
      <c r="C5" s="4">
        <v>0</v>
      </c>
      <c r="D5" s="4">
        <v>0</v>
      </c>
      <c r="E5" s="4" t="s">
        <v>101</v>
      </c>
      <c r="F5" s="22">
        <f t="shared" ref="F5:F15" si="0">C5+D5</f>
        <v>0</v>
      </c>
      <c r="G5" s="21" t="str">
        <f t="shared" ref="G5:G15" si="1">IF(E5="是","🔴 是·直接C级","")</f>
        <v/>
      </c>
      <c r="H5" s="21" t="str">
        <f>IF(AND(C5=0,D5=0,E5="否"),"无违规",IF(C5&lt;&gt;0,IF(D5&lt;&gt;0,"黄牌+舆情投诉","黄牌"),IF(D5&lt;&gt;0,"舆情投诉",IF(E5="是","红线违规",""))))</f>
        <v>无违规</v>
      </c>
      <c r="I5" s="3"/>
    </row>
    <row r="6" spans="1:9" ht="18" customHeight="1">
      <c r="A6" s="3" t="s">
        <v>73</v>
      </c>
      <c r="B6" s="3" t="s">
        <v>74</v>
      </c>
      <c r="C6" s="4">
        <v>0</v>
      </c>
      <c r="D6" s="4">
        <v>0</v>
      </c>
      <c r="E6" s="4" t="s">
        <v>101</v>
      </c>
      <c r="F6" s="22">
        <f t="shared" si="0"/>
        <v>0</v>
      </c>
      <c r="G6" s="21" t="str">
        <f t="shared" si="1"/>
        <v/>
      </c>
      <c r="H6" s="21" t="str">
        <f t="shared" ref="H6:H15" si="2">IF(AND(C6=0,D6=0,E6="否"),"无违规",IF(C6&lt;&gt;0,IF(D6&lt;&gt;0,"黄牌+舆情投诉","黄牌"),IF(D6&lt;&gt;0,"舆情投诉",IF(E6="是","红线违规",""))))</f>
        <v>无违规</v>
      </c>
      <c r="I6" s="3"/>
    </row>
    <row r="7" spans="1:9" ht="18" customHeight="1">
      <c r="A7" s="3" t="s">
        <v>75</v>
      </c>
      <c r="B7" s="3" t="s">
        <v>76</v>
      </c>
      <c r="C7" s="4">
        <v>0</v>
      </c>
      <c r="D7" s="4">
        <v>0</v>
      </c>
      <c r="E7" s="4" t="s">
        <v>101</v>
      </c>
      <c r="F7" s="22">
        <f t="shared" si="0"/>
        <v>0</v>
      </c>
      <c r="G7" s="21" t="str">
        <f t="shared" si="1"/>
        <v/>
      </c>
      <c r="H7" s="21" t="str">
        <f t="shared" si="2"/>
        <v>无违规</v>
      </c>
      <c r="I7" s="3"/>
    </row>
    <row r="8" spans="1:9" ht="18" customHeight="1">
      <c r="A8" s="3" t="s">
        <v>77</v>
      </c>
      <c r="B8" s="3" t="s">
        <v>78</v>
      </c>
      <c r="C8" s="4">
        <v>0</v>
      </c>
      <c r="D8" s="4">
        <v>0</v>
      </c>
      <c r="E8" s="4" t="s">
        <v>101</v>
      </c>
      <c r="F8" s="22">
        <f t="shared" si="0"/>
        <v>0</v>
      </c>
      <c r="G8" s="21" t="str">
        <f t="shared" si="1"/>
        <v/>
      </c>
      <c r="H8" s="21" t="str">
        <f t="shared" si="2"/>
        <v>无违规</v>
      </c>
      <c r="I8" s="3"/>
    </row>
    <row r="9" spans="1:9" ht="18" customHeight="1">
      <c r="A9" s="3" t="s">
        <v>79</v>
      </c>
      <c r="B9" s="3" t="s">
        <v>80</v>
      </c>
      <c r="C9" s="4">
        <v>0</v>
      </c>
      <c r="D9" s="4">
        <v>-5</v>
      </c>
      <c r="E9" s="4" t="s">
        <v>101</v>
      </c>
      <c r="F9" s="22">
        <f t="shared" si="0"/>
        <v>-5</v>
      </c>
      <c r="G9" s="21" t="str">
        <f t="shared" si="1"/>
        <v/>
      </c>
      <c r="H9" s="21" t="str">
        <f t="shared" si="2"/>
        <v>舆情投诉</v>
      </c>
      <c r="I9" s="3" t="s">
        <v>241</v>
      </c>
    </row>
    <row r="10" spans="1:9" ht="18" customHeight="1">
      <c r="A10" s="3" t="s">
        <v>81</v>
      </c>
      <c r="B10" s="3" t="s">
        <v>82</v>
      </c>
      <c r="C10" s="4">
        <v>0</v>
      </c>
      <c r="D10" s="4">
        <v>0</v>
      </c>
      <c r="E10" s="4" t="s">
        <v>101</v>
      </c>
      <c r="F10" s="22">
        <f t="shared" si="0"/>
        <v>0</v>
      </c>
      <c r="G10" s="21" t="str">
        <f t="shared" si="1"/>
        <v/>
      </c>
      <c r="H10" s="21" t="str">
        <f t="shared" si="2"/>
        <v>无违规</v>
      </c>
      <c r="I10" s="3"/>
    </row>
    <row r="11" spans="1:9" ht="18" customHeight="1">
      <c r="A11" s="3" t="s">
        <v>83</v>
      </c>
      <c r="B11" s="3" t="s">
        <v>84</v>
      </c>
      <c r="C11" s="4">
        <v>0</v>
      </c>
      <c r="D11" s="4">
        <v>0</v>
      </c>
      <c r="E11" s="4" t="s">
        <v>101</v>
      </c>
      <c r="F11" s="22">
        <f t="shared" si="0"/>
        <v>0</v>
      </c>
      <c r="G11" s="21" t="str">
        <f t="shared" si="1"/>
        <v/>
      </c>
      <c r="H11" s="21" t="str">
        <f t="shared" si="2"/>
        <v>无违规</v>
      </c>
      <c r="I11" s="3"/>
    </row>
    <row r="12" spans="1:9" ht="18" customHeight="1">
      <c r="A12" s="3" t="s">
        <v>85</v>
      </c>
      <c r="B12" s="3" t="s">
        <v>86</v>
      </c>
      <c r="C12" s="4">
        <v>0</v>
      </c>
      <c r="D12" s="4">
        <v>0</v>
      </c>
      <c r="E12" s="4" t="s">
        <v>101</v>
      </c>
      <c r="F12" s="22">
        <f t="shared" si="0"/>
        <v>0</v>
      </c>
      <c r="G12" s="21" t="str">
        <f t="shared" si="1"/>
        <v/>
      </c>
      <c r="H12" s="21" t="str">
        <f t="shared" si="2"/>
        <v>无违规</v>
      </c>
      <c r="I12" s="3"/>
    </row>
    <row r="13" spans="1:9" ht="18" customHeight="1">
      <c r="A13" s="3" t="s">
        <v>88</v>
      </c>
      <c r="B13" s="3" t="s">
        <v>89</v>
      </c>
      <c r="C13" s="4">
        <v>0</v>
      </c>
      <c r="D13" s="4">
        <v>0</v>
      </c>
      <c r="E13" s="4" t="s">
        <v>101</v>
      </c>
      <c r="F13" s="22">
        <f t="shared" si="0"/>
        <v>0</v>
      </c>
      <c r="G13" s="21" t="str">
        <f t="shared" si="1"/>
        <v/>
      </c>
      <c r="H13" s="21" t="str">
        <f t="shared" si="2"/>
        <v>无违规</v>
      </c>
      <c r="I13" s="3"/>
    </row>
    <row r="14" spans="1:9" ht="18" customHeight="1">
      <c r="A14" s="3" t="s">
        <v>90</v>
      </c>
      <c r="B14" s="3" t="s">
        <v>91</v>
      </c>
      <c r="C14" s="4">
        <v>0</v>
      </c>
      <c r="D14" s="4">
        <v>0</v>
      </c>
      <c r="E14" s="4" t="s">
        <v>101</v>
      </c>
      <c r="F14" s="22">
        <f t="shared" si="0"/>
        <v>0</v>
      </c>
      <c r="G14" s="21" t="str">
        <f t="shared" si="1"/>
        <v/>
      </c>
      <c r="H14" s="21" t="str">
        <f t="shared" si="2"/>
        <v>无违规</v>
      </c>
      <c r="I14" s="3"/>
    </row>
    <row r="15" spans="1:9" ht="18" customHeight="1">
      <c r="A15" s="3" t="s">
        <v>92</v>
      </c>
      <c r="B15" s="3" t="s">
        <v>93</v>
      </c>
      <c r="C15" s="4">
        <v>0</v>
      </c>
      <c r="D15" s="4">
        <v>0</v>
      </c>
      <c r="E15" s="4" t="s">
        <v>101</v>
      </c>
      <c r="F15" s="22">
        <f t="shared" si="0"/>
        <v>0</v>
      </c>
      <c r="G15" s="21" t="str">
        <f t="shared" si="1"/>
        <v/>
      </c>
      <c r="H15" s="21" t="str">
        <f t="shared" si="2"/>
        <v>无违规</v>
      </c>
      <c r="I15" s="3"/>
    </row>
    <row r="17" spans="1:9" ht="17" customHeight="1">
      <c r="A17" s="69" t="s">
        <v>102</v>
      </c>
      <c r="B17" s="58"/>
      <c r="C17" s="58"/>
      <c r="D17" s="58"/>
      <c r="E17" s="58"/>
      <c r="F17" s="58"/>
      <c r="G17" s="58"/>
      <c r="H17" s="58"/>
      <c r="I17" s="58"/>
    </row>
    <row r="18" spans="1:9" ht="17" customHeight="1">
      <c r="A18" s="5" t="s">
        <v>103</v>
      </c>
      <c r="B18" s="64" t="s">
        <v>104</v>
      </c>
      <c r="C18" s="65"/>
      <c r="D18" s="65"/>
      <c r="E18" s="65"/>
      <c r="F18" s="65"/>
      <c r="G18" s="65"/>
      <c r="H18" s="65"/>
      <c r="I18" s="61"/>
    </row>
    <row r="19" spans="1:9" ht="17" customHeight="1">
      <c r="A19" s="6" t="s">
        <v>96</v>
      </c>
      <c r="B19" s="66" t="s">
        <v>242</v>
      </c>
      <c r="C19" s="65"/>
      <c r="D19" s="65"/>
      <c r="E19" s="65"/>
      <c r="F19" s="65"/>
      <c r="G19" s="65"/>
      <c r="H19" s="65"/>
      <c r="I19" s="61"/>
    </row>
    <row r="20" spans="1:9" ht="17" customHeight="1">
      <c r="A20" s="6" t="s">
        <v>239</v>
      </c>
      <c r="B20" s="66" t="s">
        <v>244</v>
      </c>
      <c r="C20" s="65"/>
      <c r="D20" s="65"/>
      <c r="E20" s="65"/>
      <c r="F20" s="65"/>
      <c r="G20" s="65"/>
      <c r="H20" s="65"/>
      <c r="I20" s="61"/>
    </row>
    <row r="21" spans="1:9" ht="17" customHeight="1">
      <c r="A21" s="6" t="s">
        <v>97</v>
      </c>
      <c r="B21" s="66" t="s">
        <v>105</v>
      </c>
      <c r="C21" s="65"/>
      <c r="D21" s="65"/>
      <c r="E21" s="65"/>
      <c r="F21" s="65"/>
      <c r="G21" s="65"/>
      <c r="H21" s="65"/>
      <c r="I21" s="61"/>
    </row>
  </sheetData>
  <mergeCells count="7">
    <mergeCell ref="B18:I18"/>
    <mergeCell ref="B21:I21"/>
    <mergeCell ref="A2:I2"/>
    <mergeCell ref="B20:I20"/>
    <mergeCell ref="A1:I1"/>
    <mergeCell ref="A17:I17"/>
    <mergeCell ref="B19:I19"/>
  </mergeCells>
  <phoneticPr fontId="14" type="noConversion"/>
  <dataValidations count="2">
    <dataValidation type="list" sqref="C5:D15" xr:uid="{00000000-0002-0000-0200-000000000000}">
      <formula1>"0,-5"</formula1>
    </dataValidation>
    <dataValidation type="list" sqref="E5:E15" xr:uid="{00000000-0002-0000-0200-000001000000}">
      <formula1>"否,是"</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23"/>
  <sheetViews>
    <sheetView workbookViewId="0">
      <pane xSplit="2" ySplit="5" topLeftCell="C6" activePane="bottomRight" state="frozen"/>
      <selection pane="topRight"/>
      <selection pane="bottomLeft"/>
      <selection pane="bottomRight" activeCell="H29" sqref="H29"/>
    </sheetView>
  </sheetViews>
  <sheetFormatPr baseColWidth="10" defaultColWidth="8.83203125" defaultRowHeight="14"/>
  <cols>
    <col min="1" max="1" width="12" customWidth="1"/>
    <col min="2" max="2" width="36" customWidth="1"/>
    <col min="3" max="5" width="9" customWidth="1"/>
    <col min="6" max="6" width="10" customWidth="1"/>
    <col min="7" max="9" width="9" customWidth="1"/>
    <col min="10" max="10" width="10" customWidth="1"/>
    <col min="11" max="13" width="9" customWidth="1"/>
    <col min="14" max="14" width="10" customWidth="1"/>
    <col min="15" max="15" width="12" customWidth="1"/>
    <col min="16" max="16" width="16" customWidth="1"/>
  </cols>
  <sheetData>
    <row r="1" spans="1:18" ht="21" customHeight="1">
      <c r="A1" s="57" t="s">
        <v>106</v>
      </c>
      <c r="B1" s="58"/>
      <c r="C1" s="58"/>
      <c r="D1" s="58"/>
      <c r="E1" s="58"/>
      <c r="F1" s="58"/>
      <c r="G1" s="58"/>
      <c r="H1" s="58"/>
      <c r="I1" s="58"/>
      <c r="J1" s="58"/>
      <c r="K1" s="58"/>
      <c r="L1" s="58"/>
      <c r="M1" s="58"/>
      <c r="N1" s="58"/>
      <c r="O1" s="58"/>
      <c r="P1" s="58"/>
      <c r="Q1" s="58"/>
      <c r="R1" s="58"/>
    </row>
    <row r="2" spans="1:18" ht="15" customHeight="1">
      <c r="A2" s="70" t="s">
        <v>107</v>
      </c>
      <c r="B2" s="58"/>
      <c r="C2" s="58"/>
      <c r="D2" s="58"/>
      <c r="E2" s="58"/>
      <c r="F2" s="58"/>
      <c r="G2" s="58"/>
      <c r="H2" s="58"/>
      <c r="I2" s="58"/>
      <c r="J2" s="58"/>
      <c r="K2" s="58"/>
      <c r="L2" s="58"/>
      <c r="M2" s="58"/>
      <c r="N2" s="58"/>
      <c r="O2" s="58"/>
      <c r="P2" s="58"/>
      <c r="Q2" s="58"/>
      <c r="R2" s="58"/>
    </row>
    <row r="4" spans="1:18">
      <c r="A4" s="60" t="s">
        <v>50</v>
      </c>
      <c r="B4" s="60" t="s">
        <v>51</v>
      </c>
      <c r="C4" s="60" t="s">
        <v>55</v>
      </c>
      <c r="D4" s="65"/>
      <c r="E4" s="65"/>
      <c r="F4" s="61"/>
      <c r="G4" s="60" t="s">
        <v>56</v>
      </c>
      <c r="H4" s="65"/>
      <c r="I4" s="65"/>
      <c r="J4" s="61"/>
      <c r="K4" s="60" t="s">
        <v>57</v>
      </c>
      <c r="L4" s="65"/>
      <c r="M4" s="65"/>
      <c r="N4" s="61"/>
      <c r="O4" s="60" t="s">
        <v>108</v>
      </c>
      <c r="P4" s="60" t="s">
        <v>66</v>
      </c>
    </row>
    <row r="5" spans="1:18" ht="18" customHeight="1">
      <c r="A5" s="63"/>
      <c r="B5" s="63"/>
      <c r="C5" s="2" t="s">
        <v>109</v>
      </c>
      <c r="D5" s="2" t="s">
        <v>110</v>
      </c>
      <c r="E5" s="2" t="s">
        <v>111</v>
      </c>
      <c r="F5" s="2" t="s">
        <v>112</v>
      </c>
      <c r="G5" s="2" t="s">
        <v>109</v>
      </c>
      <c r="H5" s="2" t="s">
        <v>110</v>
      </c>
      <c r="I5" s="2" t="s">
        <v>111</v>
      </c>
      <c r="J5" s="2" t="s">
        <v>112</v>
      </c>
      <c r="K5" s="2" t="s">
        <v>109</v>
      </c>
      <c r="L5" s="2" t="s">
        <v>110</v>
      </c>
      <c r="M5" s="2" t="s">
        <v>111</v>
      </c>
      <c r="N5" s="2" t="s">
        <v>112</v>
      </c>
      <c r="O5" s="63"/>
      <c r="P5" s="63"/>
    </row>
    <row r="6" spans="1:18">
      <c r="A6" s="3" t="s">
        <v>69</v>
      </c>
      <c r="B6" s="3" t="s">
        <v>70</v>
      </c>
      <c r="C6" s="54" t="s">
        <v>113</v>
      </c>
      <c r="D6" s="54" t="s">
        <v>113</v>
      </c>
      <c r="E6" s="54" t="s">
        <v>113</v>
      </c>
      <c r="F6" s="54" t="s">
        <v>113</v>
      </c>
      <c r="G6" s="54" t="s">
        <v>113</v>
      </c>
      <c r="H6" s="54" t="s">
        <v>113</v>
      </c>
      <c r="I6" s="54" t="s">
        <v>113</v>
      </c>
      <c r="J6" s="54" t="s">
        <v>113</v>
      </c>
      <c r="K6" s="54" t="s">
        <v>113</v>
      </c>
      <c r="L6" s="54" t="s">
        <v>113</v>
      </c>
      <c r="M6" s="54" t="s">
        <v>113</v>
      </c>
      <c r="N6" s="54" t="s">
        <v>113</v>
      </c>
      <c r="O6" s="53">
        <f t="shared" ref="O6:O16" si="0">ROUND(((COUNTIF(C6:F6,"A")-COUNTIF(C6:F6,"C"))+(COUNTIF(G6:J6,"A")-COUNTIF(G6:J6,"C"))+(COUNTIF(K6:N6,"A")-COUNTIF(K6:N6,"C")))/3,0)</f>
        <v>0</v>
      </c>
      <c r="P6" s="3"/>
    </row>
    <row r="7" spans="1:18">
      <c r="A7" s="3" t="s">
        <v>73</v>
      </c>
      <c r="B7" s="3" t="s">
        <v>74</v>
      </c>
      <c r="C7" s="54" t="s">
        <v>113</v>
      </c>
      <c r="D7" s="54" t="s">
        <v>113</v>
      </c>
      <c r="E7" s="54" t="s">
        <v>113</v>
      </c>
      <c r="F7" s="54" t="s">
        <v>113</v>
      </c>
      <c r="G7" s="54" t="s">
        <v>113</v>
      </c>
      <c r="H7" s="54" t="s">
        <v>113</v>
      </c>
      <c r="I7" s="54" t="s">
        <v>113</v>
      </c>
      <c r="J7" s="54" t="s">
        <v>113</v>
      </c>
      <c r="K7" s="54" t="s">
        <v>113</v>
      </c>
      <c r="L7" s="54" t="s">
        <v>113</v>
      </c>
      <c r="M7" s="54" t="s">
        <v>113</v>
      </c>
      <c r="N7" s="54" t="s">
        <v>113</v>
      </c>
      <c r="O7" s="53">
        <f t="shared" si="0"/>
        <v>0</v>
      </c>
      <c r="P7" s="3"/>
    </row>
    <row r="8" spans="1:18">
      <c r="A8" s="3" t="s">
        <v>75</v>
      </c>
      <c r="B8" s="3" t="s">
        <v>76</v>
      </c>
      <c r="C8" s="54" t="s">
        <v>113</v>
      </c>
      <c r="D8" s="54" t="s">
        <v>113</v>
      </c>
      <c r="E8" s="54" t="s">
        <v>113</v>
      </c>
      <c r="F8" s="54" t="s">
        <v>113</v>
      </c>
      <c r="G8" s="54" t="s">
        <v>113</v>
      </c>
      <c r="H8" s="54" t="s">
        <v>113</v>
      </c>
      <c r="I8" s="54" t="s">
        <v>113</v>
      </c>
      <c r="J8" s="54" t="s">
        <v>113</v>
      </c>
      <c r="K8" s="54" t="s">
        <v>113</v>
      </c>
      <c r="L8" s="54" t="s">
        <v>113</v>
      </c>
      <c r="M8" s="54" t="s">
        <v>113</v>
      </c>
      <c r="N8" s="54" t="s">
        <v>113</v>
      </c>
      <c r="O8" s="53">
        <f t="shared" si="0"/>
        <v>0</v>
      </c>
      <c r="P8" s="3"/>
    </row>
    <row r="9" spans="1:18">
      <c r="A9" s="3" t="s">
        <v>77</v>
      </c>
      <c r="B9" s="3" t="s">
        <v>78</v>
      </c>
      <c r="C9" s="54" t="s">
        <v>113</v>
      </c>
      <c r="D9" s="54" t="s">
        <v>113</v>
      </c>
      <c r="E9" s="54" t="s">
        <v>113</v>
      </c>
      <c r="F9" s="54" t="s">
        <v>113</v>
      </c>
      <c r="G9" s="54" t="s">
        <v>113</v>
      </c>
      <c r="H9" s="54" t="s">
        <v>113</v>
      </c>
      <c r="I9" s="54" t="s">
        <v>113</v>
      </c>
      <c r="J9" s="54" t="s">
        <v>113</v>
      </c>
      <c r="K9" s="54" t="s">
        <v>113</v>
      </c>
      <c r="L9" s="54" t="s">
        <v>113</v>
      </c>
      <c r="M9" s="54" t="s">
        <v>113</v>
      </c>
      <c r="N9" s="54" t="s">
        <v>113</v>
      </c>
      <c r="O9" s="53">
        <f t="shared" si="0"/>
        <v>0</v>
      </c>
      <c r="P9" s="3"/>
    </row>
    <row r="10" spans="1:18">
      <c r="A10" s="3" t="s">
        <v>79</v>
      </c>
      <c r="B10" s="3" t="s">
        <v>80</v>
      </c>
      <c r="C10" s="54" t="s">
        <v>113</v>
      </c>
      <c r="D10" s="54" t="s">
        <v>113</v>
      </c>
      <c r="E10" s="54" t="s">
        <v>113</v>
      </c>
      <c r="F10" s="54" t="s">
        <v>113</v>
      </c>
      <c r="G10" s="54" t="s">
        <v>113</v>
      </c>
      <c r="H10" s="54" t="s">
        <v>113</v>
      </c>
      <c r="I10" s="54" t="s">
        <v>113</v>
      </c>
      <c r="J10" s="54" t="s">
        <v>113</v>
      </c>
      <c r="K10" s="54" t="s">
        <v>113</v>
      </c>
      <c r="L10" s="54" t="s">
        <v>113</v>
      </c>
      <c r="M10" s="54" t="s">
        <v>113</v>
      </c>
      <c r="N10" s="54" t="s">
        <v>113</v>
      </c>
      <c r="O10" s="53">
        <f t="shared" si="0"/>
        <v>0</v>
      </c>
      <c r="P10" s="3"/>
    </row>
    <row r="11" spans="1:18">
      <c r="A11" s="3" t="s">
        <v>81</v>
      </c>
      <c r="B11" s="3" t="s">
        <v>82</v>
      </c>
      <c r="C11" s="54" t="s">
        <v>113</v>
      </c>
      <c r="D11" s="54" t="s">
        <v>113</v>
      </c>
      <c r="E11" s="54" t="s">
        <v>113</v>
      </c>
      <c r="F11" s="54" t="s">
        <v>113</v>
      </c>
      <c r="G11" s="54" t="s">
        <v>113</v>
      </c>
      <c r="H11" s="54" t="s">
        <v>113</v>
      </c>
      <c r="I11" s="54" t="s">
        <v>113</v>
      </c>
      <c r="J11" s="54" t="s">
        <v>113</v>
      </c>
      <c r="K11" s="54" t="s">
        <v>113</v>
      </c>
      <c r="L11" s="54" t="s">
        <v>113</v>
      </c>
      <c r="M11" s="54" t="s">
        <v>113</v>
      </c>
      <c r="N11" s="54" t="s">
        <v>113</v>
      </c>
      <c r="O11" s="53">
        <f t="shared" si="0"/>
        <v>0</v>
      </c>
      <c r="P11" s="3"/>
    </row>
    <row r="12" spans="1:18">
      <c r="A12" s="3" t="s">
        <v>83</v>
      </c>
      <c r="B12" s="3" t="s">
        <v>84</v>
      </c>
      <c r="C12" s="54" t="s">
        <v>113</v>
      </c>
      <c r="D12" s="54" t="s">
        <v>113</v>
      </c>
      <c r="E12" s="54" t="s">
        <v>113</v>
      </c>
      <c r="F12" s="54" t="s">
        <v>113</v>
      </c>
      <c r="G12" s="54" t="s">
        <v>113</v>
      </c>
      <c r="H12" s="54" t="s">
        <v>113</v>
      </c>
      <c r="I12" s="54" t="s">
        <v>113</v>
      </c>
      <c r="J12" s="54" t="s">
        <v>113</v>
      </c>
      <c r="K12" s="54" t="s">
        <v>113</v>
      </c>
      <c r="L12" s="54" t="s">
        <v>113</v>
      </c>
      <c r="M12" s="54" t="s">
        <v>113</v>
      </c>
      <c r="N12" s="54" t="s">
        <v>113</v>
      </c>
      <c r="O12" s="53">
        <f t="shared" si="0"/>
        <v>0</v>
      </c>
      <c r="P12" s="3"/>
    </row>
    <row r="13" spans="1:18">
      <c r="A13" s="3" t="s">
        <v>85</v>
      </c>
      <c r="B13" s="3" t="s">
        <v>86</v>
      </c>
      <c r="C13" s="54" t="s">
        <v>113</v>
      </c>
      <c r="D13" s="54" t="s">
        <v>113</v>
      </c>
      <c r="E13" s="54" t="s">
        <v>113</v>
      </c>
      <c r="F13" s="54" t="s">
        <v>113</v>
      </c>
      <c r="G13" s="54" t="s">
        <v>113</v>
      </c>
      <c r="H13" s="54" t="s">
        <v>113</v>
      </c>
      <c r="I13" s="54" t="s">
        <v>113</v>
      </c>
      <c r="J13" s="54" t="s">
        <v>113</v>
      </c>
      <c r="K13" s="54" t="s">
        <v>113</v>
      </c>
      <c r="L13" s="54" t="s">
        <v>113</v>
      </c>
      <c r="M13" s="54" t="s">
        <v>113</v>
      </c>
      <c r="N13" s="54" t="s">
        <v>113</v>
      </c>
      <c r="O13" s="53">
        <f t="shared" si="0"/>
        <v>0</v>
      </c>
      <c r="P13" s="3"/>
    </row>
    <row r="14" spans="1:18">
      <c r="A14" s="3" t="s">
        <v>88</v>
      </c>
      <c r="B14" s="3" t="s">
        <v>89</v>
      </c>
      <c r="C14" s="54" t="s">
        <v>113</v>
      </c>
      <c r="D14" s="54" t="s">
        <v>113</v>
      </c>
      <c r="E14" s="54" t="s">
        <v>113</v>
      </c>
      <c r="F14" s="54" t="s">
        <v>113</v>
      </c>
      <c r="G14" s="54" t="s">
        <v>113</v>
      </c>
      <c r="H14" s="54" t="s">
        <v>113</v>
      </c>
      <c r="I14" s="54" t="s">
        <v>113</v>
      </c>
      <c r="J14" s="54" t="s">
        <v>113</v>
      </c>
      <c r="K14" s="54" t="s">
        <v>113</v>
      </c>
      <c r="L14" s="54" t="s">
        <v>113</v>
      </c>
      <c r="M14" s="54" t="s">
        <v>113</v>
      </c>
      <c r="N14" s="54" t="s">
        <v>113</v>
      </c>
      <c r="O14" s="53">
        <f t="shared" si="0"/>
        <v>0</v>
      </c>
      <c r="P14" s="3"/>
    </row>
    <row r="15" spans="1:18">
      <c r="A15" s="3" t="s">
        <v>90</v>
      </c>
      <c r="B15" s="3" t="s">
        <v>91</v>
      </c>
      <c r="C15" s="54" t="s">
        <v>113</v>
      </c>
      <c r="D15" s="54" t="s">
        <v>113</v>
      </c>
      <c r="E15" s="54" t="s">
        <v>113</v>
      </c>
      <c r="F15" s="54" t="s">
        <v>113</v>
      </c>
      <c r="G15" s="54" t="s">
        <v>113</v>
      </c>
      <c r="H15" s="54" t="s">
        <v>113</v>
      </c>
      <c r="I15" s="54" t="s">
        <v>113</v>
      </c>
      <c r="J15" s="54" t="s">
        <v>113</v>
      </c>
      <c r="K15" s="54" t="s">
        <v>113</v>
      </c>
      <c r="L15" s="54" t="s">
        <v>113</v>
      </c>
      <c r="M15" s="54" t="s">
        <v>113</v>
      </c>
      <c r="N15" s="54" t="s">
        <v>113</v>
      </c>
      <c r="O15" s="53">
        <f t="shared" si="0"/>
        <v>0</v>
      </c>
      <c r="P15" s="3"/>
    </row>
    <row r="16" spans="1:18">
      <c r="A16" s="3" t="s">
        <v>92</v>
      </c>
      <c r="B16" s="3" t="s">
        <v>93</v>
      </c>
      <c r="C16" s="54" t="s">
        <v>113</v>
      </c>
      <c r="D16" s="54" t="s">
        <v>113</v>
      </c>
      <c r="E16" s="54" t="s">
        <v>113</v>
      </c>
      <c r="F16" s="54" t="s">
        <v>113</v>
      </c>
      <c r="G16" s="54" t="s">
        <v>113</v>
      </c>
      <c r="H16" s="54" t="s">
        <v>113</v>
      </c>
      <c r="I16" s="54" t="s">
        <v>113</v>
      </c>
      <c r="J16" s="54" t="s">
        <v>113</v>
      </c>
      <c r="K16" s="54" t="s">
        <v>113</v>
      </c>
      <c r="L16" s="54" t="s">
        <v>113</v>
      </c>
      <c r="M16" s="54" t="s">
        <v>113</v>
      </c>
      <c r="N16" s="54" t="s">
        <v>113</v>
      </c>
      <c r="O16" s="53">
        <f t="shared" si="0"/>
        <v>0</v>
      </c>
      <c r="P16" s="3"/>
    </row>
    <row r="18" spans="1:16" ht="17" customHeight="1">
      <c r="A18" s="69" t="s">
        <v>114</v>
      </c>
      <c r="B18" s="58"/>
      <c r="C18" s="58"/>
      <c r="D18" s="58"/>
      <c r="E18" s="58"/>
      <c r="F18" s="58"/>
      <c r="G18" s="58"/>
      <c r="H18" s="58"/>
      <c r="I18" s="58"/>
      <c r="J18" s="58"/>
      <c r="K18" s="58"/>
      <c r="L18" s="58"/>
      <c r="M18" s="58"/>
      <c r="N18" s="58"/>
      <c r="O18" s="58"/>
      <c r="P18" s="58"/>
    </row>
    <row r="19" spans="1:16" ht="18" customHeight="1">
      <c r="A19" s="2" t="s">
        <v>115</v>
      </c>
      <c r="B19" s="2" t="s">
        <v>116</v>
      </c>
      <c r="C19" s="60" t="s">
        <v>117</v>
      </c>
      <c r="D19" s="65"/>
      <c r="E19" s="65"/>
      <c r="F19" s="61"/>
      <c r="G19" s="60" t="s">
        <v>118</v>
      </c>
      <c r="H19" s="65"/>
      <c r="I19" s="61"/>
      <c r="J19" s="60" t="s">
        <v>119</v>
      </c>
      <c r="K19" s="65"/>
      <c r="L19" s="65"/>
      <c r="M19" s="61"/>
    </row>
    <row r="20" spans="1:16" ht="17" customHeight="1">
      <c r="A20" s="6" t="s">
        <v>109</v>
      </c>
      <c r="B20" s="66" t="s">
        <v>120</v>
      </c>
      <c r="C20" s="72" t="s">
        <v>121</v>
      </c>
      <c r="D20" s="65"/>
      <c r="E20" s="65"/>
      <c r="F20" s="61"/>
      <c r="G20" s="71" t="s">
        <v>122</v>
      </c>
      <c r="H20" s="65"/>
      <c r="I20" s="61"/>
      <c r="J20" s="73" t="s">
        <v>123</v>
      </c>
      <c r="K20" s="65"/>
      <c r="L20" s="65"/>
      <c r="M20" s="61"/>
    </row>
    <row r="21" spans="1:16" ht="17" customHeight="1">
      <c r="A21" s="6" t="s">
        <v>110</v>
      </c>
      <c r="B21" s="66" t="s">
        <v>124</v>
      </c>
      <c r="C21" s="72" t="s">
        <v>125</v>
      </c>
      <c r="D21" s="65"/>
      <c r="E21" s="65"/>
      <c r="F21" s="61"/>
      <c r="G21" s="71" t="s">
        <v>126</v>
      </c>
      <c r="H21" s="65"/>
      <c r="I21" s="61"/>
      <c r="J21" s="73" t="s">
        <v>127</v>
      </c>
      <c r="K21" s="65"/>
      <c r="L21" s="65"/>
      <c r="M21" s="61"/>
    </row>
    <row r="22" spans="1:16" ht="17" customHeight="1">
      <c r="A22" s="6" t="s">
        <v>111</v>
      </c>
      <c r="B22" s="66" t="s">
        <v>128</v>
      </c>
      <c r="C22" s="72" t="s">
        <v>129</v>
      </c>
      <c r="D22" s="65"/>
      <c r="E22" s="65"/>
      <c r="F22" s="61"/>
      <c r="G22" s="71" t="s">
        <v>130</v>
      </c>
      <c r="H22" s="65"/>
      <c r="I22" s="61"/>
      <c r="J22" s="73" t="s">
        <v>131</v>
      </c>
      <c r="K22" s="65"/>
      <c r="L22" s="65"/>
      <c r="M22" s="61"/>
    </row>
    <row r="23" spans="1:16" ht="17" customHeight="1">
      <c r="A23" s="6" t="s">
        <v>112</v>
      </c>
      <c r="B23" s="66" t="s">
        <v>132</v>
      </c>
      <c r="C23" s="72" t="s">
        <v>133</v>
      </c>
      <c r="D23" s="65"/>
      <c r="E23" s="65"/>
      <c r="F23" s="61"/>
      <c r="G23" s="71" t="s">
        <v>134</v>
      </c>
      <c r="H23" s="65"/>
      <c r="I23" s="61"/>
      <c r="J23" s="73" t="s">
        <v>135</v>
      </c>
      <c r="K23" s="65"/>
      <c r="L23" s="65"/>
      <c r="M23" s="61"/>
    </row>
  </sheetData>
  <mergeCells count="29">
    <mergeCell ref="P4:P5"/>
    <mergeCell ref="B20"/>
    <mergeCell ref="J21:M21"/>
    <mergeCell ref="C19:F19"/>
    <mergeCell ref="J23:M23"/>
    <mergeCell ref="K4:N4"/>
    <mergeCell ref="B23"/>
    <mergeCell ref="G23:I23"/>
    <mergeCell ref="J22:M22"/>
    <mergeCell ref="C23:F23"/>
    <mergeCell ref="G19:I19"/>
    <mergeCell ref="G4:J4"/>
    <mergeCell ref="O4:O5"/>
    <mergeCell ref="A1:R1"/>
    <mergeCell ref="A2:R2"/>
    <mergeCell ref="G20:I20"/>
    <mergeCell ref="B22"/>
    <mergeCell ref="J19:M19"/>
    <mergeCell ref="G22:I22"/>
    <mergeCell ref="C4:F4"/>
    <mergeCell ref="A4:A5"/>
    <mergeCell ref="C20:F20"/>
    <mergeCell ref="B21"/>
    <mergeCell ref="G21:I21"/>
    <mergeCell ref="C22:F22"/>
    <mergeCell ref="B4:B5"/>
    <mergeCell ref="A18:P18"/>
    <mergeCell ref="J20:M20"/>
    <mergeCell ref="C21:F21"/>
  </mergeCells>
  <phoneticPr fontId="14" type="noConversion"/>
  <dataValidations count="1">
    <dataValidation type="list" allowBlank="1" sqref="C6 C7 C8 C9 C10 C11 C12 C13 C14 C15 C16 D6 D7 D8 D9 D10 D11 D12 D13 D14 D15 D16 E6 E7 E8 E9 E10 E11 E12 E13 E14 E15 E16 F6 F7 F8 F9 F10 F11 F12 F13 F14 F15 F16 G6 G7 G8 G9 G10 G11 G12 G13 G14 G15 G16 H6 H7 H8 H9 H10 H11 H12 H13 H14 H15 H16 I6 I7 I8 I9 I10 I11 I12 I13 I14 I15 I16 J6 J7 J8 J9 J10 J11 J12 J13 J14 J15 J16 K6 K7 K8 K9 K10 K11 K12 K13 K14 K15 K16 L6 L7 L8 L9 L10 L11 L12 L13 L14 L15 L16 M6 M7 M8 M9 M10 M11 M12 M13 M14 M15 M16 N6 N7 N8 N9 N10 N11 N12 N13 N14 N15 N16" xr:uid="{00000000-0002-0000-0300-000000000000}">
      <formula1>"A,B,C"</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23"/>
  <sheetViews>
    <sheetView tabSelected="1" workbookViewId="0">
      <selection activeCell="M29" sqref="M29"/>
    </sheetView>
  </sheetViews>
  <sheetFormatPr baseColWidth="10" defaultColWidth="8.83203125" defaultRowHeight="14"/>
  <cols>
    <col min="1" max="1" width="12" customWidth="1"/>
    <col min="2" max="2" width="20" customWidth="1"/>
    <col min="3" max="8" width="12" customWidth="1"/>
  </cols>
  <sheetData>
    <row r="1" spans="1:9" ht="21" customHeight="1">
      <c r="A1" s="57" t="s">
        <v>136</v>
      </c>
      <c r="B1" s="58"/>
      <c r="C1" s="58"/>
      <c r="D1" s="58"/>
      <c r="E1" s="58"/>
      <c r="F1" s="58"/>
      <c r="G1" s="58"/>
      <c r="H1" s="58"/>
    </row>
    <row r="2" spans="1:9" ht="15" customHeight="1">
      <c r="A2" s="62" t="s">
        <v>137</v>
      </c>
      <c r="B2" s="58"/>
      <c r="C2" s="58"/>
      <c r="D2" s="58"/>
      <c r="E2" s="58"/>
      <c r="F2" s="58"/>
      <c r="G2" s="58"/>
      <c r="H2" s="58"/>
    </row>
    <row r="4" spans="1:9" ht="18" customHeight="1">
      <c r="A4" s="2" t="s">
        <v>50</v>
      </c>
      <c r="B4" s="2" t="s">
        <v>51</v>
      </c>
      <c r="C4" s="2" t="s">
        <v>138</v>
      </c>
      <c r="D4" s="2" t="s">
        <v>139</v>
      </c>
      <c r="E4" s="2" t="s">
        <v>140</v>
      </c>
      <c r="F4" s="2" t="s">
        <v>141</v>
      </c>
      <c r="G4" s="2" t="s">
        <v>142</v>
      </c>
      <c r="H4" s="2" t="s">
        <v>143</v>
      </c>
      <c r="I4" s="55" t="s">
        <v>240</v>
      </c>
    </row>
    <row r="5" spans="1:9">
      <c r="A5" s="3" t="s">
        <v>69</v>
      </c>
      <c r="B5" s="3" t="s">
        <v>70</v>
      </c>
      <c r="C5" s="56"/>
      <c r="D5" s="56"/>
      <c r="E5" s="56"/>
      <c r="F5" s="56" t="s">
        <v>176</v>
      </c>
      <c r="G5" s="56"/>
      <c r="H5" s="53">
        <f t="shared" ref="H5:H15" si="0">COUNTIF(C5:G5,"高")</f>
        <v>1</v>
      </c>
      <c r="I5" s="53"/>
    </row>
    <row r="6" spans="1:9">
      <c r="A6" s="3" t="s">
        <v>73</v>
      </c>
      <c r="B6" s="3" t="s">
        <v>74</v>
      </c>
      <c r="C6" s="56"/>
      <c r="D6" s="56"/>
      <c r="E6" s="56"/>
      <c r="F6" s="56"/>
      <c r="G6" s="56"/>
      <c r="H6" s="53">
        <f t="shared" si="0"/>
        <v>0</v>
      </c>
      <c r="I6" s="53"/>
    </row>
    <row r="7" spans="1:9">
      <c r="A7" s="3" t="s">
        <v>75</v>
      </c>
      <c r="B7" s="3" t="s">
        <v>76</v>
      </c>
      <c r="C7" s="56"/>
      <c r="D7" s="56"/>
      <c r="E7" s="56"/>
      <c r="F7" s="56"/>
      <c r="G7" s="56"/>
      <c r="H7" s="53">
        <f t="shared" si="0"/>
        <v>0</v>
      </c>
      <c r="I7" s="53"/>
    </row>
    <row r="8" spans="1:9">
      <c r="A8" s="3" t="s">
        <v>77</v>
      </c>
      <c r="B8" s="3" t="s">
        <v>78</v>
      </c>
      <c r="C8" s="56"/>
      <c r="D8" s="56"/>
      <c r="E8" s="56"/>
      <c r="F8" s="56"/>
      <c r="G8" s="56"/>
      <c r="H8" s="53">
        <f t="shared" si="0"/>
        <v>0</v>
      </c>
      <c r="I8" s="53"/>
    </row>
    <row r="9" spans="1:9">
      <c r="A9" s="3" t="s">
        <v>79</v>
      </c>
      <c r="B9" s="3" t="s">
        <v>80</v>
      </c>
      <c r="C9" s="56"/>
      <c r="D9" s="56"/>
      <c r="E9" s="56"/>
      <c r="F9" s="56" t="s">
        <v>176</v>
      </c>
      <c r="G9" s="56"/>
      <c r="H9" s="53">
        <f t="shared" si="0"/>
        <v>1</v>
      </c>
      <c r="I9" s="53"/>
    </row>
    <row r="10" spans="1:9">
      <c r="A10" s="3" t="s">
        <v>81</v>
      </c>
      <c r="B10" s="3" t="s">
        <v>82</v>
      </c>
      <c r="C10" s="56"/>
      <c r="D10" s="56"/>
      <c r="E10" s="56"/>
      <c r="F10" s="56"/>
      <c r="G10" s="56" t="s">
        <v>144</v>
      </c>
      <c r="H10" s="53">
        <f t="shared" si="0"/>
        <v>0</v>
      </c>
      <c r="I10" s="53"/>
    </row>
    <row r="11" spans="1:9">
      <c r="A11" s="3" t="s">
        <v>83</v>
      </c>
      <c r="B11" s="3" t="s">
        <v>84</v>
      </c>
      <c r="C11" s="56"/>
      <c r="D11" s="56"/>
      <c r="E11" s="56"/>
      <c r="F11" s="56"/>
      <c r="G11" s="56"/>
      <c r="H11" s="53">
        <f t="shared" si="0"/>
        <v>0</v>
      </c>
      <c r="I11" s="53"/>
    </row>
    <row r="12" spans="1:9">
      <c r="A12" s="3" t="s">
        <v>85</v>
      </c>
      <c r="B12" s="3" t="s">
        <v>86</v>
      </c>
      <c r="C12" s="56"/>
      <c r="D12" s="56"/>
      <c r="E12" s="56"/>
      <c r="F12" s="56"/>
      <c r="G12" s="56"/>
      <c r="H12" s="53">
        <f t="shared" si="0"/>
        <v>0</v>
      </c>
      <c r="I12" s="53"/>
    </row>
    <row r="13" spans="1:9">
      <c r="A13" s="3" t="s">
        <v>88</v>
      </c>
      <c r="B13" s="3" t="s">
        <v>89</v>
      </c>
      <c r="C13" s="56"/>
      <c r="D13" s="56"/>
      <c r="E13" s="56"/>
      <c r="F13" s="56"/>
      <c r="G13" s="56"/>
      <c r="H13" s="53">
        <f t="shared" si="0"/>
        <v>0</v>
      </c>
      <c r="I13" s="53"/>
    </row>
    <row r="14" spans="1:9">
      <c r="A14" s="3" t="s">
        <v>90</v>
      </c>
      <c r="B14" s="3" t="s">
        <v>91</v>
      </c>
      <c r="C14" s="56"/>
      <c r="D14" s="56"/>
      <c r="E14" s="56"/>
      <c r="F14" s="56"/>
      <c r="G14" s="56"/>
      <c r="H14" s="53">
        <f t="shared" si="0"/>
        <v>0</v>
      </c>
      <c r="I14" s="53"/>
    </row>
    <row r="15" spans="1:9">
      <c r="A15" s="3" t="s">
        <v>92</v>
      </c>
      <c r="B15" s="3" t="s">
        <v>93</v>
      </c>
      <c r="C15" s="56"/>
      <c r="D15" s="56"/>
      <c r="E15" s="56"/>
      <c r="F15" s="56"/>
      <c r="G15" s="56"/>
      <c r="H15" s="53">
        <f t="shared" si="0"/>
        <v>0</v>
      </c>
      <c r="I15" s="53"/>
    </row>
    <row r="17" spans="1:8" ht="17" customHeight="1">
      <c r="A17" s="74" t="s">
        <v>145</v>
      </c>
      <c r="B17" s="58"/>
      <c r="C17" s="58"/>
      <c r="D17" s="58"/>
      <c r="E17" s="58"/>
      <c r="F17" s="58"/>
      <c r="G17" s="58"/>
      <c r="H17" s="58"/>
    </row>
    <row r="18" spans="1:8" ht="18" customHeight="1">
      <c r="A18" s="2" t="s">
        <v>115</v>
      </c>
      <c r="B18" s="60" t="s">
        <v>146</v>
      </c>
      <c r="C18" s="61"/>
      <c r="D18" s="60" t="s">
        <v>147</v>
      </c>
      <c r="E18" s="61"/>
      <c r="F18" s="60" t="s">
        <v>245</v>
      </c>
      <c r="G18" s="65"/>
      <c r="H18" s="61"/>
    </row>
    <row r="19" spans="1:8" ht="17" customHeight="1">
      <c r="A19" s="6" t="s">
        <v>138</v>
      </c>
      <c r="B19" s="72" t="s">
        <v>148</v>
      </c>
      <c r="C19" s="61"/>
      <c r="D19" s="71" t="s">
        <v>149</v>
      </c>
      <c r="E19" s="61"/>
      <c r="F19" s="73" t="s">
        <v>246</v>
      </c>
      <c r="G19" s="65"/>
      <c r="H19" s="61"/>
    </row>
    <row r="20" spans="1:8" ht="17" customHeight="1">
      <c r="A20" s="6" t="s">
        <v>139</v>
      </c>
      <c r="B20" s="72" t="s">
        <v>150</v>
      </c>
      <c r="C20" s="61"/>
      <c r="D20" s="71" t="s">
        <v>151</v>
      </c>
      <c r="E20" s="61"/>
      <c r="F20" s="73" t="s">
        <v>152</v>
      </c>
      <c r="G20" s="65"/>
      <c r="H20" s="61"/>
    </row>
    <row r="21" spans="1:8" ht="17" customHeight="1">
      <c r="A21" s="6" t="s">
        <v>140</v>
      </c>
      <c r="B21" s="72" t="s">
        <v>153</v>
      </c>
      <c r="C21" s="61"/>
      <c r="D21" s="71" t="s">
        <v>154</v>
      </c>
      <c r="E21" s="61"/>
      <c r="F21" s="73" t="s">
        <v>155</v>
      </c>
      <c r="G21" s="65"/>
      <c r="H21" s="61"/>
    </row>
    <row r="22" spans="1:8" ht="17" customHeight="1">
      <c r="A22" s="6" t="s">
        <v>141</v>
      </c>
      <c r="B22" s="72" t="s">
        <v>156</v>
      </c>
      <c r="C22" s="61"/>
      <c r="D22" s="71" t="s">
        <v>157</v>
      </c>
      <c r="E22" s="61"/>
      <c r="F22" s="73" t="s">
        <v>158</v>
      </c>
      <c r="G22" s="65"/>
      <c r="H22" s="61"/>
    </row>
    <row r="23" spans="1:8" ht="17" customHeight="1">
      <c r="A23" s="6" t="s">
        <v>142</v>
      </c>
      <c r="B23" s="72" t="s">
        <v>159</v>
      </c>
      <c r="C23" s="61"/>
      <c r="D23" s="71" t="s">
        <v>160</v>
      </c>
      <c r="E23" s="61"/>
      <c r="F23" s="73" t="s">
        <v>161</v>
      </c>
      <c r="G23" s="65"/>
      <c r="H23" s="61"/>
    </row>
  </sheetData>
  <mergeCells count="21">
    <mergeCell ref="D20:E20"/>
    <mergeCell ref="F18:H18"/>
    <mergeCell ref="D19:E19"/>
    <mergeCell ref="B22:C22"/>
    <mergeCell ref="D22:E22"/>
    <mergeCell ref="A1:H1"/>
    <mergeCell ref="B18:C18"/>
    <mergeCell ref="D21:E21"/>
    <mergeCell ref="F23:H23"/>
    <mergeCell ref="B21:C21"/>
    <mergeCell ref="F22:H22"/>
    <mergeCell ref="B23:C23"/>
    <mergeCell ref="B19:C19"/>
    <mergeCell ref="A2:H2"/>
    <mergeCell ref="D18:E18"/>
    <mergeCell ref="A17:H17"/>
    <mergeCell ref="F19:H19"/>
    <mergeCell ref="B20:C20"/>
    <mergeCell ref="D23:E23"/>
    <mergeCell ref="F21:H21"/>
    <mergeCell ref="F20:H20"/>
  </mergeCells>
  <phoneticPr fontId="14" type="noConversion"/>
  <dataValidations count="1">
    <dataValidation type="list" allowBlank="1" sqref="C5 C6 C7 C8 C9 C10 C11 C12 C13 C14 C15 D5 D6 D7 D8 D9 D10 D11 D12 D13 D14 D15 E5 E6 E7 E8 E9 E10 E11 E12 E13 E14 E15 F5 F6 F7 F8 F9 F10 F11 F12 F13 F14 F15 G5 G6 G7 G8 G9 G10 G11 G12 G13 G14 G15" xr:uid="{00000000-0002-0000-0400-000000000000}">
      <formula1>"高,中,低"</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34"/>
  <sheetViews>
    <sheetView workbookViewId="0">
      <pane xSplit="2" ySplit="4" topLeftCell="R5" activePane="bottomRight" state="frozen"/>
      <selection pane="topRight"/>
      <selection pane="bottomLeft"/>
      <selection pane="bottomRight" activeCell="O11" sqref="O11"/>
    </sheetView>
  </sheetViews>
  <sheetFormatPr baseColWidth="10" defaultColWidth="8.83203125" defaultRowHeight="14"/>
  <cols>
    <col min="1" max="31" width="14" customWidth="1"/>
  </cols>
  <sheetData>
    <row r="1" spans="1:34" ht="21" customHeight="1">
      <c r="A1" s="24" t="s">
        <v>162</v>
      </c>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5"/>
      <c r="AE1" s="25"/>
      <c r="AF1" s="25"/>
      <c r="AG1" s="25"/>
      <c r="AH1" s="25"/>
    </row>
    <row r="2" spans="1:34" ht="15" customHeight="1">
      <c r="A2" s="26" t="s">
        <v>163</v>
      </c>
      <c r="B2" s="25"/>
      <c r="C2" s="25"/>
      <c r="D2" s="25"/>
      <c r="E2" s="25"/>
      <c r="F2" s="25"/>
      <c r="G2" s="25"/>
      <c r="H2" s="25"/>
      <c r="I2" s="25"/>
      <c r="J2" s="25"/>
      <c r="K2" s="25"/>
      <c r="L2" s="25"/>
      <c r="M2" s="25"/>
      <c r="N2" s="25"/>
      <c r="O2" s="25"/>
      <c r="P2" s="25"/>
      <c r="Q2" s="25"/>
      <c r="R2" s="25"/>
      <c r="S2" s="25"/>
      <c r="T2" s="25"/>
      <c r="U2" s="25"/>
      <c r="V2" s="25"/>
      <c r="W2" s="25"/>
      <c r="X2" s="25"/>
      <c r="Y2" s="25"/>
      <c r="Z2" s="25"/>
      <c r="AA2" s="25"/>
      <c r="AB2" s="25"/>
      <c r="AC2" s="25"/>
      <c r="AD2" s="25"/>
      <c r="AE2" s="25"/>
      <c r="AF2" s="25"/>
      <c r="AG2" s="25"/>
      <c r="AH2" s="25"/>
    </row>
    <row r="3" spans="1:34">
      <c r="A3" s="25"/>
      <c r="B3" s="25"/>
      <c r="C3" s="25"/>
      <c r="D3" s="25"/>
      <c r="E3" s="25"/>
      <c r="F3" s="25"/>
      <c r="G3" s="25"/>
      <c r="H3" s="25"/>
      <c r="I3" s="25"/>
      <c r="J3" s="25"/>
      <c r="K3" s="25"/>
      <c r="L3" s="25"/>
      <c r="M3" s="25"/>
      <c r="N3" s="25"/>
      <c r="O3" s="25"/>
      <c r="P3" s="25"/>
      <c r="Q3" s="25"/>
      <c r="R3" s="25"/>
      <c r="S3" s="25"/>
      <c r="T3" s="25"/>
      <c r="U3" s="25"/>
      <c r="V3" s="25"/>
      <c r="W3" s="25"/>
      <c r="X3" s="25"/>
      <c r="Y3" s="25"/>
      <c r="Z3" s="25"/>
      <c r="AA3" s="25"/>
      <c r="AB3" s="25"/>
      <c r="AC3" s="25"/>
      <c r="AD3" s="25"/>
      <c r="AE3" s="25"/>
      <c r="AF3" s="25"/>
      <c r="AG3" s="25"/>
      <c r="AH3" s="25"/>
    </row>
    <row r="4" spans="1:34" ht="18" customHeight="1">
      <c r="A4" s="25"/>
      <c r="B4" s="25"/>
      <c r="C4" s="27" t="s">
        <v>164</v>
      </c>
      <c r="D4" s="25"/>
      <c r="E4" s="25"/>
      <c r="F4" s="25"/>
      <c r="G4" s="25"/>
      <c r="H4" s="25"/>
      <c r="I4" s="25"/>
      <c r="J4" s="25"/>
      <c r="K4" s="25"/>
      <c r="L4" s="25"/>
      <c r="M4" s="25"/>
      <c r="N4" s="25"/>
      <c r="O4" s="25"/>
      <c r="P4" s="25"/>
      <c r="Q4" s="27" t="s">
        <v>165</v>
      </c>
      <c r="R4" s="25"/>
      <c r="S4" s="25"/>
      <c r="T4" s="25"/>
      <c r="U4" s="25"/>
      <c r="V4" s="25"/>
      <c r="W4" s="25"/>
      <c r="X4" s="25"/>
      <c r="Y4" s="25"/>
      <c r="Z4" s="25"/>
      <c r="AA4" s="25"/>
      <c r="AB4" s="25"/>
      <c r="AC4" s="25"/>
      <c r="AD4" s="25"/>
      <c r="AE4" s="25"/>
      <c r="AF4" s="25"/>
      <c r="AG4" s="25"/>
      <c r="AH4" s="25"/>
    </row>
    <row r="5" spans="1:34">
      <c r="A5" s="25"/>
      <c r="B5" s="25"/>
      <c r="C5" s="28" t="s">
        <v>50</v>
      </c>
      <c r="D5" s="28" t="s">
        <v>51</v>
      </c>
      <c r="E5" s="28" t="s">
        <v>166</v>
      </c>
      <c r="F5" s="29" t="s">
        <v>167</v>
      </c>
      <c r="G5" s="28" t="s">
        <v>168</v>
      </c>
      <c r="H5" s="28" t="s">
        <v>169</v>
      </c>
      <c r="I5" s="28" t="s">
        <v>170</v>
      </c>
      <c r="J5" s="30" t="s">
        <v>171</v>
      </c>
      <c r="K5" s="30" t="s">
        <v>172</v>
      </c>
      <c r="L5" s="30" t="s">
        <v>64</v>
      </c>
      <c r="M5" s="29" t="s">
        <v>65</v>
      </c>
      <c r="N5" s="29" t="s">
        <v>173</v>
      </c>
      <c r="O5" s="29" t="s">
        <v>174</v>
      </c>
      <c r="P5" s="25"/>
      <c r="Q5" s="29" t="s">
        <v>50</v>
      </c>
      <c r="R5" s="29" t="s">
        <v>51</v>
      </c>
      <c r="S5" s="28" t="s">
        <v>175</v>
      </c>
      <c r="T5" s="29" t="s">
        <v>167</v>
      </c>
      <c r="U5" s="29" t="s">
        <v>168</v>
      </c>
      <c r="V5" s="29" t="s">
        <v>169</v>
      </c>
      <c r="W5" s="28" t="s">
        <v>170</v>
      </c>
      <c r="X5" s="29" t="s">
        <v>171</v>
      </c>
      <c r="Y5" s="29" t="s">
        <v>172</v>
      </c>
      <c r="Z5" s="30" t="s">
        <v>64</v>
      </c>
      <c r="AA5" s="29" t="s">
        <v>65</v>
      </c>
      <c r="AB5" s="29" t="s">
        <v>173</v>
      </c>
      <c r="AC5" s="29" t="s">
        <v>174</v>
      </c>
      <c r="AD5" s="25"/>
      <c r="AE5" s="25"/>
      <c r="AF5" s="25"/>
      <c r="AG5" s="25"/>
      <c r="AH5" s="25"/>
    </row>
    <row r="6" spans="1:34">
      <c r="A6" s="25"/>
      <c r="B6" s="25"/>
      <c r="C6" s="31" t="s">
        <v>69</v>
      </c>
      <c r="D6" s="31" t="s">
        <v>70</v>
      </c>
      <c r="E6" s="31">
        <v>92.7</v>
      </c>
      <c r="F6" s="32">
        <v>0</v>
      </c>
      <c r="G6" s="31">
        <v>0</v>
      </c>
      <c r="H6" s="31">
        <v>0</v>
      </c>
      <c r="I6" s="23">
        <v>92.7</v>
      </c>
      <c r="J6" s="32">
        <v>1</v>
      </c>
      <c r="K6" s="33" t="s">
        <v>176</v>
      </c>
      <c r="L6" s="33">
        <v>-3.235908141962416E-2</v>
      </c>
      <c r="M6" s="32" t="s">
        <v>71</v>
      </c>
      <c r="N6" s="32" t="s">
        <v>177</v>
      </c>
      <c r="O6" s="42" t="s">
        <v>178</v>
      </c>
      <c r="P6" s="41"/>
      <c r="Q6" s="32" t="s">
        <v>69</v>
      </c>
      <c r="R6" s="32" t="s">
        <v>70</v>
      </c>
      <c r="S6" s="31">
        <v>92</v>
      </c>
      <c r="T6" s="32">
        <v>0</v>
      </c>
      <c r="U6" s="32">
        <v>0</v>
      </c>
      <c r="V6" s="32">
        <v>0</v>
      </c>
      <c r="W6" s="23">
        <v>92</v>
      </c>
      <c r="X6" s="32">
        <v>1</v>
      </c>
      <c r="Y6" s="32" t="s">
        <v>176</v>
      </c>
      <c r="Z6" s="33">
        <v>1.7699115044247721E-2</v>
      </c>
      <c r="AA6" s="32" t="s">
        <v>71</v>
      </c>
      <c r="AB6" s="32" t="s">
        <v>177</v>
      </c>
      <c r="AC6" s="42" t="s">
        <v>178</v>
      </c>
      <c r="AD6" s="25"/>
      <c r="AE6" s="25"/>
      <c r="AF6" s="25"/>
      <c r="AG6" s="25"/>
      <c r="AH6" s="25"/>
    </row>
    <row r="7" spans="1:34">
      <c r="A7" s="25"/>
      <c r="B7" s="25"/>
      <c r="C7" s="31" t="s">
        <v>73</v>
      </c>
      <c r="D7" s="31" t="s">
        <v>74</v>
      </c>
      <c r="E7" s="31">
        <v>84.9</v>
      </c>
      <c r="F7" s="32">
        <v>0</v>
      </c>
      <c r="G7" s="31">
        <v>0</v>
      </c>
      <c r="H7" s="31">
        <v>0</v>
      </c>
      <c r="I7" s="23">
        <v>84.9</v>
      </c>
      <c r="J7" s="32">
        <v>2</v>
      </c>
      <c r="K7" s="33" t="s">
        <v>176</v>
      </c>
      <c r="L7" s="33">
        <v>-5.87583148558758E-2</v>
      </c>
      <c r="M7" s="32" t="s">
        <v>71</v>
      </c>
      <c r="N7" s="32" t="s">
        <v>177</v>
      </c>
      <c r="O7" s="42" t="s">
        <v>178</v>
      </c>
      <c r="P7" s="41"/>
      <c r="Q7" s="32" t="s">
        <v>73</v>
      </c>
      <c r="R7" s="32" t="s">
        <v>74</v>
      </c>
      <c r="S7" s="31">
        <v>83.8</v>
      </c>
      <c r="T7" s="32">
        <v>0</v>
      </c>
      <c r="U7" s="32">
        <v>0</v>
      </c>
      <c r="V7" s="32">
        <v>0</v>
      </c>
      <c r="W7" s="23">
        <v>83.8</v>
      </c>
      <c r="X7" s="32">
        <v>5</v>
      </c>
      <c r="Y7" s="32" t="s">
        <v>144</v>
      </c>
      <c r="Z7" s="33">
        <v>7.9896907216494895E-2</v>
      </c>
      <c r="AA7" s="32" t="s">
        <v>71</v>
      </c>
      <c r="AB7" s="32" t="s">
        <v>179</v>
      </c>
      <c r="AC7" s="32" t="s">
        <v>113</v>
      </c>
      <c r="AD7" s="25"/>
      <c r="AE7" s="25"/>
      <c r="AF7" s="25"/>
      <c r="AG7" s="25"/>
      <c r="AH7" s="25"/>
    </row>
    <row r="8" spans="1:34" ht="17" customHeight="1">
      <c r="A8" s="25"/>
      <c r="B8" s="25"/>
      <c r="C8" s="31" t="s">
        <v>75</v>
      </c>
      <c r="D8" s="31" t="s">
        <v>76</v>
      </c>
      <c r="E8" s="31">
        <v>79.5</v>
      </c>
      <c r="F8" s="32">
        <v>0</v>
      </c>
      <c r="G8" s="31">
        <v>0</v>
      </c>
      <c r="H8" s="31">
        <v>0</v>
      </c>
      <c r="I8" s="23">
        <v>79.5</v>
      </c>
      <c r="J8" s="32">
        <v>4</v>
      </c>
      <c r="K8" s="33" t="s">
        <v>144</v>
      </c>
      <c r="L8" s="33">
        <v>-6.1393152302243237E-2</v>
      </c>
      <c r="M8" s="32" t="s">
        <v>71</v>
      </c>
      <c r="N8" s="32" t="s">
        <v>179</v>
      </c>
      <c r="O8" s="32" t="s">
        <v>113</v>
      </c>
      <c r="P8" s="41"/>
      <c r="Q8" s="32" t="s">
        <v>75</v>
      </c>
      <c r="R8" s="32" t="s">
        <v>76</v>
      </c>
      <c r="S8" s="31">
        <v>87.4</v>
      </c>
      <c r="T8" s="32">
        <v>0</v>
      </c>
      <c r="U8" s="32">
        <v>0</v>
      </c>
      <c r="V8" s="32">
        <v>0</v>
      </c>
      <c r="W8" s="23">
        <v>87.4</v>
      </c>
      <c r="X8" s="32">
        <v>3</v>
      </c>
      <c r="Y8" s="32" t="s">
        <v>176</v>
      </c>
      <c r="Z8" s="33">
        <v>-5.6882821387940841E-3</v>
      </c>
      <c r="AA8" s="32" t="s">
        <v>71</v>
      </c>
      <c r="AB8" s="32" t="s">
        <v>177</v>
      </c>
      <c r="AC8" s="42" t="s">
        <v>178</v>
      </c>
      <c r="AD8" s="25"/>
      <c r="AE8" s="25"/>
      <c r="AF8" s="25"/>
      <c r="AG8" s="25"/>
      <c r="AH8" s="25"/>
    </row>
    <row r="9" spans="1:34" ht="17" customHeight="1">
      <c r="A9" s="25"/>
      <c r="B9" s="25"/>
      <c r="C9" s="31" t="s">
        <v>77</v>
      </c>
      <c r="D9" s="31" t="s">
        <v>78</v>
      </c>
      <c r="E9" s="31">
        <v>77.2</v>
      </c>
      <c r="F9" s="32">
        <v>0</v>
      </c>
      <c r="G9" s="31">
        <v>0</v>
      </c>
      <c r="H9" s="31">
        <v>0</v>
      </c>
      <c r="I9" s="23">
        <v>77.2</v>
      </c>
      <c r="J9" s="32">
        <v>5</v>
      </c>
      <c r="K9" s="33" t="s">
        <v>144</v>
      </c>
      <c r="L9" s="33">
        <v>-0.1064814814814815</v>
      </c>
      <c r="M9" s="32" t="s">
        <v>180</v>
      </c>
      <c r="N9" s="32" t="s">
        <v>181</v>
      </c>
      <c r="O9" s="32" t="s">
        <v>113</v>
      </c>
      <c r="P9" s="41"/>
      <c r="Q9" s="32" t="s">
        <v>77</v>
      </c>
      <c r="R9" s="32" t="s">
        <v>78</v>
      </c>
      <c r="S9" s="31">
        <v>82.2</v>
      </c>
      <c r="T9" s="32">
        <v>0</v>
      </c>
      <c r="U9" s="32">
        <v>0</v>
      </c>
      <c r="V9" s="32">
        <v>0</v>
      </c>
      <c r="W9" s="23">
        <v>82.2</v>
      </c>
      <c r="X9" s="32">
        <v>7</v>
      </c>
      <c r="Y9" s="32" t="s">
        <v>144</v>
      </c>
      <c r="Z9" s="33">
        <v>6.201550387596895E-2</v>
      </c>
      <c r="AA9" s="32" t="s">
        <v>71</v>
      </c>
      <c r="AB9" s="32" t="s">
        <v>179</v>
      </c>
      <c r="AC9" s="32" t="s">
        <v>113</v>
      </c>
      <c r="AD9" s="25"/>
      <c r="AE9" s="25"/>
      <c r="AF9" s="25"/>
      <c r="AG9" s="25"/>
      <c r="AH9" s="25"/>
    </row>
    <row r="10" spans="1:34">
      <c r="A10" s="25"/>
      <c r="B10" s="25"/>
      <c r="C10" s="31" t="s">
        <v>79</v>
      </c>
      <c r="D10" s="31" t="s">
        <v>80</v>
      </c>
      <c r="E10" s="31">
        <v>74.5</v>
      </c>
      <c r="F10" s="32">
        <v>0</v>
      </c>
      <c r="G10" s="31">
        <v>0</v>
      </c>
      <c r="H10" s="31">
        <v>0</v>
      </c>
      <c r="I10" s="23">
        <v>74.5</v>
      </c>
      <c r="J10" s="32">
        <v>6</v>
      </c>
      <c r="K10" s="33" t="s">
        <v>144</v>
      </c>
      <c r="L10" s="33">
        <v>-4.3645699614890947E-2</v>
      </c>
      <c r="M10" s="32" t="s">
        <v>71</v>
      </c>
      <c r="N10" s="32" t="s">
        <v>179</v>
      </c>
      <c r="O10" s="32" t="s">
        <v>113</v>
      </c>
      <c r="P10" s="41"/>
      <c r="Q10" s="32" t="s">
        <v>79</v>
      </c>
      <c r="R10" s="32" t="s">
        <v>80</v>
      </c>
      <c r="S10" s="31">
        <v>80.7</v>
      </c>
      <c r="T10" s="32">
        <v>0</v>
      </c>
      <c r="U10" s="32">
        <v>0</v>
      </c>
      <c r="V10" s="32">
        <v>0</v>
      </c>
      <c r="W10" s="23">
        <v>80.7</v>
      </c>
      <c r="X10" s="32">
        <v>10</v>
      </c>
      <c r="Y10" s="32" t="s">
        <v>182</v>
      </c>
      <c r="Z10" s="33">
        <v>3.4615384615384652E-2</v>
      </c>
      <c r="AA10" s="32" t="s">
        <v>71</v>
      </c>
      <c r="AB10" s="32" t="s">
        <v>183</v>
      </c>
      <c r="AC10" s="43" t="s">
        <v>184</v>
      </c>
      <c r="AD10" s="25"/>
      <c r="AE10" s="25"/>
      <c r="AF10" s="25"/>
      <c r="AG10" s="25"/>
      <c r="AH10" s="25"/>
    </row>
    <row r="11" spans="1:34" ht="17" customHeight="1">
      <c r="A11" s="25"/>
      <c r="B11" s="25"/>
      <c r="C11" s="31" t="s">
        <v>81</v>
      </c>
      <c r="D11" s="31" t="s">
        <v>82</v>
      </c>
      <c r="E11" s="31">
        <v>71.5</v>
      </c>
      <c r="F11" s="32">
        <v>0</v>
      </c>
      <c r="G11" s="31">
        <v>0</v>
      </c>
      <c r="H11" s="31">
        <v>0</v>
      </c>
      <c r="I11" s="23">
        <v>71.5</v>
      </c>
      <c r="J11" s="32">
        <v>9</v>
      </c>
      <c r="K11" s="33" t="s">
        <v>182</v>
      </c>
      <c r="L11" s="33">
        <v>-0.1172839506172839</v>
      </c>
      <c r="M11" s="32" t="s">
        <v>180</v>
      </c>
      <c r="N11" s="32" t="s">
        <v>185</v>
      </c>
      <c r="O11" s="43" t="s">
        <v>184</v>
      </c>
      <c r="P11" s="41"/>
      <c r="Q11" s="32" t="s">
        <v>81</v>
      </c>
      <c r="R11" s="32" t="s">
        <v>82</v>
      </c>
      <c r="S11" s="31">
        <v>81.3</v>
      </c>
      <c r="T11" s="32">
        <v>0</v>
      </c>
      <c r="U11" s="32">
        <v>0</v>
      </c>
      <c r="V11" s="32">
        <v>0</v>
      </c>
      <c r="W11" s="23">
        <v>81.3</v>
      </c>
      <c r="X11" s="32">
        <v>9</v>
      </c>
      <c r="Y11" s="32" t="s">
        <v>182</v>
      </c>
      <c r="Z11" s="33">
        <v>2.3929471032745481E-2</v>
      </c>
      <c r="AA11" s="32" t="s">
        <v>71</v>
      </c>
      <c r="AB11" s="32" t="s">
        <v>183</v>
      </c>
      <c r="AC11" s="43" t="s">
        <v>184</v>
      </c>
      <c r="AD11" s="25"/>
      <c r="AE11" s="25"/>
      <c r="AF11" s="25"/>
      <c r="AG11" s="25"/>
      <c r="AH11" s="25"/>
    </row>
    <row r="12" spans="1:34" ht="17" customHeight="1">
      <c r="A12" s="25"/>
      <c r="B12" s="25"/>
      <c r="C12" s="31" t="s">
        <v>83</v>
      </c>
      <c r="D12" s="31" t="s">
        <v>84</v>
      </c>
      <c r="E12" s="31">
        <v>80</v>
      </c>
      <c r="F12" s="32">
        <v>0</v>
      </c>
      <c r="G12" s="31">
        <v>0</v>
      </c>
      <c r="H12" s="31">
        <v>0</v>
      </c>
      <c r="I12" s="23">
        <v>80</v>
      </c>
      <c r="J12" s="32">
        <v>3</v>
      </c>
      <c r="K12" s="33" t="s">
        <v>176</v>
      </c>
      <c r="L12" s="33">
        <v>-1.477832512315274E-2</v>
      </c>
      <c r="M12" s="32" t="s">
        <v>71</v>
      </c>
      <c r="N12" s="32" t="s">
        <v>177</v>
      </c>
      <c r="O12" s="42" t="s">
        <v>178</v>
      </c>
      <c r="P12" s="41"/>
      <c r="Q12" s="32" t="s">
        <v>83</v>
      </c>
      <c r="R12" s="32" t="s">
        <v>84</v>
      </c>
      <c r="S12" s="31">
        <v>81.8</v>
      </c>
      <c r="T12" s="32">
        <v>0</v>
      </c>
      <c r="U12" s="32">
        <v>0</v>
      </c>
      <c r="V12" s="32">
        <v>0</v>
      </c>
      <c r="W12" s="23">
        <v>81.8</v>
      </c>
      <c r="X12" s="32">
        <v>8</v>
      </c>
      <c r="Y12" s="32" t="s">
        <v>144</v>
      </c>
      <c r="Z12" s="33">
        <v>4.8717948717948677E-2</v>
      </c>
      <c r="AA12" s="32" t="s">
        <v>71</v>
      </c>
      <c r="AB12" s="32" t="s">
        <v>179</v>
      </c>
      <c r="AC12" s="32" t="s">
        <v>113</v>
      </c>
      <c r="AD12" s="25"/>
      <c r="AE12" s="25"/>
      <c r="AF12" s="25"/>
      <c r="AG12" s="25"/>
      <c r="AH12" s="25"/>
    </row>
    <row r="13" spans="1:34" ht="17" customHeight="1">
      <c r="A13" s="25"/>
      <c r="B13" s="25"/>
      <c r="C13" s="31" t="s">
        <v>85</v>
      </c>
      <c r="D13" s="31" t="s">
        <v>86</v>
      </c>
      <c r="E13" s="31">
        <v>73.400000000000006</v>
      </c>
      <c r="F13" s="32">
        <v>0</v>
      </c>
      <c r="G13" s="31">
        <v>0</v>
      </c>
      <c r="H13" s="31">
        <v>0</v>
      </c>
      <c r="I13" s="23">
        <v>73.400000000000006</v>
      </c>
      <c r="J13" s="32">
        <v>8</v>
      </c>
      <c r="K13" s="33" t="s">
        <v>144</v>
      </c>
      <c r="L13" s="33">
        <v>-0.1167268351383874</v>
      </c>
      <c r="M13" s="32" t="s">
        <v>180</v>
      </c>
      <c r="N13" s="32" t="s">
        <v>181</v>
      </c>
      <c r="O13" s="32" t="s">
        <v>113</v>
      </c>
      <c r="P13" s="41"/>
      <c r="Q13" s="32" t="s">
        <v>85</v>
      </c>
      <c r="R13" s="32" t="s">
        <v>86</v>
      </c>
      <c r="S13" s="31">
        <v>85</v>
      </c>
      <c r="T13" s="32">
        <v>0</v>
      </c>
      <c r="U13" s="32">
        <v>0</v>
      </c>
      <c r="V13" s="32">
        <v>0</v>
      </c>
      <c r="W13" s="23">
        <v>85</v>
      </c>
      <c r="X13" s="32">
        <v>4</v>
      </c>
      <c r="Y13" s="32" t="s">
        <v>144</v>
      </c>
      <c r="Z13" s="33">
        <v>8.6956521739130391E-2</v>
      </c>
      <c r="AA13" s="32" t="s">
        <v>71</v>
      </c>
      <c r="AB13" s="32" t="s">
        <v>179</v>
      </c>
      <c r="AC13" s="32" t="s">
        <v>113</v>
      </c>
      <c r="AD13" s="25"/>
      <c r="AE13" s="25"/>
      <c r="AF13" s="25"/>
      <c r="AG13" s="25"/>
      <c r="AH13" s="25"/>
    </row>
    <row r="14" spans="1:34">
      <c r="A14" s="25"/>
      <c r="B14" s="25"/>
      <c r="C14" s="31" t="s">
        <v>88</v>
      </c>
      <c r="D14" s="31" t="s">
        <v>89</v>
      </c>
      <c r="E14" s="31">
        <v>74.3</v>
      </c>
      <c r="F14" s="32">
        <v>0</v>
      </c>
      <c r="G14" s="31">
        <v>0</v>
      </c>
      <c r="H14" s="31">
        <v>0</v>
      </c>
      <c r="I14" s="23">
        <v>74.3</v>
      </c>
      <c r="J14" s="32">
        <v>7</v>
      </c>
      <c r="K14" s="33" t="s">
        <v>144</v>
      </c>
      <c r="L14" s="33">
        <v>-6.3051702395964693E-2</v>
      </c>
      <c r="M14" s="32" t="s">
        <v>71</v>
      </c>
      <c r="N14" s="32" t="s">
        <v>179</v>
      </c>
      <c r="O14" s="32" t="s">
        <v>113</v>
      </c>
      <c r="P14" s="41"/>
      <c r="Q14" s="32" t="s">
        <v>88</v>
      </c>
      <c r="R14" s="32" t="s">
        <v>89</v>
      </c>
      <c r="S14" s="31">
        <v>83.7</v>
      </c>
      <c r="T14" s="32">
        <v>0</v>
      </c>
      <c r="U14" s="32">
        <v>0</v>
      </c>
      <c r="V14" s="32">
        <v>0</v>
      </c>
      <c r="W14" s="23">
        <v>83.7</v>
      </c>
      <c r="X14" s="32">
        <v>6</v>
      </c>
      <c r="Y14" s="32" t="s">
        <v>144</v>
      </c>
      <c r="Z14" s="33">
        <v>0.1497252747252748</v>
      </c>
      <c r="AA14" s="32" t="s">
        <v>94</v>
      </c>
      <c r="AB14" s="32" t="s">
        <v>186</v>
      </c>
      <c r="AC14" s="32" t="s">
        <v>113</v>
      </c>
      <c r="AD14" s="25"/>
      <c r="AE14" s="25"/>
      <c r="AF14" s="25"/>
      <c r="AG14" s="25"/>
      <c r="AH14" s="25"/>
    </row>
    <row r="15" spans="1:34">
      <c r="A15" s="25"/>
      <c r="B15" s="25"/>
      <c r="C15" s="31" t="s">
        <v>90</v>
      </c>
      <c r="D15" s="31" t="s">
        <v>91</v>
      </c>
      <c r="E15" s="31">
        <v>68.2</v>
      </c>
      <c r="F15" s="32">
        <v>0</v>
      </c>
      <c r="G15" s="31">
        <v>0</v>
      </c>
      <c r="H15" s="31">
        <v>0</v>
      </c>
      <c r="I15" s="23">
        <v>68.2</v>
      </c>
      <c r="J15" s="32">
        <v>10</v>
      </c>
      <c r="K15" s="33" t="s">
        <v>182</v>
      </c>
      <c r="L15" s="33">
        <v>0.10714285714285721</v>
      </c>
      <c r="M15" s="32" t="s">
        <v>94</v>
      </c>
      <c r="N15" s="32" t="s">
        <v>187</v>
      </c>
      <c r="O15" s="43" t="s">
        <v>184</v>
      </c>
      <c r="P15" s="41"/>
      <c r="Q15" s="32" t="s">
        <v>90</v>
      </c>
      <c r="R15" s="32" t="s">
        <v>91</v>
      </c>
      <c r="S15" s="31">
        <v>80.400000000000006</v>
      </c>
      <c r="T15" s="32">
        <v>0</v>
      </c>
      <c r="U15" s="32">
        <v>0</v>
      </c>
      <c r="V15" s="32">
        <v>0</v>
      </c>
      <c r="W15" s="23">
        <v>80.400000000000006</v>
      </c>
      <c r="X15" s="32">
        <v>11</v>
      </c>
      <c r="Y15" s="32" t="s">
        <v>182</v>
      </c>
      <c r="Z15" s="33">
        <v>-3.9426523297491002E-2</v>
      </c>
      <c r="AA15" s="32" t="s">
        <v>71</v>
      </c>
      <c r="AB15" s="32" t="s">
        <v>183</v>
      </c>
      <c r="AC15" s="43" t="s">
        <v>184</v>
      </c>
      <c r="AD15" s="25"/>
      <c r="AE15" s="25"/>
      <c r="AF15" s="25"/>
      <c r="AG15" s="25"/>
      <c r="AH15" s="25"/>
    </row>
    <row r="16" spans="1:34">
      <c r="A16" s="25"/>
      <c r="B16" s="25"/>
      <c r="C16" s="32" t="s">
        <v>92</v>
      </c>
      <c r="D16" s="32" t="s">
        <v>93</v>
      </c>
      <c r="E16" s="31">
        <v>59.6</v>
      </c>
      <c r="F16" s="32">
        <v>0</v>
      </c>
      <c r="G16" s="32">
        <v>0</v>
      </c>
      <c r="H16" s="32">
        <v>0</v>
      </c>
      <c r="I16" s="23">
        <v>59.6</v>
      </c>
      <c r="J16" s="32">
        <v>11</v>
      </c>
      <c r="K16" s="32" t="s">
        <v>182</v>
      </c>
      <c r="L16" s="33">
        <v>7.9710144927536197E-2</v>
      </c>
      <c r="M16" s="32" t="s">
        <v>71</v>
      </c>
      <c r="N16" s="32" t="s">
        <v>183</v>
      </c>
      <c r="O16" s="43" t="s">
        <v>184</v>
      </c>
      <c r="P16" s="41"/>
      <c r="Q16" s="32" t="s">
        <v>92</v>
      </c>
      <c r="R16" s="32" t="s">
        <v>93</v>
      </c>
      <c r="S16" s="31">
        <v>88.5</v>
      </c>
      <c r="T16" s="32">
        <v>0</v>
      </c>
      <c r="U16" s="32">
        <v>0</v>
      </c>
      <c r="V16" s="32">
        <v>0</v>
      </c>
      <c r="W16" s="23">
        <v>88.5</v>
      </c>
      <c r="X16" s="32">
        <v>2</v>
      </c>
      <c r="Y16" s="32" t="s">
        <v>176</v>
      </c>
      <c r="Z16" s="33">
        <v>0.18473895582329311</v>
      </c>
      <c r="AA16" s="32" t="s">
        <v>94</v>
      </c>
      <c r="AB16" s="32" t="s">
        <v>188</v>
      </c>
      <c r="AC16" s="42" t="s">
        <v>178</v>
      </c>
      <c r="AD16" s="25"/>
      <c r="AE16" s="25"/>
      <c r="AF16" s="25"/>
      <c r="AG16" s="25"/>
      <c r="AH16" s="25"/>
    </row>
    <row r="17" spans="1:34">
      <c r="A17" s="25"/>
      <c r="B17" s="25"/>
      <c r="C17" s="41"/>
      <c r="D17" s="41"/>
      <c r="E17" s="41"/>
      <c r="F17" s="41"/>
      <c r="G17" s="41"/>
      <c r="H17" s="41"/>
      <c r="I17" s="41"/>
      <c r="J17" s="41"/>
      <c r="K17" s="41"/>
      <c r="L17" s="41"/>
      <c r="M17" s="41"/>
      <c r="N17" s="41"/>
      <c r="O17" s="41"/>
      <c r="P17" s="41"/>
      <c r="Q17" s="41"/>
      <c r="R17" s="41"/>
      <c r="S17" s="41"/>
      <c r="T17" s="41"/>
      <c r="U17" s="41"/>
      <c r="V17" s="41"/>
      <c r="W17" s="41"/>
      <c r="X17" s="41"/>
      <c r="Y17" s="41"/>
      <c r="Z17" s="41"/>
      <c r="AA17" s="41"/>
      <c r="AB17" s="41"/>
      <c r="AC17" s="41"/>
      <c r="AD17" s="25"/>
      <c r="AE17" s="25"/>
      <c r="AF17" s="25"/>
      <c r="AG17" s="25"/>
      <c r="AH17" s="25"/>
    </row>
    <row r="18" spans="1:34" ht="15">
      <c r="A18" s="34" t="s">
        <v>189</v>
      </c>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row>
    <row r="19" spans="1:34" ht="16" customHeight="1">
      <c r="A19" s="35" t="s">
        <v>190</v>
      </c>
      <c r="B19" s="25"/>
      <c r="C19" s="25"/>
      <c r="D19" s="25"/>
      <c r="E19" s="25"/>
      <c r="F19" s="35" t="s">
        <v>191</v>
      </c>
      <c r="G19" s="25"/>
      <c r="H19" s="25"/>
      <c r="I19" s="25"/>
      <c r="J19" s="25"/>
      <c r="K19" s="25"/>
      <c r="L19" s="25"/>
      <c r="M19" s="25"/>
      <c r="N19" s="25"/>
      <c r="O19" s="25"/>
      <c r="P19" s="25"/>
      <c r="Q19" s="25"/>
      <c r="R19" s="25"/>
      <c r="S19" s="25"/>
      <c r="T19" s="25"/>
      <c r="U19" s="25"/>
      <c r="V19" s="25"/>
      <c r="W19" s="25"/>
      <c r="X19" s="25"/>
      <c r="Y19" s="25"/>
      <c r="Z19" s="25"/>
      <c r="AA19" s="25"/>
      <c r="AB19" s="25"/>
      <c r="AC19" s="25"/>
      <c r="AD19" s="25"/>
      <c r="AE19" s="25"/>
      <c r="AF19" s="25"/>
      <c r="AG19" s="25"/>
      <c r="AH19" s="25"/>
    </row>
    <row r="20" spans="1:34" ht="17" customHeight="1">
      <c r="A20" s="32" t="s">
        <v>188</v>
      </c>
      <c r="B20" s="32" t="s">
        <v>192</v>
      </c>
      <c r="C20" s="32">
        <v>0</v>
      </c>
      <c r="D20" s="25"/>
      <c r="E20" s="25"/>
      <c r="F20" s="32" t="s">
        <v>188</v>
      </c>
      <c r="G20" s="32" t="s">
        <v>192</v>
      </c>
      <c r="H20" s="32">
        <v>1</v>
      </c>
      <c r="I20" s="25"/>
      <c r="J20" s="25"/>
      <c r="K20" s="25"/>
      <c r="L20" s="25"/>
      <c r="M20" s="25"/>
      <c r="N20" s="25"/>
      <c r="O20" s="25"/>
      <c r="P20" s="25"/>
      <c r="Q20" s="25"/>
      <c r="R20" s="25"/>
      <c r="S20" s="25"/>
      <c r="T20" s="25"/>
      <c r="U20" s="25"/>
      <c r="V20" s="25"/>
      <c r="W20" s="25"/>
      <c r="X20" s="25"/>
      <c r="Y20" s="25"/>
      <c r="Z20" s="25"/>
      <c r="AA20" s="25"/>
      <c r="AB20" s="25"/>
      <c r="AC20" s="25"/>
      <c r="AD20" s="25"/>
      <c r="AE20" s="25"/>
      <c r="AF20" s="25"/>
      <c r="AG20" s="25"/>
      <c r="AH20" s="25"/>
    </row>
    <row r="21" spans="1:34">
      <c r="A21" s="32" t="s">
        <v>177</v>
      </c>
      <c r="B21" s="32" t="s">
        <v>193</v>
      </c>
      <c r="C21" s="32">
        <v>3</v>
      </c>
      <c r="D21" s="25"/>
      <c r="E21" s="25"/>
      <c r="F21" s="32" t="s">
        <v>177</v>
      </c>
      <c r="G21" s="32" t="s">
        <v>193</v>
      </c>
      <c r="H21" s="32">
        <v>2</v>
      </c>
      <c r="I21" s="25"/>
      <c r="J21" s="25"/>
      <c r="K21" s="25"/>
      <c r="L21" s="25"/>
      <c r="M21" s="25"/>
      <c r="N21" s="25"/>
      <c r="O21" s="25"/>
      <c r="P21" s="25"/>
      <c r="Q21" s="25"/>
      <c r="R21" s="25"/>
      <c r="S21" s="25"/>
      <c r="T21" s="25"/>
      <c r="U21" s="25"/>
      <c r="V21" s="25"/>
      <c r="W21" s="25"/>
      <c r="X21" s="25"/>
      <c r="Y21" s="25"/>
      <c r="Z21" s="25"/>
      <c r="AA21" s="25"/>
      <c r="AB21" s="25"/>
      <c r="AC21" s="25"/>
      <c r="AD21" s="25"/>
      <c r="AE21" s="25"/>
      <c r="AF21" s="25"/>
      <c r="AG21" s="25"/>
      <c r="AH21" s="25"/>
    </row>
    <row r="22" spans="1:34">
      <c r="A22" s="32" t="s">
        <v>194</v>
      </c>
      <c r="B22" s="32" t="s">
        <v>195</v>
      </c>
      <c r="C22" s="32">
        <v>0</v>
      </c>
      <c r="D22" s="25"/>
      <c r="E22" s="25"/>
      <c r="F22" s="32" t="s">
        <v>194</v>
      </c>
      <c r="G22" s="32" t="s">
        <v>195</v>
      </c>
      <c r="H22" s="32">
        <v>0</v>
      </c>
      <c r="I22" s="25"/>
      <c r="J22" s="25"/>
      <c r="K22" s="25"/>
      <c r="L22" s="25"/>
      <c r="M22" s="25"/>
      <c r="N22" s="25"/>
      <c r="O22" s="25"/>
      <c r="P22" s="25"/>
      <c r="Q22" s="25"/>
      <c r="R22" s="25"/>
      <c r="S22" s="25"/>
      <c r="T22" s="25"/>
      <c r="U22" s="25"/>
      <c r="V22" s="25"/>
      <c r="W22" s="25"/>
      <c r="X22" s="25"/>
      <c r="Y22" s="25"/>
      <c r="Z22" s="25"/>
      <c r="AA22" s="25"/>
      <c r="AB22" s="25"/>
      <c r="AC22" s="25"/>
      <c r="AD22" s="25"/>
      <c r="AE22" s="25"/>
      <c r="AF22" s="25"/>
      <c r="AG22" s="25"/>
      <c r="AH22" s="25"/>
    </row>
    <row r="23" spans="1:34">
      <c r="A23" s="32" t="s">
        <v>186</v>
      </c>
      <c r="B23" s="32" t="s">
        <v>196</v>
      </c>
      <c r="C23" s="32">
        <v>0</v>
      </c>
      <c r="D23" s="25"/>
      <c r="E23" s="25"/>
      <c r="F23" s="32" t="s">
        <v>186</v>
      </c>
      <c r="G23" s="32" t="s">
        <v>196</v>
      </c>
      <c r="H23" s="32">
        <v>1</v>
      </c>
      <c r="I23" s="25"/>
      <c r="J23" s="25"/>
      <c r="K23" s="25"/>
      <c r="L23" s="25"/>
      <c r="M23" s="25"/>
      <c r="N23" s="25"/>
      <c r="O23" s="25"/>
      <c r="P23" s="25"/>
      <c r="Q23" s="25"/>
      <c r="R23" s="25"/>
      <c r="S23" s="25"/>
      <c r="T23" s="25"/>
      <c r="U23" s="25"/>
      <c r="V23" s="25"/>
      <c r="W23" s="25"/>
      <c r="X23" s="25"/>
      <c r="Y23" s="25"/>
      <c r="Z23" s="25"/>
      <c r="AA23" s="25"/>
      <c r="AB23" s="25"/>
      <c r="AC23" s="25"/>
      <c r="AD23" s="25"/>
      <c r="AE23" s="25"/>
      <c r="AF23" s="25"/>
      <c r="AG23" s="25"/>
      <c r="AH23" s="25"/>
    </row>
    <row r="24" spans="1:34">
      <c r="A24" s="32" t="s">
        <v>179</v>
      </c>
      <c r="B24" s="32" t="s">
        <v>197</v>
      </c>
      <c r="C24" s="32">
        <v>3</v>
      </c>
      <c r="D24" s="25"/>
      <c r="E24" s="25"/>
      <c r="F24" s="32" t="s">
        <v>179</v>
      </c>
      <c r="G24" s="32" t="s">
        <v>197</v>
      </c>
      <c r="H24" s="32">
        <v>4</v>
      </c>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25"/>
    </row>
    <row r="25" spans="1:34">
      <c r="A25" s="32" t="s">
        <v>181</v>
      </c>
      <c r="B25" s="32" t="s">
        <v>198</v>
      </c>
      <c r="C25" s="32">
        <v>2</v>
      </c>
      <c r="D25" s="25"/>
      <c r="E25" s="25"/>
      <c r="F25" s="32" t="s">
        <v>181</v>
      </c>
      <c r="G25" s="32" t="s">
        <v>198</v>
      </c>
      <c r="H25" s="32">
        <v>0</v>
      </c>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row>
    <row r="26" spans="1:34">
      <c r="A26" s="32" t="s">
        <v>187</v>
      </c>
      <c r="B26" s="32" t="s">
        <v>199</v>
      </c>
      <c r="C26" s="32">
        <v>1</v>
      </c>
      <c r="D26" s="25"/>
      <c r="E26" s="25"/>
      <c r="F26" s="32" t="s">
        <v>187</v>
      </c>
      <c r="G26" s="32" t="s">
        <v>199</v>
      </c>
      <c r="H26" s="32">
        <v>0</v>
      </c>
      <c r="I26" s="25"/>
      <c r="J26" s="25"/>
      <c r="K26" s="25"/>
      <c r="L26" s="25"/>
      <c r="M26" s="25"/>
      <c r="N26" s="25"/>
      <c r="O26" s="25"/>
      <c r="P26" s="25"/>
      <c r="Q26" s="25"/>
      <c r="R26" s="25"/>
      <c r="S26" s="25"/>
      <c r="T26" s="25"/>
      <c r="U26" s="25"/>
      <c r="V26" s="25"/>
      <c r="W26" s="25"/>
      <c r="X26" s="25"/>
      <c r="Y26" s="25"/>
      <c r="Z26" s="25"/>
      <c r="AA26" s="25"/>
      <c r="AB26" s="25"/>
      <c r="AC26" s="25"/>
      <c r="AD26" s="25"/>
      <c r="AE26" s="25"/>
      <c r="AF26" s="25"/>
      <c r="AG26" s="25"/>
      <c r="AH26" s="25"/>
    </row>
    <row r="27" spans="1:34">
      <c r="A27" s="32" t="s">
        <v>183</v>
      </c>
      <c r="B27" s="32" t="s">
        <v>200</v>
      </c>
      <c r="C27" s="32">
        <v>1</v>
      </c>
      <c r="D27" s="25"/>
      <c r="E27" s="25"/>
      <c r="F27" s="32" t="s">
        <v>183</v>
      </c>
      <c r="G27" s="32" t="s">
        <v>200</v>
      </c>
      <c r="H27" s="32">
        <v>3</v>
      </c>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row>
    <row r="28" spans="1:34">
      <c r="A28" s="32" t="s">
        <v>185</v>
      </c>
      <c r="B28" s="32" t="s">
        <v>201</v>
      </c>
      <c r="C28" s="32">
        <v>1</v>
      </c>
      <c r="D28" s="25"/>
      <c r="E28" s="25"/>
      <c r="F28" s="32" t="s">
        <v>185</v>
      </c>
      <c r="G28" s="32" t="s">
        <v>201</v>
      </c>
      <c r="H28" s="32">
        <v>0</v>
      </c>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c r="AH28" s="25"/>
    </row>
    <row r="29" spans="1:34">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row>
    <row r="30" spans="1:34">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row>
    <row r="31" spans="1:34">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row>
    <row r="32" spans="1:34">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c r="AA32" s="25"/>
      <c r="AB32" s="25"/>
      <c r="AC32" s="25"/>
      <c r="AD32" s="25"/>
      <c r="AE32" s="25"/>
      <c r="AF32" s="25"/>
      <c r="AG32" s="25"/>
      <c r="AH32" s="25"/>
    </row>
    <row r="33" spans="1:34">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row>
    <row r="34" spans="1:34">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c r="AA34" s="25"/>
      <c r="AB34" s="25"/>
      <c r="AC34" s="25"/>
      <c r="AD34" s="25"/>
      <c r="AE34" s="25"/>
      <c r="AF34" s="25"/>
      <c r="AG34" s="25"/>
      <c r="AH34" s="25"/>
    </row>
  </sheetData>
  <phoneticPr fontId="14" type="noConversion"/>
  <conditionalFormatting sqref="N5:N15">
    <cfRule type="expression" dxfId="2" priority="1">
      <formula>LEFT(N5,1)="A"</formula>
    </cfRule>
    <cfRule type="expression" dxfId="1" priority="2">
      <formula>LEFT(N5,1)="B"</formula>
    </cfRule>
    <cfRule type="expression" dxfId="0" priority="3">
      <formula>LEFT(N5,1)="C"</formula>
    </cfRule>
  </conditionalFormatting>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29"/>
  <sheetViews>
    <sheetView workbookViewId="0">
      <selection activeCell="E24" sqref="E24"/>
    </sheetView>
  </sheetViews>
  <sheetFormatPr baseColWidth="10" defaultColWidth="8.83203125" defaultRowHeight="14"/>
  <cols>
    <col min="1" max="19" width="16" customWidth="1"/>
  </cols>
  <sheetData>
    <row r="1" spans="1:19" ht="21" customHeight="1">
      <c r="A1" s="44" t="s">
        <v>202</v>
      </c>
      <c r="B1" s="45"/>
      <c r="C1" s="45"/>
      <c r="D1" s="45"/>
      <c r="E1" s="45"/>
      <c r="F1" s="45"/>
      <c r="G1" s="45"/>
      <c r="H1" s="45"/>
      <c r="I1" s="45"/>
      <c r="J1" s="44" t="s">
        <v>203</v>
      </c>
      <c r="K1" s="45"/>
      <c r="L1" s="45"/>
      <c r="M1" s="45"/>
      <c r="N1" s="45"/>
      <c r="O1" s="45"/>
      <c r="P1" s="45"/>
      <c r="Q1" s="45"/>
      <c r="R1" s="45"/>
      <c r="S1" s="45"/>
    </row>
    <row r="2" spans="1:19" ht="15" customHeight="1">
      <c r="A2" s="45"/>
      <c r="B2" s="45"/>
      <c r="C2" s="45"/>
      <c r="D2" s="45"/>
      <c r="E2" s="45"/>
      <c r="F2" s="45"/>
      <c r="G2" s="45"/>
      <c r="H2" s="45"/>
      <c r="I2" s="45"/>
      <c r="J2" s="45"/>
      <c r="K2" s="45"/>
      <c r="L2" s="45"/>
      <c r="M2" s="45"/>
      <c r="N2" s="45"/>
      <c r="O2" s="45"/>
      <c r="P2" s="45"/>
      <c r="Q2" s="45"/>
      <c r="R2" s="45"/>
      <c r="S2" s="45"/>
    </row>
    <row r="3" spans="1:19" ht="18" customHeight="1">
      <c r="A3" s="46" t="s">
        <v>204</v>
      </c>
      <c r="B3" s="45"/>
      <c r="C3" s="45"/>
      <c r="D3" s="45"/>
      <c r="E3" s="45"/>
      <c r="F3" s="45"/>
      <c r="G3" s="45"/>
      <c r="H3" s="45"/>
      <c r="I3" s="45"/>
      <c r="J3" s="46" t="s">
        <v>204</v>
      </c>
      <c r="K3" s="45"/>
      <c r="L3" s="45"/>
      <c r="M3" s="45"/>
      <c r="N3" s="45"/>
      <c r="O3" s="45"/>
      <c r="P3" s="45"/>
      <c r="Q3" s="45"/>
      <c r="R3" s="45"/>
      <c r="S3" s="45"/>
    </row>
    <row r="4" spans="1:19" ht="18" customHeight="1">
      <c r="A4" s="29" t="s">
        <v>51</v>
      </c>
      <c r="B4" s="29" t="s">
        <v>170</v>
      </c>
      <c r="C4" s="29" t="s">
        <v>173</v>
      </c>
      <c r="D4" s="29" t="s">
        <v>39</v>
      </c>
      <c r="E4" s="29" t="s">
        <v>205</v>
      </c>
      <c r="F4" s="29" t="s">
        <v>206</v>
      </c>
      <c r="G4" s="29" t="s">
        <v>207</v>
      </c>
      <c r="H4" s="45"/>
      <c r="I4" s="45"/>
      <c r="J4" s="29" t="s">
        <v>51</v>
      </c>
      <c r="K4" s="29" t="s">
        <v>170</v>
      </c>
      <c r="L4" s="29" t="s">
        <v>173</v>
      </c>
      <c r="M4" s="29" t="s">
        <v>39</v>
      </c>
      <c r="N4" s="29" t="s">
        <v>205</v>
      </c>
      <c r="O4" s="29" t="s">
        <v>206</v>
      </c>
      <c r="P4" s="29" t="s">
        <v>207</v>
      </c>
      <c r="Q4" s="45"/>
      <c r="R4" s="45"/>
      <c r="S4" s="45"/>
    </row>
    <row r="5" spans="1:19">
      <c r="A5" s="32" t="s">
        <v>70</v>
      </c>
      <c r="B5" s="31">
        <v>92.7</v>
      </c>
      <c r="C5" s="32" t="s">
        <v>177</v>
      </c>
      <c r="D5" s="32" t="s">
        <v>72</v>
      </c>
      <c r="E5" s="50"/>
      <c r="F5" s="50"/>
      <c r="G5" s="50"/>
      <c r="H5" s="45"/>
      <c r="I5" s="45"/>
      <c r="J5" s="32" t="s">
        <v>70</v>
      </c>
      <c r="K5" s="31">
        <v>92</v>
      </c>
      <c r="L5" s="32" t="s">
        <v>177</v>
      </c>
      <c r="M5" s="32" t="s">
        <v>72</v>
      </c>
      <c r="N5" s="50"/>
      <c r="O5" s="50"/>
      <c r="P5" s="50"/>
      <c r="Q5" s="45"/>
      <c r="R5" s="45"/>
      <c r="S5" s="45"/>
    </row>
    <row r="6" spans="1:19">
      <c r="A6" s="32" t="s">
        <v>74</v>
      </c>
      <c r="B6" s="31">
        <v>84.9</v>
      </c>
      <c r="C6" s="32" t="s">
        <v>177</v>
      </c>
      <c r="D6" s="32" t="s">
        <v>72</v>
      </c>
      <c r="E6" s="50"/>
      <c r="F6" s="50"/>
      <c r="G6" s="50"/>
      <c r="H6" s="45"/>
      <c r="I6" s="45"/>
      <c r="J6" s="32" t="s">
        <v>76</v>
      </c>
      <c r="K6" s="31">
        <v>87.4</v>
      </c>
      <c r="L6" s="32" t="s">
        <v>177</v>
      </c>
      <c r="M6" s="32" t="s">
        <v>72</v>
      </c>
      <c r="N6" s="50"/>
      <c r="O6" s="50"/>
      <c r="P6" s="50"/>
      <c r="Q6" s="45"/>
      <c r="R6" s="45"/>
      <c r="S6" s="45"/>
    </row>
    <row r="7" spans="1:19">
      <c r="A7" s="32" t="s">
        <v>84</v>
      </c>
      <c r="B7" s="31">
        <v>80</v>
      </c>
      <c r="C7" s="32" t="s">
        <v>177</v>
      </c>
      <c r="D7" s="32" t="s">
        <v>72</v>
      </c>
      <c r="E7" s="50"/>
      <c r="F7" s="50"/>
      <c r="G7" s="50"/>
      <c r="H7" s="45"/>
      <c r="I7" s="45"/>
      <c r="J7" s="32" t="s">
        <v>93</v>
      </c>
      <c r="K7" s="31">
        <v>88.5</v>
      </c>
      <c r="L7" s="32" t="s">
        <v>188</v>
      </c>
      <c r="M7" s="32" t="s">
        <v>87</v>
      </c>
      <c r="N7" s="50"/>
      <c r="O7" s="50"/>
      <c r="P7" s="50"/>
      <c r="Q7" s="45"/>
      <c r="R7" s="45"/>
      <c r="S7" s="45"/>
    </row>
    <row r="8" spans="1:19">
      <c r="A8" s="45"/>
      <c r="B8" s="47"/>
      <c r="C8" s="45"/>
      <c r="D8" s="45"/>
      <c r="E8" s="45"/>
      <c r="F8" s="45"/>
      <c r="G8" s="45"/>
      <c r="H8" s="45"/>
      <c r="I8" s="45"/>
      <c r="J8" s="45"/>
      <c r="K8" s="45"/>
      <c r="L8" s="45"/>
      <c r="M8" s="45"/>
      <c r="N8" s="45"/>
      <c r="O8" s="45"/>
      <c r="P8" s="45"/>
      <c r="Q8" s="45"/>
      <c r="R8" s="45"/>
      <c r="S8" s="45"/>
    </row>
    <row r="9" spans="1:19">
      <c r="A9" s="45"/>
      <c r="B9" s="47"/>
      <c r="C9" s="45"/>
      <c r="D9" s="45"/>
      <c r="E9" s="45"/>
      <c r="F9" s="45"/>
      <c r="G9" s="45"/>
      <c r="H9" s="45"/>
      <c r="I9" s="45"/>
      <c r="J9" s="45"/>
      <c r="K9" s="45"/>
      <c r="L9" s="45"/>
      <c r="M9" s="45"/>
      <c r="N9" s="45"/>
      <c r="O9" s="45"/>
      <c r="P9" s="45"/>
      <c r="Q9" s="45"/>
      <c r="R9" s="45"/>
      <c r="S9" s="45"/>
    </row>
    <row r="10" spans="1:19">
      <c r="A10" s="45"/>
      <c r="B10" s="45"/>
      <c r="C10" s="45"/>
      <c r="D10" s="45"/>
      <c r="E10" s="45"/>
      <c r="F10" s="45"/>
      <c r="G10" s="45"/>
      <c r="H10" s="45"/>
      <c r="I10" s="45"/>
      <c r="J10" s="45"/>
      <c r="K10" s="45"/>
      <c r="L10" s="45"/>
      <c r="M10" s="45"/>
      <c r="N10" s="45"/>
      <c r="O10" s="45"/>
      <c r="P10" s="45"/>
      <c r="Q10" s="45"/>
      <c r="R10" s="45"/>
      <c r="S10" s="45"/>
    </row>
    <row r="11" spans="1:19" ht="18" customHeight="1">
      <c r="A11" s="48" t="s">
        <v>208</v>
      </c>
      <c r="B11" s="45"/>
      <c r="C11" s="45"/>
      <c r="D11" s="45"/>
      <c r="E11" s="45"/>
      <c r="F11" s="45"/>
      <c r="G11" s="45"/>
      <c r="H11" s="45"/>
      <c r="I11" s="45"/>
      <c r="J11" s="48" t="s">
        <v>208</v>
      </c>
      <c r="K11" s="45"/>
      <c r="L11" s="45"/>
      <c r="M11" s="45"/>
      <c r="N11" s="45"/>
      <c r="O11" s="45"/>
      <c r="P11" s="45"/>
      <c r="Q11" s="45"/>
      <c r="R11" s="45"/>
      <c r="S11" s="45"/>
    </row>
    <row r="12" spans="1:19" ht="18" customHeight="1">
      <c r="A12" s="29" t="s">
        <v>51</v>
      </c>
      <c r="B12" s="29" t="s">
        <v>170</v>
      </c>
      <c r="C12" s="29" t="s">
        <v>173</v>
      </c>
      <c r="D12" s="29" t="s">
        <v>39</v>
      </c>
      <c r="E12" s="29" t="s">
        <v>209</v>
      </c>
      <c r="F12" s="29" t="s">
        <v>210</v>
      </c>
      <c r="G12" s="29" t="s">
        <v>211</v>
      </c>
      <c r="H12" s="45"/>
      <c r="I12" s="45"/>
      <c r="J12" s="29" t="s">
        <v>51</v>
      </c>
      <c r="K12" s="29" t="s">
        <v>170</v>
      </c>
      <c r="L12" s="29" t="s">
        <v>173</v>
      </c>
      <c r="M12" s="29" t="s">
        <v>39</v>
      </c>
      <c r="N12" s="29" t="s">
        <v>209</v>
      </c>
      <c r="O12" s="29" t="s">
        <v>210</v>
      </c>
      <c r="P12" s="29" t="s">
        <v>211</v>
      </c>
      <c r="Q12" s="45"/>
      <c r="R12" s="45"/>
      <c r="S12" s="45"/>
    </row>
    <row r="13" spans="1:19">
      <c r="A13" s="32" t="s">
        <v>76</v>
      </c>
      <c r="B13" s="31">
        <v>79.5</v>
      </c>
      <c r="C13" s="32" t="s">
        <v>179</v>
      </c>
      <c r="D13" s="32" t="s">
        <v>72</v>
      </c>
      <c r="E13" s="50"/>
      <c r="F13" s="50"/>
      <c r="G13" s="50"/>
      <c r="H13" s="45"/>
      <c r="I13" s="45"/>
      <c r="J13" s="32" t="s">
        <v>74</v>
      </c>
      <c r="K13" s="31">
        <v>83.8</v>
      </c>
      <c r="L13" s="32" t="s">
        <v>179</v>
      </c>
      <c r="M13" s="32" t="s">
        <v>72</v>
      </c>
      <c r="N13" s="50"/>
      <c r="O13" s="50"/>
      <c r="P13" s="50"/>
      <c r="Q13" s="45"/>
      <c r="R13" s="45"/>
      <c r="S13" s="45"/>
    </row>
    <row r="14" spans="1:19">
      <c r="A14" s="32" t="s">
        <v>78</v>
      </c>
      <c r="B14" s="31">
        <v>77.2</v>
      </c>
      <c r="C14" s="32" t="s">
        <v>181</v>
      </c>
      <c r="D14" s="32" t="s">
        <v>72</v>
      </c>
      <c r="E14" s="50"/>
      <c r="F14" s="50"/>
      <c r="G14" s="50"/>
      <c r="H14" s="45"/>
      <c r="I14" s="45"/>
      <c r="J14" s="32" t="s">
        <v>78</v>
      </c>
      <c r="K14" s="31">
        <v>82.2</v>
      </c>
      <c r="L14" s="32" t="s">
        <v>179</v>
      </c>
      <c r="M14" s="32" t="s">
        <v>72</v>
      </c>
      <c r="N14" s="50"/>
      <c r="O14" s="50"/>
      <c r="P14" s="50"/>
      <c r="Q14" s="45"/>
      <c r="R14" s="45"/>
      <c r="S14" s="45"/>
    </row>
    <row r="15" spans="1:19">
      <c r="A15" s="32" t="s">
        <v>80</v>
      </c>
      <c r="B15" s="31">
        <v>74.5</v>
      </c>
      <c r="C15" s="32" t="s">
        <v>179</v>
      </c>
      <c r="D15" s="32" t="s">
        <v>72</v>
      </c>
      <c r="E15" s="50"/>
      <c r="F15" s="50"/>
      <c r="G15" s="50"/>
      <c r="H15" s="45"/>
      <c r="I15" s="45"/>
      <c r="J15" s="32" t="s">
        <v>84</v>
      </c>
      <c r="K15" s="31">
        <v>81.8</v>
      </c>
      <c r="L15" s="32" t="s">
        <v>179</v>
      </c>
      <c r="M15" s="32" t="s">
        <v>72</v>
      </c>
      <c r="N15" s="50"/>
      <c r="O15" s="50"/>
      <c r="P15" s="50"/>
      <c r="Q15" s="45"/>
      <c r="R15" s="45"/>
      <c r="S15" s="45"/>
    </row>
    <row r="16" spans="1:19">
      <c r="A16" s="32" t="s">
        <v>86</v>
      </c>
      <c r="B16" s="31">
        <v>73.400000000000006</v>
      </c>
      <c r="C16" s="32" t="s">
        <v>181</v>
      </c>
      <c r="D16" s="32" t="s">
        <v>87</v>
      </c>
      <c r="E16" s="50"/>
      <c r="F16" s="50"/>
      <c r="G16" s="50"/>
      <c r="H16" s="45"/>
      <c r="I16" s="45"/>
      <c r="J16" s="32" t="s">
        <v>86</v>
      </c>
      <c r="K16" s="31">
        <v>85</v>
      </c>
      <c r="L16" s="32" t="s">
        <v>179</v>
      </c>
      <c r="M16" s="32" t="s">
        <v>87</v>
      </c>
      <c r="N16" s="50"/>
      <c r="O16" s="50"/>
      <c r="P16" s="50"/>
      <c r="Q16" s="45"/>
      <c r="R16" s="45"/>
      <c r="S16" s="45"/>
    </row>
    <row r="17" spans="1:19">
      <c r="A17" s="32" t="s">
        <v>89</v>
      </c>
      <c r="B17" s="31">
        <v>74.3</v>
      </c>
      <c r="C17" s="32" t="s">
        <v>179</v>
      </c>
      <c r="D17" s="32" t="s">
        <v>72</v>
      </c>
      <c r="E17" s="50"/>
      <c r="F17" s="50"/>
      <c r="G17" s="50"/>
      <c r="H17" s="45"/>
      <c r="I17" s="45"/>
      <c r="J17" s="32" t="s">
        <v>89</v>
      </c>
      <c r="K17" s="31">
        <v>83.7</v>
      </c>
      <c r="L17" s="32" t="s">
        <v>186</v>
      </c>
      <c r="M17" s="32" t="s">
        <v>72</v>
      </c>
      <c r="N17" s="50"/>
      <c r="O17" s="50"/>
      <c r="P17" s="50"/>
      <c r="Q17" s="45"/>
      <c r="R17" s="45"/>
      <c r="S17" s="45"/>
    </row>
    <row r="18" spans="1:19">
      <c r="A18" s="45"/>
      <c r="B18" s="47"/>
      <c r="C18" s="45"/>
      <c r="D18" s="45"/>
      <c r="E18" s="45"/>
      <c r="F18" s="45"/>
      <c r="G18" s="45"/>
      <c r="H18" s="45"/>
      <c r="I18" s="45"/>
      <c r="J18" s="45"/>
      <c r="K18" s="45"/>
      <c r="L18" s="45"/>
      <c r="M18" s="45"/>
      <c r="N18" s="45"/>
      <c r="O18" s="45"/>
      <c r="P18" s="45"/>
      <c r="Q18" s="45"/>
      <c r="R18" s="45"/>
      <c r="S18" s="45"/>
    </row>
    <row r="19" spans="1:19" ht="18" customHeight="1">
      <c r="A19" s="45"/>
      <c r="B19" s="45"/>
      <c r="C19" s="45"/>
      <c r="D19" s="45"/>
      <c r="E19" s="45"/>
      <c r="F19" s="45"/>
      <c r="G19" s="45"/>
      <c r="H19" s="45"/>
      <c r="I19" s="45"/>
      <c r="J19" s="45"/>
      <c r="K19" s="45"/>
      <c r="L19" s="45"/>
      <c r="M19" s="45"/>
      <c r="N19" s="45"/>
      <c r="O19" s="45"/>
      <c r="P19" s="45"/>
      <c r="Q19" s="45"/>
      <c r="R19" s="45"/>
      <c r="S19" s="45"/>
    </row>
    <row r="20" spans="1:19" ht="18" customHeight="1">
      <c r="A20" s="49" t="s">
        <v>212</v>
      </c>
      <c r="B20" s="45"/>
      <c r="C20" s="45"/>
      <c r="D20" s="45"/>
      <c r="E20" s="45"/>
      <c r="F20" s="45"/>
      <c r="G20" s="45"/>
      <c r="H20" s="45"/>
      <c r="I20" s="45"/>
      <c r="J20" s="49" t="s">
        <v>212</v>
      </c>
      <c r="K20" s="45"/>
      <c r="L20" s="45"/>
      <c r="M20" s="45"/>
      <c r="N20" s="45"/>
      <c r="O20" s="45"/>
      <c r="P20" s="45"/>
      <c r="Q20" s="45"/>
      <c r="R20" s="45"/>
      <c r="S20" s="45"/>
    </row>
    <row r="21" spans="1:19">
      <c r="A21" s="29" t="s">
        <v>51</v>
      </c>
      <c r="B21" s="28" t="s">
        <v>170</v>
      </c>
      <c r="C21" s="29" t="s">
        <v>173</v>
      </c>
      <c r="D21" s="29" t="s">
        <v>39</v>
      </c>
      <c r="E21" s="29" t="s">
        <v>213</v>
      </c>
      <c r="F21" s="29" t="s">
        <v>214</v>
      </c>
      <c r="G21" s="29" t="s">
        <v>215</v>
      </c>
      <c r="H21" s="45"/>
      <c r="I21" s="45"/>
      <c r="J21" s="29" t="s">
        <v>51</v>
      </c>
      <c r="K21" s="29" t="s">
        <v>170</v>
      </c>
      <c r="L21" s="29" t="s">
        <v>173</v>
      </c>
      <c r="M21" s="29" t="s">
        <v>39</v>
      </c>
      <c r="N21" s="29" t="s">
        <v>213</v>
      </c>
      <c r="O21" s="29" t="s">
        <v>214</v>
      </c>
      <c r="P21" s="29" t="s">
        <v>215</v>
      </c>
      <c r="Q21" s="45"/>
      <c r="R21" s="45"/>
      <c r="S21" s="45"/>
    </row>
    <row r="22" spans="1:19">
      <c r="A22" s="32" t="s">
        <v>82</v>
      </c>
      <c r="B22" s="31">
        <v>71.5</v>
      </c>
      <c r="C22" s="32" t="s">
        <v>185</v>
      </c>
      <c r="D22" s="32" t="s">
        <v>72</v>
      </c>
      <c r="E22" s="50"/>
      <c r="F22" s="50"/>
      <c r="G22" s="50"/>
      <c r="H22" s="45"/>
      <c r="I22" s="45"/>
      <c r="J22" s="32" t="s">
        <v>80</v>
      </c>
      <c r="K22" s="31">
        <v>80.7</v>
      </c>
      <c r="L22" s="32" t="s">
        <v>183</v>
      </c>
      <c r="M22" s="32" t="s">
        <v>72</v>
      </c>
      <c r="N22" s="50"/>
      <c r="O22" s="50"/>
      <c r="P22" s="50"/>
      <c r="Q22" s="45"/>
      <c r="R22" s="45"/>
      <c r="S22" s="45"/>
    </row>
    <row r="23" spans="1:19">
      <c r="A23" s="32" t="s">
        <v>91</v>
      </c>
      <c r="B23" s="31">
        <v>68.2</v>
      </c>
      <c r="C23" s="32" t="s">
        <v>187</v>
      </c>
      <c r="D23" s="32" t="s">
        <v>87</v>
      </c>
      <c r="E23" s="50"/>
      <c r="F23" s="50"/>
      <c r="G23" s="50"/>
      <c r="H23" s="45"/>
      <c r="I23" s="45"/>
      <c r="J23" s="32" t="s">
        <v>82</v>
      </c>
      <c r="K23" s="31">
        <v>81.3</v>
      </c>
      <c r="L23" s="32" t="s">
        <v>183</v>
      </c>
      <c r="M23" s="32" t="s">
        <v>72</v>
      </c>
      <c r="N23" s="50"/>
      <c r="O23" s="50"/>
      <c r="P23" s="50"/>
      <c r="Q23" s="45"/>
      <c r="R23" s="45"/>
      <c r="S23" s="45"/>
    </row>
    <row r="24" spans="1:19">
      <c r="A24" s="32" t="s">
        <v>93</v>
      </c>
      <c r="B24" s="31">
        <v>59.6</v>
      </c>
      <c r="C24" s="32" t="s">
        <v>183</v>
      </c>
      <c r="D24" s="32" t="s">
        <v>87</v>
      </c>
      <c r="E24" s="50"/>
      <c r="F24" s="50"/>
      <c r="G24" s="50"/>
      <c r="H24" s="45"/>
      <c r="I24" s="45"/>
      <c r="J24" s="32" t="s">
        <v>91</v>
      </c>
      <c r="K24" s="31">
        <v>80.400000000000006</v>
      </c>
      <c r="L24" s="32" t="s">
        <v>183</v>
      </c>
      <c r="M24" s="32" t="s">
        <v>87</v>
      </c>
      <c r="N24" s="50"/>
      <c r="O24" s="50"/>
      <c r="P24" s="50"/>
      <c r="Q24" s="45"/>
      <c r="R24" s="45"/>
      <c r="S24" s="45"/>
    </row>
    <row r="25" spans="1:19">
      <c r="A25" s="45"/>
      <c r="B25" s="47"/>
      <c r="C25" s="45"/>
      <c r="D25" s="45"/>
      <c r="E25" s="45"/>
      <c r="F25" s="45"/>
      <c r="G25" s="45"/>
      <c r="H25" s="45"/>
      <c r="I25" s="45"/>
      <c r="J25" s="45"/>
      <c r="K25" s="45"/>
      <c r="L25" s="45"/>
      <c r="M25" s="45"/>
      <c r="N25" s="45"/>
      <c r="O25" s="45"/>
      <c r="P25" s="45"/>
      <c r="Q25" s="45"/>
      <c r="R25" s="45"/>
      <c r="S25" s="45"/>
    </row>
    <row r="26" spans="1:19">
      <c r="A26" s="45"/>
      <c r="B26" s="47"/>
      <c r="C26" s="45"/>
      <c r="D26" s="45"/>
      <c r="E26" s="45"/>
      <c r="F26" s="45"/>
      <c r="G26" s="45"/>
      <c r="H26" s="45"/>
      <c r="I26" s="45"/>
      <c r="J26" s="45"/>
      <c r="K26" s="45"/>
      <c r="L26" s="45"/>
      <c r="M26" s="45"/>
      <c r="N26" s="45"/>
      <c r="O26" s="45"/>
      <c r="P26" s="45"/>
      <c r="Q26" s="45"/>
      <c r="R26" s="45"/>
      <c r="S26" s="45"/>
    </row>
    <row r="27" spans="1:19">
      <c r="A27" s="45"/>
      <c r="B27" s="45"/>
      <c r="C27" s="45"/>
      <c r="D27" s="45"/>
      <c r="E27" s="45"/>
      <c r="F27" s="45"/>
      <c r="G27" s="45"/>
      <c r="H27" s="45"/>
      <c r="I27" s="45"/>
      <c r="J27" s="45"/>
      <c r="K27" s="45"/>
      <c r="L27" s="45"/>
      <c r="M27" s="45"/>
      <c r="N27" s="45"/>
      <c r="O27" s="45"/>
      <c r="P27" s="45"/>
      <c r="Q27" s="45"/>
      <c r="R27" s="45"/>
      <c r="S27" s="45"/>
    </row>
    <row r="28" spans="1:19">
      <c r="A28" s="45"/>
      <c r="B28" s="45"/>
      <c r="C28" s="45"/>
      <c r="D28" s="45"/>
      <c r="E28" s="45"/>
      <c r="F28" s="45"/>
      <c r="G28" s="45"/>
      <c r="H28" s="45"/>
      <c r="I28" s="45"/>
      <c r="J28" s="45"/>
      <c r="K28" s="45"/>
      <c r="L28" s="45"/>
      <c r="M28" s="45"/>
      <c r="N28" s="45"/>
      <c r="O28" s="45"/>
      <c r="P28" s="45"/>
      <c r="Q28" s="45"/>
      <c r="R28" s="45"/>
      <c r="S28" s="45"/>
    </row>
    <row r="29" spans="1:19">
      <c r="A29" s="45"/>
      <c r="B29" s="45"/>
      <c r="C29" s="45"/>
      <c r="D29" s="45"/>
      <c r="E29" s="45"/>
      <c r="F29" s="45"/>
      <c r="G29" s="45"/>
      <c r="H29" s="45"/>
      <c r="I29" s="45"/>
      <c r="J29" s="45"/>
      <c r="K29" s="45"/>
      <c r="L29" s="45"/>
      <c r="M29" s="45"/>
      <c r="N29" s="45"/>
      <c r="O29" s="45"/>
      <c r="P29" s="45"/>
      <c r="Q29" s="45"/>
      <c r="R29" s="45"/>
      <c r="S29" s="45"/>
    </row>
  </sheetData>
  <phoneticPr fontId="14"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7"/>
  <sheetViews>
    <sheetView workbookViewId="0">
      <selection activeCell="H31" sqref="H31"/>
    </sheetView>
  </sheetViews>
  <sheetFormatPr baseColWidth="10" defaultColWidth="8.83203125" defaultRowHeight="14"/>
  <cols>
    <col min="1" max="1" width="24" customWidth="1"/>
    <col min="2" max="2" width="20" customWidth="1"/>
    <col min="3" max="3" width="14" customWidth="1"/>
    <col min="4" max="4" width="16" customWidth="1"/>
    <col min="5" max="5" width="20" customWidth="1"/>
  </cols>
  <sheetData>
    <row r="1" spans="1:5" ht="21" customHeight="1">
      <c r="A1" s="57" t="s">
        <v>216</v>
      </c>
      <c r="B1" s="58"/>
      <c r="C1" s="58"/>
      <c r="D1" s="58"/>
      <c r="E1" s="58"/>
    </row>
    <row r="3" spans="1:5" ht="16" customHeight="1">
      <c r="A3" s="76" t="s">
        <v>217</v>
      </c>
      <c r="B3" s="58"/>
      <c r="C3" s="58"/>
      <c r="D3" s="58"/>
      <c r="E3" s="58"/>
    </row>
    <row r="5" spans="1:5" ht="16" customHeight="1">
      <c r="A5" s="75" t="s">
        <v>218</v>
      </c>
      <c r="B5" s="58"/>
      <c r="C5" s="58"/>
      <c r="D5" s="58"/>
      <c r="E5" s="58"/>
    </row>
    <row r="6" spans="1:5" ht="18" customHeight="1">
      <c r="A6" s="2" t="s">
        <v>219</v>
      </c>
      <c r="B6" s="2" t="s">
        <v>220</v>
      </c>
      <c r="C6" s="2" t="s">
        <v>221</v>
      </c>
      <c r="D6" s="2" t="s">
        <v>222</v>
      </c>
      <c r="E6" s="2" t="s">
        <v>66</v>
      </c>
    </row>
    <row r="7" spans="1:5">
      <c r="A7" s="7" t="str">
        <f>IF('6.三张清单'!A5="","",'6.三张清单'!A5)</f>
        <v>毅航合肥职场</v>
      </c>
      <c r="B7" s="8"/>
      <c r="C7" s="9" t="str">
        <f>IF(B7=0,"",IFERROR(B7/$B$12,0))</f>
        <v/>
      </c>
      <c r="D7" s="10" t="str">
        <f>IF(C7="","",IF(C7&gt;0.25,"⚠️ 超标","达标"))</f>
        <v/>
      </c>
      <c r="E7" s="8"/>
    </row>
    <row r="8" spans="1:5">
      <c r="A8" s="7" t="str">
        <f>IF('6.三张清单'!A6="","",'6.三张清单'!A6)</f>
        <v>毛毛虫职场</v>
      </c>
      <c r="B8" s="8"/>
      <c r="C8" s="9" t="str">
        <f>IF(B8=0,"",IFERROR(B8/$B$12,0))</f>
        <v/>
      </c>
      <c r="D8" s="10" t="str">
        <f>IF(C8="","",IF(C8&gt;0.25,"⚠️ 超标","达标"))</f>
        <v/>
      </c>
      <c r="E8" s="8"/>
    </row>
    <row r="9" spans="1:5">
      <c r="A9" s="7" t="str">
        <f>IF('6.三张清单'!A7="","",'6.三张清单'!A7)</f>
        <v>翰锐曲靖职场</v>
      </c>
      <c r="B9" s="8"/>
      <c r="C9" s="9" t="str">
        <f>IF(B9=0,"",IFERROR(B9/$B$12,0))</f>
        <v/>
      </c>
      <c r="D9" s="10" t="str">
        <f>IF(C9="","",IF(C9&gt;0.25,"⚠️ 超标","达标"))</f>
        <v/>
      </c>
      <c r="E9" s="8"/>
    </row>
    <row r="11" spans="1:5" ht="16" customHeight="1">
      <c r="A11" s="11" t="s">
        <v>223</v>
      </c>
      <c r="B11" s="11">
        <f>SUM(B7:B9)</f>
        <v>0</v>
      </c>
      <c r="C11" s="12">
        <f>SUM(C7:C9)</f>
        <v>0</v>
      </c>
      <c r="D11" s="11"/>
      <c r="E11" s="11"/>
    </row>
    <row r="12" spans="1:5">
      <c r="A12" s="13" t="s">
        <v>224</v>
      </c>
      <c r="B12" s="14"/>
    </row>
    <row r="14" spans="1:5" ht="16" customHeight="1">
      <c r="A14" s="75" t="s">
        <v>225</v>
      </c>
      <c r="B14" s="58"/>
      <c r="C14" s="58"/>
      <c r="D14" s="58"/>
      <c r="E14" s="58"/>
    </row>
    <row r="15" spans="1:5">
      <c r="A15" t="s">
        <v>226</v>
      </c>
      <c r="B15" s="15">
        <f>C11</f>
        <v>0</v>
      </c>
    </row>
    <row r="16" spans="1:5">
      <c r="A16" t="s">
        <v>227</v>
      </c>
      <c r="B16" s="16">
        <v>0.4</v>
      </c>
    </row>
    <row r="17" spans="1:2" ht="15" customHeight="1">
      <c r="A17" t="s">
        <v>228</v>
      </c>
      <c r="B17" s="17" t="str">
        <f>IF(B15&lt;=B16,"✅ 达标","⚠️ 超标·需调整")</f>
        <v>✅ 达标</v>
      </c>
    </row>
  </sheetData>
  <mergeCells count="4">
    <mergeCell ref="A14:E14"/>
    <mergeCell ref="A1:E1"/>
    <mergeCell ref="A5:E5"/>
    <mergeCell ref="A3:E3"/>
  </mergeCells>
  <phoneticPr fontId="14"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19"/>
  <sheetViews>
    <sheetView workbookViewId="0">
      <selection activeCell="G18" sqref="G18"/>
    </sheetView>
  </sheetViews>
  <sheetFormatPr baseColWidth="10" defaultColWidth="8.83203125" defaultRowHeight="14"/>
  <cols>
    <col min="1" max="5" width="18" customWidth="1"/>
    <col min="6" max="6" width="23.33203125" bestFit="1" customWidth="1"/>
    <col min="7" max="13" width="18" customWidth="1"/>
    <col min="14" max="14" width="23.33203125" bestFit="1" customWidth="1"/>
    <col min="15" max="15" width="18" customWidth="1"/>
  </cols>
  <sheetData>
    <row r="1" spans="1:15" ht="21" customHeight="1">
      <c r="A1" s="36" t="s">
        <v>229</v>
      </c>
      <c r="B1" s="37"/>
      <c r="C1" s="37"/>
      <c r="D1" s="37"/>
      <c r="E1" s="37"/>
      <c r="F1" s="37"/>
      <c r="G1" s="37"/>
      <c r="H1" s="37"/>
      <c r="I1" s="37"/>
      <c r="J1" s="37"/>
      <c r="K1" s="37"/>
      <c r="L1" s="37"/>
      <c r="M1" s="37"/>
      <c r="N1" s="37"/>
      <c r="O1" s="37"/>
    </row>
    <row r="2" spans="1:15">
      <c r="A2" s="37"/>
      <c r="B2" s="37"/>
      <c r="C2" s="37"/>
      <c r="D2" s="37"/>
      <c r="E2" s="37"/>
      <c r="F2" s="37"/>
      <c r="G2" s="37"/>
      <c r="H2" s="37"/>
      <c r="I2" s="37"/>
      <c r="J2" s="37"/>
      <c r="K2" s="37"/>
      <c r="L2" s="37"/>
      <c r="M2" s="37"/>
      <c r="N2" s="37"/>
      <c r="O2" s="37"/>
    </row>
    <row r="3" spans="1:15">
      <c r="A3" s="38" t="s">
        <v>230</v>
      </c>
      <c r="B3" s="37"/>
      <c r="C3" s="37"/>
      <c r="D3" s="37"/>
      <c r="E3" s="37"/>
      <c r="F3" s="37"/>
      <c r="G3" s="37"/>
      <c r="H3" s="37"/>
      <c r="I3" s="38" t="s">
        <v>231</v>
      </c>
      <c r="J3" s="37"/>
      <c r="K3" s="37"/>
      <c r="L3" s="37"/>
      <c r="M3" s="37"/>
      <c r="N3" s="37"/>
      <c r="O3" s="37"/>
    </row>
    <row r="4" spans="1:15" ht="15">
      <c r="A4" s="39" t="s">
        <v>51</v>
      </c>
      <c r="B4" s="39" t="s">
        <v>232</v>
      </c>
      <c r="C4" s="39" t="s">
        <v>233</v>
      </c>
      <c r="D4" s="77" t="s">
        <v>234</v>
      </c>
      <c r="E4" s="39" t="s">
        <v>235</v>
      </c>
      <c r="F4" s="39" t="s">
        <v>236</v>
      </c>
      <c r="G4" s="39" t="s">
        <v>237</v>
      </c>
      <c r="H4" s="37"/>
      <c r="I4" s="39" t="s">
        <v>51</v>
      </c>
      <c r="J4" s="39" t="s">
        <v>232</v>
      </c>
      <c r="K4" s="39" t="s">
        <v>233</v>
      </c>
      <c r="L4" s="39" t="s">
        <v>234</v>
      </c>
      <c r="M4" s="39" t="s">
        <v>235</v>
      </c>
      <c r="N4" s="39" t="s">
        <v>236</v>
      </c>
      <c r="O4" s="39" t="s">
        <v>237</v>
      </c>
    </row>
    <row r="5" spans="1:15" ht="15">
      <c r="A5" s="40" t="str">
        <f>IFERROR(INDEX('6.三张清单'!A22,1),"")</f>
        <v>伽玛职场</v>
      </c>
      <c r="B5" s="40" t="str">
        <f>IF(A5="","",IF(IFERROR(VLOOKUP(A5,'2.SLA扣分台账'!$B$5:$G$15,6,FALSE),"")="🔴 是·直接C级","是","否"))</f>
        <v>否</v>
      </c>
      <c r="C5" s="40" t="s">
        <v>238</v>
      </c>
      <c r="D5" s="40" t="str">
        <f>IF(A5="","",IF(AND(IFERROR(VLOOKUP(A5,'5.评级结果'!$D$6:$D$16,1,FALSE),"")&lt;&gt;"",LEFT(IFERROR(VLOOKUP(A5,'5.评级结果'!$D$6:$O$16,12,FALSE),""),1)="C",IFERROR(VLOOKUP(A5,'5.评级结果'!$D$6:$L$16,9,FALSE),"")="下降"),"是","否"))</f>
        <v>否</v>
      </c>
      <c r="E5" s="40" t="str">
        <f>IF(A5="","",IF(AND(LEFT(IFERROR(VLOOKUP(A5,'5.评级结果'!$D$6:$O$16,12,FALSE),""),1)="C",IFERROR(VLOOKUP(A5,'5.评级结果'!$D$6:$L$16,9,FALSE),"")&lt;&gt;"下降"),"是","否"))</f>
        <v>是</v>
      </c>
      <c r="F5" s="40" t="str">
        <f>IF(A5="","",IF(B5="是","路径三：红线清退",IF(C5="是","路径一·末期：解约",IF(D5="是","路径二：快车道·30天",IF(E5="是","路径一：常规·整改30天","核对")))))</f>
        <v>路径一：常规·整改30天</v>
      </c>
      <c r="G5" s="40" t="str">
        <f>IF(A5="","",IF(B5="是","管理层决策",IF(D5="是","D0→D30交接",IF(E5="是","D30整改→D90复评",""))))</f>
        <v>D30整改→D90复评</v>
      </c>
      <c r="H5" s="37"/>
      <c r="I5" s="40" t="str">
        <f>IFERROR(INDEX('6.三张清单'!J22,1),"")</f>
        <v>汇讯职场</v>
      </c>
      <c r="J5" s="40" t="str">
        <f>IF(I5="","",IF(IFERROR(VLOOKUP(I5,'2.SLA扣分台账'!$B$5:$G$15,6,FALSE),"")="🔴 是·直接C级","是","否"))</f>
        <v>否</v>
      </c>
      <c r="K5" s="40" t="s">
        <v>238</v>
      </c>
      <c r="L5" s="40" t="str">
        <f>IF(I5="","",IF(AND(LEFT(IFERROR(VLOOKUP(I5,'5.评级结果'!$R$6:$AC$16,12,FALSE),""),1)="C",IFERROR(VLOOKUP(I5,'5.评级结果'!$R$6:$AB$16,9,FALSE),"")="下降"),"是","否"))</f>
        <v>否</v>
      </c>
      <c r="M5" s="40" t="str">
        <f>IF(I5="","",IF(AND(LEFT(IFERROR(VLOOKUP(I5,'5.评级结果'!$R$6:$AC$16,12,FALSE),""),1)="C",IFERROR(VLOOKUP(I5,'5.评级结果'!$R$6:$AB$16,9,FALSE),"")&lt;&gt;"下降"),"是","否"))</f>
        <v>是</v>
      </c>
      <c r="N5" s="40" t="str">
        <f>IF(I5="","",IF(J5="是","路径三：红线清退",IF(K5="是","路径一·末期：解约",IF(L5="是","路径二：快车道·30天",IF(M5="是","路径一：常规·整改30天","核对")))))</f>
        <v>路径一：常规·整改30天</v>
      </c>
      <c r="O5" s="40" t="str">
        <f>IF(I5="","",IF(J5="是","管理层决策",IF(L5="是","D0→D30交接",IF(M5="是","D30整改→D90复评",""))))</f>
        <v>D30整改→D90复评</v>
      </c>
    </row>
    <row r="6" spans="1:15" ht="15">
      <c r="A6" s="40" t="str">
        <f>IFERROR(INDEX('6.三张清单'!A23,1),"")</f>
        <v>岐力职场</v>
      </c>
      <c r="B6" s="40" t="str">
        <f>IF(A6="","",IF(IFERROR(VLOOKUP(A6,'2.SLA扣分台账'!$B$5:$G$15,6,FALSE),"")="🔴 是·直接C级","是","否"))</f>
        <v>否</v>
      </c>
      <c r="C6" s="40" t="s">
        <v>238</v>
      </c>
      <c r="D6" s="40" t="str">
        <f>IF(A6="","",IF(AND(IFERROR(VLOOKUP(A6,'5.评级结果'!$D$6:$D$16,1,FALSE),"")&lt;&gt;"",LEFT(IFERROR(VLOOKUP(A6,'5.评级结果'!$D$6:$O$16,12,FALSE),""),1)="C",IFERROR(VLOOKUP(A6,'5.评级结果'!$D$6:$L$16,9,FALSE),"")="下降"),"是","否"))</f>
        <v>否</v>
      </c>
      <c r="E6" s="40" t="str">
        <f>IF(A6="","",IF(AND(LEFT(IFERROR(VLOOKUP(A6,'5.评级结果'!$D$6:$O$16,12,FALSE),""),1)="C",IFERROR(VLOOKUP(A6,'5.评级结果'!$D$6:$L$16,9,FALSE),"")&lt;&gt;"下降"),"是","否"))</f>
        <v>是</v>
      </c>
      <c r="F6" s="40" t="str">
        <f>IF(A6="","",IF(B6="是","路径三：红线清退",IF(C6="是","路径一·末期：解约",IF(D6="是","路径二：快车道·30天",IF(E6="是","路径一：常规·整改30天","核对")))))</f>
        <v>路径一：常规·整改30天</v>
      </c>
      <c r="G6" s="40" t="str">
        <f>IF(A6="","",IF(B6="是","管理层决策",IF(D6="是","D0→D30交接",IF(E6="是","D30整改→D90复评",""))))</f>
        <v>D30整改→D90复评</v>
      </c>
      <c r="H6" s="37"/>
      <c r="I6" s="40" t="str">
        <f>IFERROR(INDEX('6.三张清单'!J23,1),"")</f>
        <v>伽玛职场</v>
      </c>
      <c r="J6" s="40" t="str">
        <f>IF(I6="","",IF(IFERROR(VLOOKUP(I6,'2.SLA扣分台账'!$B$5:$G$15,6,FALSE),"")="🔴 是·直接C级","是","否"))</f>
        <v>否</v>
      </c>
      <c r="K6" s="40" t="s">
        <v>238</v>
      </c>
      <c r="L6" s="40" t="str">
        <f>IF(I6="","",IF(AND(LEFT(IFERROR(VLOOKUP(I6,'5.评级结果'!$R$6:$AC$16,12,FALSE),""),1)="C",IFERROR(VLOOKUP(I6,'5.评级结果'!$R$6:$AB$16,9,FALSE),"")="下降"),"是","否"))</f>
        <v>否</v>
      </c>
      <c r="M6" s="40" t="str">
        <f>IF(I6="","",IF(AND(LEFT(IFERROR(VLOOKUP(I6,'5.评级结果'!$R$6:$AC$16,12,FALSE),""),1)="C",IFERROR(VLOOKUP(I6,'5.评级结果'!$R$6:$AB$16,9,FALSE),"")&lt;&gt;"下降"),"是","否"))</f>
        <v>是</v>
      </c>
      <c r="N6" s="40" t="str">
        <f>IF(I6="","",IF(J6="是","路径三：红线清退",IF(K6="是","路径一·末期：解约",IF(L6="是","路径二：快车道·30天",IF(M6="是","路径一：常规·整改30天","核对")))))</f>
        <v>路径一：常规·整改30天</v>
      </c>
      <c r="O6" s="40" t="str">
        <f>IF(I6="","",IF(J6="是","管理层决策",IF(L6="是","D0→D30交接",IF(M6="是","D30整改→D90复评",""))))</f>
        <v>D30整改→D90复评</v>
      </c>
    </row>
    <row r="7" spans="1:15" ht="15">
      <c r="A7" s="40" t="str">
        <f>IFERROR(INDEX('6.三张清单'!A24,1),"")</f>
        <v>华啸职场</v>
      </c>
      <c r="B7" s="40" t="str">
        <f>IF(A7="","",IF(IFERROR(VLOOKUP(A7,'2.SLA扣分台账'!$B$5:$G$15,6,FALSE),"")="🔴 是·直接C级","是","否"))</f>
        <v>否</v>
      </c>
      <c r="C7" s="40" t="s">
        <v>238</v>
      </c>
      <c r="D7" s="40" t="str">
        <f>IF(A7="","",IF(AND(IFERROR(VLOOKUP(A7,'5.评级结果'!$D$6:$D$16,1,FALSE),"")&lt;&gt;"",LEFT(IFERROR(VLOOKUP(A7,'5.评级结果'!$D$6:$O$16,12,FALSE),""),1)="C",IFERROR(VLOOKUP(A7,'5.评级结果'!$D$6:$L$16,9,FALSE),"")="下降"),"是","否"))</f>
        <v>否</v>
      </c>
      <c r="E7" s="40" t="str">
        <f>IF(A7="","",IF(AND(LEFT(IFERROR(VLOOKUP(A7,'5.评级结果'!$D$6:$O$16,12,FALSE),""),1)="C",IFERROR(VLOOKUP(A7,'5.评级结果'!$D$6:$L$16,9,FALSE),"")&lt;&gt;"下降"),"是","否"))</f>
        <v>是</v>
      </c>
      <c r="F7" s="40" t="str">
        <f>IF(A7="","",IF(B7="是","路径三：红线清退",IF(C7="是","路径一·末期：解约",IF(D7="是","路径二：快车道·30天",IF(E7="是","路径一：常规·整改30天","核对")))))</f>
        <v>路径一：常规·整改30天</v>
      </c>
      <c r="G7" s="40" t="str">
        <f>IF(A7="","",IF(B7="是","管理层决策",IF(D7="是","D0→D30交接",IF(E7="是","D30整改→D90复评",""))))</f>
        <v>D30整改→D90复评</v>
      </c>
      <c r="H7" s="37"/>
      <c r="I7" s="40" t="str">
        <f>IFERROR(INDEX('6.三张清单'!J24,1),"")</f>
        <v>岐力职场</v>
      </c>
      <c r="J7" s="40" t="str">
        <f>IF(I7="","",IF(IFERROR(VLOOKUP(I7,'2.SLA扣分台账'!$B$5:$G$15,6,FALSE),"")="🔴 是·直接C级","是","否"))</f>
        <v>否</v>
      </c>
      <c r="K7" s="40" t="s">
        <v>238</v>
      </c>
      <c r="L7" s="40" t="str">
        <f>IF(I7="","",IF(AND(LEFT(IFERROR(VLOOKUP(I7,'5.评级结果'!$R$6:$AC$16,12,FALSE),""),1)="C",IFERROR(VLOOKUP(I7,'5.评级结果'!$R$6:$AB$16,9,FALSE),"")="下降"),"是","否"))</f>
        <v>否</v>
      </c>
      <c r="M7" s="40" t="str">
        <f>IF(I7="","",IF(AND(LEFT(IFERROR(VLOOKUP(I7,'5.评级结果'!$R$6:$AC$16,12,FALSE),""),1)="C",IFERROR(VLOOKUP(I7,'5.评级结果'!$R$6:$AB$16,9,FALSE),"")&lt;&gt;"下降"),"是","否"))</f>
        <v>是</v>
      </c>
      <c r="N7" s="40" t="str">
        <f>IF(I7="","",IF(J7="是","路径三：红线清退",IF(K7="是","路径一·末期：解约",IF(L7="是","路径二：快车道·30天",IF(M7="是","路径一：常规·整改30天","核对")))))</f>
        <v>路径一：常规·整改30天</v>
      </c>
      <c r="O7" s="40" t="str">
        <f>IF(I7="","",IF(J7="是","管理层决策",IF(L7="是","D0→D30交接",IF(M7="是","D30整改→D90复评",""))))</f>
        <v>D30整改→D90复评</v>
      </c>
    </row>
    <row r="8" spans="1:15">
      <c r="A8" s="37"/>
      <c r="B8" s="37"/>
      <c r="C8" s="37"/>
      <c r="D8" s="37"/>
      <c r="E8" s="37"/>
      <c r="F8" s="37"/>
      <c r="G8" s="37"/>
      <c r="H8" s="37"/>
      <c r="I8" s="37"/>
      <c r="J8" s="37"/>
      <c r="K8" s="37"/>
      <c r="L8" s="37"/>
      <c r="M8" s="37"/>
      <c r="N8" s="37"/>
      <c r="O8" s="37"/>
    </row>
    <row r="9" spans="1:15">
      <c r="A9" s="37"/>
      <c r="B9" s="37"/>
      <c r="C9" s="37"/>
      <c r="D9" s="37"/>
      <c r="E9" s="37"/>
      <c r="F9" s="37"/>
      <c r="G9" s="37"/>
      <c r="H9" s="37"/>
      <c r="I9" s="37"/>
      <c r="J9" s="37"/>
      <c r="K9" s="37"/>
      <c r="L9" s="37"/>
      <c r="M9" s="37"/>
      <c r="N9" s="37"/>
      <c r="O9" s="37"/>
    </row>
    <row r="10" spans="1:15">
      <c r="A10" s="37"/>
      <c r="B10" s="37"/>
      <c r="C10" s="37"/>
      <c r="D10" s="37"/>
      <c r="E10" s="37"/>
      <c r="F10" s="37"/>
      <c r="G10" s="37"/>
      <c r="H10" s="37"/>
      <c r="I10" s="37"/>
      <c r="J10" s="37"/>
      <c r="K10" s="37"/>
      <c r="L10" s="37"/>
      <c r="M10" s="37"/>
      <c r="N10" s="37"/>
      <c r="O10" s="37"/>
    </row>
    <row r="11" spans="1:15">
      <c r="A11" s="37"/>
      <c r="B11" s="37"/>
      <c r="C11" s="37"/>
      <c r="D11" s="37"/>
      <c r="E11" s="37"/>
      <c r="F11" s="37"/>
      <c r="G11" s="37"/>
      <c r="H11" s="37"/>
      <c r="I11" s="37"/>
      <c r="J11" s="37"/>
      <c r="K11" s="37"/>
      <c r="L11" s="37"/>
      <c r="M11" s="37"/>
      <c r="N11" s="37"/>
      <c r="O11" s="37"/>
    </row>
    <row r="12" spans="1:15">
      <c r="A12" s="37"/>
      <c r="B12" s="37"/>
      <c r="C12" s="37"/>
      <c r="D12" s="37"/>
      <c r="E12" s="37"/>
      <c r="F12" s="37"/>
      <c r="G12" s="37"/>
      <c r="H12" s="37"/>
      <c r="I12" s="37"/>
      <c r="J12" s="37"/>
      <c r="K12" s="37"/>
      <c r="L12" s="37"/>
      <c r="M12" s="37"/>
      <c r="N12" s="37"/>
      <c r="O12" s="37"/>
    </row>
    <row r="13" spans="1:15">
      <c r="A13" s="37"/>
      <c r="B13" s="37"/>
      <c r="C13" s="37"/>
      <c r="D13" s="37"/>
      <c r="E13" s="37"/>
      <c r="F13" s="37"/>
      <c r="G13" s="37"/>
      <c r="H13" s="37"/>
      <c r="I13" s="37"/>
      <c r="J13" s="37"/>
      <c r="K13" s="37"/>
      <c r="L13" s="37"/>
      <c r="M13" s="37"/>
      <c r="N13" s="37"/>
      <c r="O13" s="37"/>
    </row>
    <row r="14" spans="1:15" ht="16" customHeight="1">
      <c r="A14" s="37"/>
      <c r="B14" s="37"/>
      <c r="C14" s="37"/>
      <c r="D14" s="37"/>
      <c r="E14" s="37"/>
      <c r="F14" s="37"/>
      <c r="G14" s="37"/>
      <c r="H14" s="37"/>
      <c r="I14" s="37"/>
      <c r="J14" s="37"/>
      <c r="K14" s="37"/>
      <c r="L14" s="37"/>
      <c r="M14" s="37"/>
      <c r="N14" s="37"/>
      <c r="O14" s="37"/>
    </row>
    <row r="15" spans="1:15" ht="17" customHeight="1">
      <c r="A15" s="37"/>
      <c r="B15" s="37"/>
      <c r="C15" s="37"/>
      <c r="D15" s="37"/>
      <c r="E15" s="37"/>
      <c r="F15" s="37"/>
      <c r="G15" s="37"/>
      <c r="H15" s="37"/>
      <c r="I15" s="37"/>
      <c r="J15" s="37"/>
      <c r="K15" s="37"/>
      <c r="L15" s="37"/>
      <c r="M15" s="37"/>
      <c r="N15" s="37"/>
      <c r="O15" s="37"/>
    </row>
    <row r="16" spans="1:15" ht="30" customHeight="1">
      <c r="A16" s="37"/>
      <c r="B16" s="37"/>
      <c r="C16" s="37"/>
      <c r="D16" s="37"/>
      <c r="E16" s="37"/>
      <c r="F16" s="37"/>
      <c r="G16" s="37"/>
      <c r="H16" s="37"/>
      <c r="I16" s="37"/>
      <c r="J16" s="37"/>
      <c r="K16" s="37"/>
      <c r="L16" s="37"/>
      <c r="M16" s="37"/>
      <c r="N16" s="37"/>
      <c r="O16" s="37"/>
    </row>
    <row r="17" spans="1:15" ht="30" customHeight="1">
      <c r="A17" s="37"/>
      <c r="B17" s="37"/>
      <c r="C17" s="37"/>
      <c r="D17" s="37"/>
      <c r="E17" s="37"/>
      <c r="F17" s="37"/>
      <c r="G17" s="37"/>
      <c r="H17" s="37"/>
      <c r="I17" s="37"/>
      <c r="J17" s="37"/>
      <c r="K17" s="37"/>
      <c r="L17" s="37"/>
      <c r="M17" s="37"/>
      <c r="N17" s="37"/>
      <c r="O17" s="37"/>
    </row>
    <row r="18" spans="1:15" ht="45" customHeight="1">
      <c r="A18" s="37"/>
      <c r="B18" s="37"/>
      <c r="C18" s="37"/>
      <c r="D18" s="37"/>
      <c r="E18" s="37"/>
      <c r="F18" s="37"/>
      <c r="G18" s="37"/>
      <c r="H18" s="37"/>
      <c r="I18" s="37"/>
      <c r="J18" s="37"/>
      <c r="K18" s="37"/>
      <c r="L18" s="37"/>
      <c r="M18" s="37"/>
      <c r="N18" s="37"/>
      <c r="O18" s="37"/>
    </row>
    <row r="19" spans="1:15">
      <c r="A19" s="37"/>
      <c r="B19" s="37"/>
      <c r="C19" s="37"/>
      <c r="D19" s="37"/>
      <c r="E19" s="37"/>
      <c r="F19" s="37"/>
      <c r="G19" s="37"/>
      <c r="H19" s="37"/>
      <c r="I19" s="37"/>
      <c r="J19" s="37"/>
      <c r="K19" s="37"/>
      <c r="L19" s="37"/>
      <c r="M19" s="37"/>
      <c r="N19" s="37"/>
      <c r="O19" s="37"/>
    </row>
  </sheetData>
  <phoneticPr fontId="14"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9</vt:i4>
      </vt:variant>
    </vt:vector>
  </HeadingPairs>
  <TitlesOfParts>
    <vt:vector size="9" baseType="lpstr">
      <vt:lpstr>使用说明</vt:lpstr>
      <vt:lpstr>1.赛马分原始数据</vt:lpstr>
      <vt:lpstr>2.SLA扣分台账</vt:lpstr>
      <vt:lpstr>3.稳定性检查表</vt:lpstr>
      <vt:lpstr>4.供管自评表</vt:lpstr>
      <vt:lpstr>5.评级结果</vt:lpstr>
      <vt:lpstr>6.三张清单</vt:lpstr>
      <vt:lpstr>7.集中度管控</vt:lpstr>
      <vt:lpstr>8.清退路径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sundanian</cp:lastModifiedBy>
  <dcterms:created xsi:type="dcterms:W3CDTF">2026-07-23T02:28:13Z</dcterms:created>
  <dcterms:modified xsi:type="dcterms:W3CDTF">2026-07-24T06:25:44Z</dcterms:modified>
</cp:coreProperties>
</file>