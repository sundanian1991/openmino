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sundanian/Documents/projects/ai-agents/my-agent/workspace/2026-07-21-供应商分级上半年盘点SOP/"/>
    </mc:Choice>
  </mc:AlternateContent>
  <xr:revisionPtr revIDLastSave="0" documentId="8_{744F3BBA-71EB-1543-BC19-5E0262109471}" xr6:coauthVersionLast="47" xr6:coauthVersionMax="47" xr10:uidLastSave="{00000000-0000-0000-0000-000000000000}"/>
  <bookViews>
    <workbookView xWindow="0" yWindow="760" windowWidth="30240" windowHeight="17180" activeTab="8" xr2:uid="{00000000-000D-0000-FFFF-FFFF00000000}"/>
  </bookViews>
  <sheets>
    <sheet name="使用说明" sheetId="1" r:id="rId1"/>
    <sheet name="1.赛马分原始数据" sheetId="2" r:id="rId2"/>
    <sheet name="2.SLA扣分台账" sheetId="3" r:id="rId3"/>
    <sheet name="3.稳定性检查表" sheetId="4" r:id="rId4"/>
    <sheet name="4.供管自评表" sheetId="5" r:id="rId5"/>
    <sheet name="5.评级结果" sheetId="6" r:id="rId6"/>
    <sheet name="6.三张清单" sheetId="7" r:id="rId7"/>
    <sheet name="7.集中度管控" sheetId="8" r:id="rId8"/>
    <sheet name="8.清退路径" sheetId="9" r:id="rId9"/>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11" i="9" l="1"/>
  <c r="F11" i="9"/>
  <c r="G10" i="9"/>
  <c r="F10" i="9"/>
  <c r="G9" i="9"/>
  <c r="F9" i="9"/>
  <c r="G8" i="9"/>
  <c r="F8" i="9"/>
  <c r="G7" i="9"/>
  <c r="F7" i="9"/>
  <c r="G6" i="9"/>
  <c r="F6" i="9"/>
  <c r="B11" i="8"/>
  <c r="C10" i="8"/>
  <c r="D10" i="8" s="1"/>
  <c r="C9" i="8"/>
  <c r="C11" i="8" s="1"/>
  <c r="B15" i="8" s="1"/>
  <c r="B17" i="8" s="1"/>
  <c r="C8" i="8"/>
  <c r="D8" i="8" s="1"/>
  <c r="D7" i="8"/>
  <c r="C7" i="8"/>
  <c r="A8" i="7"/>
  <c r="A7" i="7"/>
  <c r="A6" i="7"/>
  <c r="E16" i="6"/>
  <c r="B16" i="6"/>
  <c r="A16" i="6"/>
  <c r="D15" i="6"/>
  <c r="B15" i="6"/>
  <c r="A15" i="6"/>
  <c r="B14" i="6"/>
  <c r="A14" i="6"/>
  <c r="C13" i="6"/>
  <c r="B13" i="6"/>
  <c r="A13" i="6"/>
  <c r="B12" i="6"/>
  <c r="A12" i="6"/>
  <c r="B11" i="6"/>
  <c r="A11" i="6"/>
  <c r="D10" i="6"/>
  <c r="B10" i="6"/>
  <c r="A10" i="6"/>
  <c r="B9" i="6"/>
  <c r="A9" i="6"/>
  <c r="E8" i="6"/>
  <c r="C8" i="6"/>
  <c r="B8" i="6"/>
  <c r="A8" i="6"/>
  <c r="F7" i="6"/>
  <c r="B7" i="6"/>
  <c r="A7" i="6"/>
  <c r="E6" i="6"/>
  <c r="B6" i="6"/>
  <c r="A6" i="6"/>
  <c r="F5" i="6"/>
  <c r="E5" i="6"/>
  <c r="D5" i="6"/>
  <c r="B5" i="6"/>
  <c r="A5" i="6"/>
  <c r="H16" i="5"/>
  <c r="H15" i="5"/>
  <c r="F16" i="6" s="1"/>
  <c r="H14" i="5"/>
  <c r="F15" i="6" s="1"/>
  <c r="H13" i="5"/>
  <c r="F14" i="6" s="1"/>
  <c r="H12" i="5"/>
  <c r="F13" i="6" s="1"/>
  <c r="H11" i="5"/>
  <c r="F12" i="6" s="1"/>
  <c r="H10" i="5"/>
  <c r="F11" i="6" s="1"/>
  <c r="H9" i="5"/>
  <c r="F10" i="6" s="1"/>
  <c r="H8" i="5"/>
  <c r="F9" i="6" s="1"/>
  <c r="H7" i="5"/>
  <c r="F8" i="6" s="1"/>
  <c r="H6" i="5"/>
  <c r="H5" i="5"/>
  <c r="F6" i="6" s="1"/>
  <c r="O17" i="4"/>
  <c r="O16" i="4"/>
  <c r="O15" i="4"/>
  <c r="O14" i="4"/>
  <c r="E15" i="6" s="1"/>
  <c r="O13" i="4"/>
  <c r="E14" i="6" s="1"/>
  <c r="O12" i="4"/>
  <c r="E13" i="6" s="1"/>
  <c r="O11" i="4"/>
  <c r="E12" i="6" s="1"/>
  <c r="O10" i="4"/>
  <c r="E11" i="6" s="1"/>
  <c r="O9" i="4"/>
  <c r="E10" i="6" s="1"/>
  <c r="O8" i="4"/>
  <c r="E9" i="6" s="1"/>
  <c r="O7" i="4"/>
  <c r="O6" i="4"/>
  <c r="E7" i="6" s="1"/>
  <c r="G16" i="3"/>
  <c r="F16" i="3"/>
  <c r="G15" i="3"/>
  <c r="F15" i="3"/>
  <c r="D16" i="6" s="1"/>
  <c r="G14" i="3"/>
  <c r="F14" i="3"/>
  <c r="G13" i="3"/>
  <c r="F13" i="3"/>
  <c r="D14" i="6" s="1"/>
  <c r="G12" i="3"/>
  <c r="F12" i="3"/>
  <c r="D13" i="6" s="1"/>
  <c r="G13" i="6" s="1"/>
  <c r="H13" i="6" s="1"/>
  <c r="I13" i="6" s="1"/>
  <c r="G11" i="3"/>
  <c r="F11" i="3"/>
  <c r="D12" i="6" s="1"/>
  <c r="G10" i="3"/>
  <c r="F10" i="3"/>
  <c r="D11" i="6" s="1"/>
  <c r="G9" i="3"/>
  <c r="F9" i="3"/>
  <c r="G8" i="3"/>
  <c r="F8" i="3"/>
  <c r="D9" i="6" s="1"/>
  <c r="G7" i="3"/>
  <c r="F7" i="3"/>
  <c r="D8" i="6" s="1"/>
  <c r="G8" i="6" s="1"/>
  <c r="H8" i="6" s="1"/>
  <c r="I8" i="6" s="1"/>
  <c r="G6" i="3"/>
  <c r="F6" i="3"/>
  <c r="D7" i="6" s="1"/>
  <c r="G5" i="3"/>
  <c r="F5" i="3"/>
  <c r="D6" i="6" s="1"/>
  <c r="J15" i="2"/>
  <c r="C16" i="6" s="1"/>
  <c r="I15" i="2"/>
  <c r="K15" i="2" s="1"/>
  <c r="J14" i="2"/>
  <c r="C15" i="6" s="1"/>
  <c r="I14" i="2"/>
  <c r="K14" i="2" s="1"/>
  <c r="J13" i="2"/>
  <c r="C14" i="6" s="1"/>
  <c r="I13" i="2"/>
  <c r="K13" i="2" s="1"/>
  <c r="J12" i="2"/>
  <c r="I12" i="2"/>
  <c r="K12" i="2" s="1"/>
  <c r="J11" i="2"/>
  <c r="C12" i="6" s="1"/>
  <c r="I11" i="2"/>
  <c r="J10" i="2"/>
  <c r="C11" i="6" s="1"/>
  <c r="I10" i="2"/>
  <c r="K10" i="2" s="1"/>
  <c r="J9" i="2"/>
  <c r="C10" i="6" s="1"/>
  <c r="G10" i="6" s="1"/>
  <c r="H10" i="6" s="1"/>
  <c r="I10" i="6" s="1"/>
  <c r="I9" i="2"/>
  <c r="K9" i="2" s="1"/>
  <c r="J8" i="2"/>
  <c r="C9" i="6" s="1"/>
  <c r="G9" i="6" s="1"/>
  <c r="H9" i="6" s="1"/>
  <c r="I9" i="6" s="1"/>
  <c r="I8" i="2"/>
  <c r="K8" i="2" s="1"/>
  <c r="J7" i="2"/>
  <c r="I7" i="2"/>
  <c r="K7" i="2" s="1"/>
  <c r="J6" i="2"/>
  <c r="K6" i="2" s="1"/>
  <c r="I6" i="2"/>
  <c r="J5" i="2"/>
  <c r="C6" i="6" s="1"/>
  <c r="I5" i="2"/>
  <c r="K5" i="2" s="1"/>
  <c r="J4" i="2"/>
  <c r="C5" i="6" s="1"/>
  <c r="G5" i="6" s="1"/>
  <c r="H5" i="6" s="1"/>
  <c r="I5" i="6" s="1"/>
  <c r="I4" i="2"/>
  <c r="K4" i="2" s="1"/>
  <c r="L8" i="2" l="1"/>
  <c r="K9" i="6" s="1"/>
  <c r="J9" i="6"/>
  <c r="J15" i="6"/>
  <c r="L14" i="2"/>
  <c r="K15" i="6" s="1"/>
  <c r="M10" i="6"/>
  <c r="N10" i="6" s="1"/>
  <c r="L10" i="6"/>
  <c r="M9" i="6"/>
  <c r="N9" i="6" s="1"/>
  <c r="M7" i="6"/>
  <c r="N7" i="6" s="1"/>
  <c r="L13" i="2"/>
  <c r="K14" i="6" s="1"/>
  <c r="J14" i="6"/>
  <c r="J11" i="6"/>
  <c r="L10" i="2"/>
  <c r="K11" i="6" s="1"/>
  <c r="G14" i="6"/>
  <c r="H14" i="6" s="1"/>
  <c r="I14" i="6" s="1"/>
  <c r="L5" i="6"/>
  <c r="G15" i="6"/>
  <c r="H15" i="6" s="1"/>
  <c r="I15" i="6" s="1"/>
  <c r="L15" i="6" s="1"/>
  <c r="M14" i="6"/>
  <c r="N14" i="6" s="1"/>
  <c r="J6" i="6"/>
  <c r="L5" i="2"/>
  <c r="K6" i="6" s="1"/>
  <c r="G11" i="6"/>
  <c r="H11" i="6" s="1"/>
  <c r="I11" i="6" s="1"/>
  <c r="M5" i="6"/>
  <c r="N5" i="6" s="1"/>
  <c r="J7" i="6"/>
  <c r="L6" i="2"/>
  <c r="K7" i="6" s="1"/>
  <c r="M11" i="6"/>
  <c r="N11" i="6" s="1"/>
  <c r="L12" i="2"/>
  <c r="K13" i="6" s="1"/>
  <c r="L13" i="6" s="1"/>
  <c r="J13" i="6"/>
  <c r="L9" i="6"/>
  <c r="J5" i="6"/>
  <c r="L4" i="2"/>
  <c r="K5" i="6" s="1"/>
  <c r="J10" i="6"/>
  <c r="L9" i="2"/>
  <c r="K10" i="6" s="1"/>
  <c r="J16" i="6"/>
  <c r="L15" i="2"/>
  <c r="K16" i="6" s="1"/>
  <c r="G6" i="6"/>
  <c r="H6" i="6" s="1"/>
  <c r="I6" i="6" s="1"/>
  <c r="G16" i="6"/>
  <c r="H16" i="6" s="1"/>
  <c r="I16" i="6" s="1"/>
  <c r="L16" i="6" s="1"/>
  <c r="M8" i="6"/>
  <c r="N8" i="6" s="1"/>
  <c r="G12" i="6"/>
  <c r="H12" i="6" s="1"/>
  <c r="I12" i="6" s="1"/>
  <c r="M12" i="6" s="1"/>
  <c r="N12" i="6" s="1"/>
  <c r="L7" i="2"/>
  <c r="K8" i="6" s="1"/>
  <c r="L8" i="6" s="1"/>
  <c r="J8" i="6"/>
  <c r="M13" i="6"/>
  <c r="N13" i="6" s="1"/>
  <c r="D9" i="8"/>
  <c r="K11" i="2"/>
  <c r="C7" i="6"/>
  <c r="G7" i="6" s="1"/>
  <c r="H7" i="6" s="1"/>
  <c r="I7" i="6" s="1"/>
  <c r="L7" i="6" s="1"/>
  <c r="J12" i="6" l="1"/>
  <c r="L11" i="2"/>
  <c r="K12" i="6" s="1"/>
  <c r="L14" i="6"/>
  <c r="L12" i="6"/>
  <c r="M15" i="6"/>
  <c r="N15" i="6" s="1"/>
  <c r="C26" i="6"/>
  <c r="C25" i="6"/>
  <c r="C24" i="6"/>
  <c r="C23" i="6"/>
  <c r="C22" i="6"/>
  <c r="C28" i="6"/>
  <c r="M16" i="6"/>
  <c r="N16" i="6" s="1"/>
  <c r="L6" i="6"/>
  <c r="C21" i="6" s="1"/>
  <c r="M6" i="6"/>
  <c r="N6" i="6" s="1"/>
  <c r="L11" i="6"/>
  <c r="C27" i="6" s="1"/>
  <c r="C29" i="6" l="1"/>
</calcChain>
</file>

<file path=xl/sharedStrings.xml><?xml version="1.0" encoding="utf-8"?>
<sst xmlns="http://schemas.openxmlformats.org/spreadsheetml/2006/main" count="498" uniqueCount="195">
  <si>
    <t>金条产线供应商分级 · 上半年盘点计算模板</t>
  </si>
  <si>
    <t>📍 颜色含义</t>
  </si>
  <si>
    <t>🟡 黄色单元格</t>
  </si>
  <si>
    <t>需要你手动填入的数据（原始输入）</t>
  </si>
  <si>
    <t>🟢 绿色单元格</t>
  </si>
  <si>
    <t>自动计算的中间结果（不要改）</t>
  </si>
  <si>
    <t>🟠 橙色单元格</t>
  </si>
  <si>
    <t>最终结果（评级、清单等）</t>
  </si>
  <si>
    <t>📋 操作步骤</t>
  </si>
  <si>
    <t>Step 1</t>
  </si>
  <si>
    <t>打开「1.赛马分原始数据」填入 12 家供应商 × 6 个月的赛马分</t>
  </si>
  <si>
    <t>Step 2</t>
  </si>
  <si>
    <t>打开「2.SLA扣分台账」填入 Q2 的黄牌/投诉/红线事件次数</t>
  </si>
  <si>
    <t>Step 3</t>
  </si>
  <si>
    <t>打开「3.稳定性检查表」对每家每月4项打 A/B/C</t>
  </si>
  <si>
    <t>Step 4</t>
  </si>
  <si>
    <t>打开「4.供管自评表」对每家5项打 高/中/低 + 填事实依据</t>
  </si>
  <si>
    <t>Step 5</t>
  </si>
  <si>
    <t>打开「5.评级结果」查看自动计算结果</t>
  </si>
  <si>
    <t>Step 6</t>
  </si>
  <si>
    <t>打开「6.三张清单」查看 A/B/C 级分组</t>
  </si>
  <si>
    <t>Step 7</t>
  </si>
  <si>
    <t>打开「7.集中度管控」检查 A 级产能占比</t>
  </si>
  <si>
    <t>Step 8</t>
  </si>
  <si>
    <t>打开「8.清退路径」查看 C 级供应商的处理路径</t>
  </si>
  <si>
    <t>⚠️ 注意事项</t>
  </si>
  <si>
    <t>1</t>
  </si>
  <si>
    <t>供应商ID/名称在 Sheet1 填一次，其他 Sheet 会自动带出（或手动复制保持一致）</t>
  </si>
  <si>
    <t>2</t>
  </si>
  <si>
    <t>赛马分缺失的月份填 0，并在备注列说明</t>
  </si>
  <si>
    <t>3</t>
  </si>
  <si>
    <t>红线违规=直接C级，不走分数计算</t>
  </si>
  <si>
    <t>4</t>
  </si>
  <si>
    <t>12家样本下，前30%=前4名、中40%=5-9名、后30%=10-12名</t>
  </si>
  <si>
    <t>5</t>
  </si>
  <si>
    <t>趋势Y轴用Q1vsQ2赛马基础分环比，阈值±10%</t>
  </si>
  <si>
    <t>6</t>
  </si>
  <si>
    <t>临界点（第4/5名、第9/10名分差&lt;2分）需人工复核</t>
  </si>
  <si>
    <t>📊 赛马月度评分（100分制）- 原始数据</t>
  </si>
  <si>
    <t>供应商ID</t>
  </si>
  <si>
    <t>供应商名称</t>
  </si>
  <si>
    <t>1月赛马</t>
  </si>
  <si>
    <t>2月赛马</t>
  </si>
  <si>
    <t>3月赛马</t>
  </si>
  <si>
    <t>4月赛马</t>
  </si>
  <si>
    <t>5月赛马</t>
  </si>
  <si>
    <t>6月赛马</t>
  </si>
  <si>
    <t>Q1赛马基础分</t>
  </si>
  <si>
    <t>Q2赛马基础分</t>
  </si>
  <si>
    <t>环比%</t>
  </si>
  <si>
    <t>趋势Y档</t>
  </si>
  <si>
    <t>备注</t>
  </si>
  <si>
    <t>S001</t>
  </si>
  <si>
    <t>供应商A-优</t>
  </si>
  <si>
    <t>S002</t>
  </si>
  <si>
    <t>供应商B-优</t>
  </si>
  <si>
    <t>S003</t>
  </si>
  <si>
    <t>供应商C-优</t>
  </si>
  <si>
    <t>S004</t>
  </si>
  <si>
    <t>供应商D-优边</t>
  </si>
  <si>
    <t>S005</t>
  </si>
  <si>
    <t>供应商E-中上</t>
  </si>
  <si>
    <t>S006</t>
  </si>
  <si>
    <t>供应商F-中</t>
  </si>
  <si>
    <t>S007</t>
  </si>
  <si>
    <t>供应商G-中</t>
  </si>
  <si>
    <t>S008</t>
  </si>
  <si>
    <t>供应商H-中下</t>
  </si>
  <si>
    <t>S009</t>
  </si>
  <si>
    <t>供应商I-中边</t>
  </si>
  <si>
    <t>S010</t>
  </si>
  <si>
    <t>供应商J-差边</t>
  </si>
  <si>
    <t>S011</t>
  </si>
  <si>
    <t>供应商K-差</t>
  </si>
  <si>
    <t>S012</t>
  </si>
  <si>
    <t>供应商L-差红</t>
  </si>
  <si>
    <t>⚠️ SLA/合规扣分台账（Q2）</t>
  </si>
  <si>
    <t>规则：黄牌整改-5分/次 | 有责投诉-5分/次 | 红线违规=直接C级</t>
  </si>
  <si>
    <t>黄牌次数</t>
  </si>
  <si>
    <t>有责投诉次数</t>
  </si>
  <si>
    <t>红线违规</t>
  </si>
  <si>
    <t>Q2合规扣分</t>
  </si>
  <si>
    <t>触发直接C级</t>
  </si>
  <si>
    <t>🔧 月度稳定性检查表（Q2三个月）</t>
  </si>
  <si>
    <t>档位映射：A=+1分 | B=0分 | C=-1分 | 月度稳定性=4项加总（范围-4~+4）</t>
  </si>
  <si>
    <t>4月</t>
  </si>
  <si>
    <t>5月</t>
  </si>
  <si>
    <t>6月</t>
  </si>
  <si>
    <t>Q2稳定性得分</t>
  </si>
  <si>
    <t>人员变动</t>
  </si>
  <si>
    <t>产能波动</t>
  </si>
  <si>
    <t>SLA达成</t>
  </si>
  <si>
    <t>突发情况</t>
  </si>
  <si>
    <t>A</t>
  </si>
  <si>
    <t>B</t>
  </si>
  <si>
    <t>C</t>
  </si>
  <si>
    <t>📝 供管自评5项（Q2）</t>
  </si>
  <si>
    <t>规则：高=1分 | 中=0分 | 低=0分 | 加分=5项中评高的项数（封顶5）</t>
  </si>
  <si>
    <t>战略协作</t>
  </si>
  <si>
    <t>响应质量</t>
  </si>
  <si>
    <t>高效执行</t>
  </si>
  <si>
    <t>共同成长</t>
  </si>
  <si>
    <t>坦诚透明</t>
  </si>
  <si>
    <t>自评加分</t>
  </si>
  <si>
    <t>高</t>
  </si>
  <si>
    <t>中</t>
  </si>
  <si>
    <t>低</t>
  </si>
  <si>
    <t>🏆 供应商分级评级结果（自动计算）</t>
  </si>
  <si>
    <t>⚠️ 本表全部自动计算，无需手动修改。数据源：Sheet 1-4</t>
  </si>
  <si>
    <t>Q2供管自评加分</t>
  </si>
  <si>
    <t>最终得分</t>
  </si>
  <si>
    <t>排名</t>
  </si>
  <si>
    <t>X档(贡献)</t>
  </si>
  <si>
    <t>Y档(趋势)</t>
  </si>
  <si>
    <t>九宫格位置</t>
  </si>
  <si>
    <t>ABC评级</t>
  </si>
  <si>
    <t>评级说明</t>
  </si>
  <si>
    <t>📊 九宫格分布统计</t>
  </si>
  <si>
    <t>含义</t>
  </si>
  <si>
    <t>数量</t>
  </si>
  <si>
    <t>高-上升</t>
  </si>
  <si>
    <t>战略绑定</t>
  </si>
  <si>
    <t>高-持平</t>
  </si>
  <si>
    <t>核心保持</t>
  </si>
  <si>
    <t>高-下降</t>
  </si>
  <si>
    <t>防止下滑</t>
  </si>
  <si>
    <t>中-上升</t>
  </si>
  <si>
    <t>重点培养</t>
  </si>
  <si>
    <t>中-持平</t>
  </si>
  <si>
    <t>稳定维持</t>
  </si>
  <si>
    <t>中-下降</t>
  </si>
  <si>
    <t>关注下降</t>
  </si>
  <si>
    <t>低-上升</t>
  </si>
  <si>
    <t>边缘培养</t>
  </si>
  <si>
    <t>低-持平</t>
  </si>
  <si>
    <t>观察区</t>
  </si>
  <si>
    <t>低-下降</t>
  </si>
  <si>
    <t>预警清退</t>
  </si>
  <si>
    <t>📋 三张清单（保留/培养/优化）</t>
  </si>
  <si>
    <t>🟢 保留清单（A级）</t>
  </si>
  <si>
    <t>九宫格</t>
  </si>
  <si>
    <t>关键优势（手填）</t>
  </si>
  <si>
    <t>保留理由（手填）</t>
  </si>
  <si>
    <t>资源倾斜建议（手填）</t>
  </si>
  <si>
    <t>💡 建议操作：打开「5.评级结果」，按 ABC评级 列筛选，复制对应供应商到这里</t>
  </si>
  <si>
    <t>🟡 培养清单（B级）</t>
  </si>
  <si>
    <t>短板（手填）</t>
  </si>
  <si>
    <t>培养方向（手填）</t>
  </si>
  <si>
    <t>提升路径（手填）</t>
  </si>
  <si>
    <t>🔴 优化清单（C级）</t>
  </si>
  <si>
    <t>主要问题（手填）</t>
  </si>
  <si>
    <t>整改/清退路径（手填）</t>
  </si>
  <si>
    <t>时间节点（手填）</t>
  </si>
  <si>
    <t>📊 集中度管控检查</t>
  </si>
  <si>
    <t>规则：A级供应商合计产能占比 ≤ 40%（PDF第十六条）</t>
  </si>
  <si>
    <t>步骤1：填入A级供应商Q2月均产能</t>
  </si>
  <si>
    <t>Q2月均产能（手填）</t>
  </si>
  <si>
    <t>产能占比</t>
  </si>
  <si>
    <t>是否单家&gt;25%</t>
  </si>
  <si>
    <t>A级合计</t>
  </si>
  <si>
    <t>金条产线总产能（含所有级）</t>
  </si>
  <si>
    <t>集中度检查结论</t>
  </si>
  <si>
    <t>A级合计产能占比</t>
  </si>
  <si>
    <t>阈值</t>
  </si>
  <si>
    <t>是否达标</t>
  </si>
  <si>
    <t>若超标的应对建议：</t>
  </si>
  <si>
    <t>1. 培养B级供应商分流部分产能
2. 引入新供应商稀释集中度
3. 调整资源分配降低单家依赖</t>
  </si>
  <si>
    <t>🚪 清退路径判定（针对C级供应商）</t>
  </si>
  <si>
    <t>按以下顺序判断每家C级供应商走哪条路径</t>
  </si>
  <si>
    <t>是否红线违规</t>
  </si>
  <si>
    <t>是否连续两季C</t>
  </si>
  <si>
    <t>当季C且趋势下降</t>
  </si>
  <si>
    <t>首次C趋势持平/上升</t>
  </si>
  <si>
    <t>走哪条路径</t>
  </si>
  <si>
    <t>关键时间节点</t>
  </si>
  <si>
    <t>三条路径详解</t>
  </si>
  <si>
    <t>路径</t>
  </si>
  <si>
    <t>触发条件</t>
  </si>
  <si>
    <t>流程</t>
  </si>
  <si>
    <t>关键节点</t>
  </si>
  <si>
    <t>路径一：常规清退</t>
  </si>
  <si>
    <t>首次C，趋势持平/上升</t>
  </si>
  <si>
    <t>整改期30天 → 观察期1季度 → 复评 → 达标升B/未达标解约</t>
  </si>
  <si>
    <t>路径二：快车道清退</t>
  </si>
  <si>
    <t>当季C 且 趋势下降</t>
  </si>
  <si>
    <t>通知 → 30天内完成业务交接</t>
  </si>
  <si>
    <t>路径三：红线清退</t>
  </si>
  <si>
    <t>触发红线违规</t>
  </si>
  <si>
    <t>联合评估 → 管理层决策 → 执行交接</t>
  </si>
  <si>
    <t>⚠️ 清退前必检</t>
  </si>
  <si>
    <t>1. 储备库中有可承接的潜在供应商</t>
  </si>
  <si>
    <t>2. 替代供应商已完成入项评估</t>
  </si>
  <si>
    <t>3. 产能、SLA、价格可承接原业务量</t>
  </si>
  <si>
    <t>4. 交接方案已制定</t>
  </si>
  <si>
    <t>5. 清退前1个月必须确定替代供应商（PDF第十三条）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</si>
</sst>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0.0&quot;%&quot;"/>
    <numFmt numFmtId="178" formatCode="0.0%"/>
  </numFmts>
  <fonts count="17">
    <font>
      <sz val="11"/>
      <color theme="1"/>
      <name val="宋体"/>
      <family val="2"/>
      <scheme val="minor"/>
    </font>
    <font>
      <b/>
      <sz val="14"/>
      <color rgb="FF1F4E78"/>
      <name val="微软雅黑"/>
      <family val="2"/>
      <charset val="134"/>
    </font>
    <font>
      <b/>
      <sz val="10"/>
      <name val="微软雅黑"/>
      <family val="2"/>
      <charset val="134"/>
    </font>
    <font>
      <sz val="10"/>
      <name val="微软雅黑"/>
      <family val="2"/>
      <charset val="134"/>
    </font>
    <font>
      <b/>
      <sz val="11"/>
      <color rgb="FFFFFFFF"/>
      <name val="微软雅黑"/>
      <family val="2"/>
      <charset val="134"/>
    </font>
    <font>
      <i/>
      <sz val="9"/>
      <color rgb="FF666666"/>
      <name val="微软雅黑"/>
      <family val="2"/>
      <charset val="134"/>
    </font>
    <font>
      <b/>
      <sz val="11"/>
      <name val="微软雅黑"/>
      <family val="2"/>
      <charset val="134"/>
    </font>
    <font>
      <b/>
      <sz val="10"/>
      <color rgb="FF1F4E78"/>
      <name val="微软雅黑"/>
      <family val="2"/>
      <charset val="134"/>
    </font>
    <font>
      <b/>
      <sz val="12"/>
      <color rgb="FF006100"/>
      <name val="微软雅黑"/>
      <family val="2"/>
      <charset val="134"/>
    </font>
    <font>
      <i/>
      <sz val="10"/>
      <color rgb="FF666666"/>
      <name val="微软雅黑"/>
      <family val="2"/>
      <charset val="134"/>
    </font>
    <font>
      <b/>
      <sz val="12"/>
      <color rgb="FF9C5700"/>
      <name val="微软雅黑"/>
      <family val="2"/>
      <charset val="134"/>
    </font>
    <font>
      <b/>
      <sz val="12"/>
      <color rgb="FF9C0006"/>
      <name val="微软雅黑"/>
      <family val="2"/>
      <charset val="134"/>
    </font>
    <font>
      <b/>
      <sz val="10"/>
      <color rgb="FFC00000"/>
      <name val="微软雅黑"/>
      <family val="2"/>
      <charset val="134"/>
    </font>
    <font>
      <b/>
      <sz val="11"/>
      <name val="宋体"/>
      <family val="3"/>
      <charset val="134"/>
    </font>
    <font>
      <b/>
      <sz val="12"/>
      <name val="宋体"/>
      <family val="3"/>
      <charset val="134"/>
    </font>
    <font>
      <b/>
      <sz val="11"/>
      <color rgb="FFC00000"/>
      <name val="微软雅黑"/>
      <family val="2"/>
      <charset val="134"/>
    </font>
    <font>
      <sz val="9"/>
      <name val="宋体"/>
      <family val="3"/>
      <charset val="134"/>
      <scheme val="minor"/>
    </font>
  </fonts>
  <fills count="10">
    <fill>
      <patternFill patternType="none"/>
    </fill>
    <fill>
      <patternFill patternType="gray125"/>
    </fill>
    <fill>
      <patternFill patternType="solid">
        <fgColor rgb="FF1F4E78"/>
      </patternFill>
    </fill>
    <fill>
      <patternFill patternType="solid">
        <fgColor rgb="FFFFF2CC"/>
      </patternFill>
    </fill>
    <fill>
      <patternFill patternType="solid">
        <fgColor rgb="FFE2EFDA"/>
      </patternFill>
    </fill>
    <fill>
      <patternFill patternType="solid">
        <fgColor rgb="FFFCE4D6"/>
      </patternFill>
    </fill>
    <fill>
      <patternFill patternType="solid">
        <fgColor rgb="FFD6E4F0"/>
      </patternFill>
    </fill>
    <fill>
      <patternFill patternType="solid">
        <fgColor rgb="FFC6EFCE"/>
      </patternFill>
    </fill>
    <fill>
      <patternFill patternType="solid">
        <fgColor rgb="FFFFEB9C"/>
      </patternFill>
    </fill>
    <fill>
      <patternFill patternType="solid">
        <fgColor rgb="FFFFC7CE"/>
      </patternFill>
    </fill>
  </fills>
  <borders count="5">
    <border>
      <left/>
      <right/>
      <top/>
      <bottom/>
      <diagonal/>
    </border>
    <border>
      <left style="thin">
        <color rgb="FFB0B0B0"/>
      </left>
      <right style="thin">
        <color rgb="FFB0B0B0"/>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0B0B0"/>
      </left>
      <right style="thin">
        <color rgb="FFB0B0B0"/>
      </right>
      <top/>
      <bottom style="thin">
        <color rgb="FFB0B0B0"/>
      </bottom>
      <diagonal/>
    </border>
  </borders>
  <cellStyleXfs count="1">
    <xf numFmtId="0" fontId="0" fillId="0" borderId="0"/>
  </cellStyleXfs>
  <cellXfs count="49">
    <xf numFmtId="0" fontId="0" fillId="0" borderId="0" xfId="0"/>
    <xf numFmtId="0" fontId="2" fillId="0" borderId="0" xfId="0" applyFont="1"/>
    <xf numFmtId="0" fontId="4" fillId="2" borderId="1" xfId="0" applyFont="1" applyFill="1" applyBorder="1" applyAlignment="1">
      <alignment horizontal="center" vertical="center" wrapText="1"/>
    </xf>
    <xf numFmtId="0" fontId="0" fillId="3" borderId="1" xfId="0" applyFill="1" applyBorder="1"/>
    <xf numFmtId="176" fontId="0" fillId="4" borderId="1" xfId="0" applyNumberFormat="1" applyFill="1" applyBorder="1"/>
    <xf numFmtId="177" fontId="0" fillId="4" borderId="1" xfId="0" applyNumberFormat="1" applyFill="1" applyBorder="1"/>
    <xf numFmtId="0" fontId="0" fillId="4" borderId="1" xfId="0" applyFill="1" applyBorder="1"/>
    <xf numFmtId="0" fontId="0" fillId="0" borderId="1" xfId="0" applyBorder="1"/>
    <xf numFmtId="176" fontId="0" fillId="0" borderId="1" xfId="0" applyNumberFormat="1" applyBorder="1"/>
    <xf numFmtId="0" fontId="6" fillId="5" borderId="1" xfId="0" applyFont="1" applyFill="1" applyBorder="1"/>
    <xf numFmtId="177" fontId="0" fillId="0" borderId="1" xfId="0" applyNumberFormat="1" applyBorder="1"/>
    <xf numFmtId="0" fontId="7" fillId="6" borderId="1" xfId="0" applyFont="1" applyFill="1" applyBorder="1" applyAlignment="1">
      <alignment horizontal="center" vertical="center" wrapText="1"/>
    </xf>
    <xf numFmtId="0" fontId="0" fillId="3" borderId="0" xfId="0" applyFill="1"/>
    <xf numFmtId="178" fontId="0" fillId="4" borderId="0" xfId="0" applyNumberFormat="1" applyFill="1"/>
    <xf numFmtId="0" fontId="0" fillId="4" borderId="0" xfId="0" applyFill="1"/>
    <xf numFmtId="0" fontId="2" fillId="5" borderId="0" xfId="0" applyFont="1" applyFill="1"/>
    <xf numFmtId="178" fontId="2" fillId="5" borderId="0" xfId="0" applyNumberFormat="1" applyFont="1" applyFill="1"/>
    <xf numFmtId="0" fontId="13" fillId="0" borderId="0" xfId="0" applyFont="1"/>
    <xf numFmtId="0" fontId="13" fillId="3" borderId="0" xfId="0" applyFont="1" applyFill="1"/>
    <xf numFmtId="178" fontId="13" fillId="0" borderId="0" xfId="0" applyNumberFormat="1" applyFont="1"/>
    <xf numFmtId="178" fontId="0" fillId="0" borderId="0" xfId="0" applyNumberFormat="1"/>
    <xf numFmtId="0" fontId="14" fillId="0" borderId="0" xfId="0" applyFont="1"/>
    <xf numFmtId="0" fontId="0" fillId="5" borderId="1" xfId="0" applyFill="1" applyBorder="1"/>
    <xf numFmtId="0" fontId="7" fillId="6" borderId="0" xfId="0" applyFont="1" applyFill="1" applyAlignment="1">
      <alignment horizontal="center" vertical="center" wrapText="1"/>
    </xf>
    <xf numFmtId="0" fontId="13"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2" xfId="0" applyBorder="1"/>
    <xf numFmtId="0" fontId="0" fillId="0" borderId="3" xfId="0" applyBorder="1"/>
    <xf numFmtId="0" fontId="3" fillId="0" borderId="0" xfId="0" applyFont="1" applyAlignment="1">
      <alignment horizontal="left" vertical="center" wrapText="1"/>
    </xf>
    <xf numFmtId="0" fontId="0" fillId="0" borderId="0" xfId="0"/>
    <xf numFmtId="0" fontId="1" fillId="0" borderId="0" xfId="0" applyFont="1"/>
    <xf numFmtId="0" fontId="5" fillId="0" borderId="0" xfId="0" applyFont="1"/>
    <xf numFmtId="0" fontId="4" fillId="2" borderId="1" xfId="0" applyFont="1" applyFill="1" applyBorder="1" applyAlignment="1">
      <alignment horizontal="center" vertical="center" wrapText="1"/>
    </xf>
    <xf numFmtId="0" fontId="0" fillId="0" borderId="2" xfId="0" applyBorder="1"/>
    <xf numFmtId="0" fontId="0" fillId="0" borderId="3" xfId="0" applyBorder="1"/>
    <xf numFmtId="0" fontId="0" fillId="0" borderId="4" xfId="0" applyBorder="1"/>
    <xf numFmtId="0" fontId="7" fillId="6" borderId="0" xfId="0" applyFont="1" applyFill="1" applyAlignment="1">
      <alignment horizontal="left" vertical="center"/>
    </xf>
    <xf numFmtId="0" fontId="10" fillId="8" borderId="0" xfId="0" applyFont="1" applyFill="1"/>
    <xf numFmtId="0" fontId="11" fillId="9" borderId="0" xfId="0" applyFont="1" applyFill="1"/>
    <xf numFmtId="0" fontId="9" fillId="0" borderId="1" xfId="0" applyFont="1" applyBorder="1"/>
    <xf numFmtId="0" fontId="8" fillId="7" borderId="0" xfId="0" applyFont="1" applyFill="1"/>
    <xf numFmtId="0" fontId="0" fillId="0" borderId="0" xfId="0" applyAlignment="1">
      <alignment vertical="top" wrapText="1"/>
    </xf>
    <xf numFmtId="0" fontId="13" fillId="0" borderId="0" xfId="0" applyFont="1"/>
    <xf numFmtId="0" fontId="7" fillId="6" borderId="0" xfId="0" applyFont="1" applyFill="1"/>
    <xf numFmtId="0" fontId="12" fillId="0" borderId="0" xfId="0" applyFont="1"/>
    <xf numFmtId="0" fontId="0" fillId="0" borderId="1" xfId="0" applyBorder="1" applyAlignment="1">
      <alignment horizontal="left" vertical="center" wrapText="1"/>
    </xf>
    <xf numFmtId="0" fontId="9" fillId="0" borderId="0" xfId="0" applyFont="1"/>
    <xf numFmtId="0" fontId="15" fillId="0" borderId="0" xfId="0" applyFont="1"/>
    <xf numFmtId="0" fontId="5" fillId="0" borderId="0" xfId="0" applyFont="1" applyAlignment="1">
      <alignment horizontal="center" wrapText="1"/>
    </xf>
  </cellXfs>
  <cellStyles count="1">
    <cellStyle name="常规" xfId="0" builtinId="0"/>
  </cellStyles>
  <dxfs count="3">
    <dxf>
      <fill>
        <patternFill patternType="solid">
          <fgColor rgb="FFFFC7CE"/>
        </patternFill>
      </fill>
    </dxf>
    <dxf>
      <fill>
        <patternFill patternType="solid">
          <fgColor rgb="FFFFEB9C"/>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6"/>
  <sheetViews>
    <sheetView workbookViewId="0"/>
  </sheetViews>
  <sheetFormatPr baseColWidth="10" defaultColWidth="8.83203125" defaultRowHeight="14"/>
  <cols>
    <col min="1" max="1" width="3" customWidth="1"/>
    <col min="2" max="2" width="22" customWidth="1"/>
    <col min="3" max="8" width="18" customWidth="1"/>
  </cols>
  <sheetData>
    <row r="2" spans="2:8" ht="21">
      <c r="B2" s="30" t="s">
        <v>0</v>
      </c>
      <c r="C2" s="29"/>
      <c r="D2" s="29"/>
      <c r="E2" s="29"/>
      <c r="F2" s="29"/>
      <c r="G2" s="29"/>
      <c r="H2" s="29"/>
    </row>
    <row r="4" spans="2:8" ht="16">
      <c r="B4" s="1"/>
      <c r="C4" s="28"/>
      <c r="D4" s="29"/>
      <c r="E4" s="29"/>
      <c r="F4" s="29"/>
      <c r="G4" s="29"/>
      <c r="H4" s="29"/>
    </row>
    <row r="5" spans="2:8" ht="16">
      <c r="B5" s="1" t="s">
        <v>1</v>
      </c>
      <c r="C5" s="28"/>
      <c r="D5" s="29"/>
      <c r="E5" s="29"/>
      <c r="F5" s="29"/>
      <c r="G5" s="29"/>
      <c r="H5" s="29"/>
    </row>
    <row r="6" spans="2:8" ht="16">
      <c r="B6" s="1" t="s">
        <v>2</v>
      </c>
      <c r="C6" s="28" t="s">
        <v>3</v>
      </c>
      <c r="D6" s="29"/>
      <c r="E6" s="29"/>
      <c r="F6" s="29"/>
      <c r="G6" s="29"/>
      <c r="H6" s="29"/>
    </row>
    <row r="7" spans="2:8" ht="16">
      <c r="B7" s="1" t="s">
        <v>4</v>
      </c>
      <c r="C7" s="28" t="s">
        <v>5</v>
      </c>
      <c r="D7" s="29"/>
      <c r="E7" s="29"/>
      <c r="F7" s="29"/>
      <c r="G7" s="29"/>
      <c r="H7" s="29"/>
    </row>
    <row r="8" spans="2:8" ht="16">
      <c r="B8" s="1" t="s">
        <v>6</v>
      </c>
      <c r="C8" s="28" t="s">
        <v>7</v>
      </c>
      <c r="D8" s="29"/>
      <c r="E8" s="29"/>
      <c r="F8" s="29"/>
      <c r="G8" s="29"/>
      <c r="H8" s="29"/>
    </row>
    <row r="9" spans="2:8" ht="16">
      <c r="B9" s="1"/>
      <c r="C9" s="28"/>
      <c r="D9" s="29"/>
      <c r="E9" s="29"/>
      <c r="F9" s="29"/>
      <c r="G9" s="29"/>
      <c r="H9" s="29"/>
    </row>
    <row r="10" spans="2:8" ht="16">
      <c r="B10" s="1" t="s">
        <v>8</v>
      </c>
      <c r="C10" s="28"/>
      <c r="D10" s="29"/>
      <c r="E10" s="29"/>
      <c r="F10" s="29"/>
      <c r="G10" s="29"/>
      <c r="H10" s="29"/>
    </row>
    <row r="11" spans="2:8" ht="16">
      <c r="B11" s="1" t="s">
        <v>9</v>
      </c>
      <c r="C11" s="28" t="s">
        <v>10</v>
      </c>
      <c r="D11" s="29"/>
      <c r="E11" s="29"/>
      <c r="F11" s="29"/>
      <c r="G11" s="29"/>
      <c r="H11" s="29"/>
    </row>
    <row r="12" spans="2:8" ht="16">
      <c r="B12" s="1" t="s">
        <v>11</v>
      </c>
      <c r="C12" s="28" t="s">
        <v>12</v>
      </c>
      <c r="D12" s="29"/>
      <c r="E12" s="29"/>
      <c r="F12" s="29"/>
      <c r="G12" s="29"/>
      <c r="H12" s="29"/>
    </row>
    <row r="13" spans="2:8" ht="16">
      <c r="B13" s="1" t="s">
        <v>13</v>
      </c>
      <c r="C13" s="28" t="s">
        <v>14</v>
      </c>
      <c r="D13" s="29"/>
      <c r="E13" s="29"/>
      <c r="F13" s="29"/>
      <c r="G13" s="29"/>
      <c r="H13" s="29"/>
    </row>
    <row r="14" spans="2:8" ht="16">
      <c r="B14" s="1" t="s">
        <v>15</v>
      </c>
      <c r="C14" s="28" t="s">
        <v>16</v>
      </c>
      <c r="D14" s="29"/>
      <c r="E14" s="29"/>
      <c r="F14" s="29"/>
      <c r="G14" s="29"/>
      <c r="H14" s="29"/>
    </row>
    <row r="15" spans="2:8" ht="16">
      <c r="B15" s="1" t="s">
        <v>17</v>
      </c>
      <c r="C15" s="28" t="s">
        <v>18</v>
      </c>
      <c r="D15" s="29"/>
      <c r="E15" s="29"/>
      <c r="F15" s="29"/>
      <c r="G15" s="29"/>
      <c r="H15" s="29"/>
    </row>
    <row r="16" spans="2:8" ht="16">
      <c r="B16" s="1" t="s">
        <v>19</v>
      </c>
      <c r="C16" s="28" t="s">
        <v>20</v>
      </c>
      <c r="D16" s="29"/>
      <c r="E16" s="29"/>
      <c r="F16" s="29"/>
      <c r="G16" s="29"/>
      <c r="H16" s="29"/>
    </row>
    <row r="17" spans="2:8" ht="16">
      <c r="B17" s="1" t="s">
        <v>21</v>
      </c>
      <c r="C17" s="28" t="s">
        <v>22</v>
      </c>
      <c r="D17" s="29"/>
      <c r="E17" s="29"/>
      <c r="F17" s="29"/>
      <c r="G17" s="29"/>
      <c r="H17" s="29"/>
    </row>
    <row r="18" spans="2:8" ht="16">
      <c r="B18" s="1" t="s">
        <v>23</v>
      </c>
      <c r="C18" s="28" t="s">
        <v>24</v>
      </c>
      <c r="D18" s="29"/>
      <c r="E18" s="29"/>
      <c r="F18" s="29"/>
      <c r="G18" s="29"/>
      <c r="H18" s="29"/>
    </row>
    <row r="19" spans="2:8" ht="16">
      <c r="B19" s="1"/>
      <c r="C19" s="28"/>
      <c r="D19" s="29"/>
      <c r="E19" s="29"/>
      <c r="F19" s="29"/>
      <c r="G19" s="29"/>
      <c r="H19" s="29"/>
    </row>
    <row r="20" spans="2:8" ht="16">
      <c r="B20" s="1" t="s">
        <v>25</v>
      </c>
      <c r="C20" s="28"/>
      <c r="D20" s="29"/>
      <c r="E20" s="29"/>
      <c r="F20" s="29"/>
      <c r="G20" s="29"/>
      <c r="H20" s="29"/>
    </row>
    <row r="21" spans="2:8" ht="16">
      <c r="B21" s="1" t="s">
        <v>26</v>
      </c>
      <c r="C21" s="28" t="s">
        <v>27</v>
      </c>
      <c r="D21" s="29"/>
      <c r="E21" s="29"/>
      <c r="F21" s="29"/>
      <c r="G21" s="29"/>
      <c r="H21" s="29"/>
    </row>
    <row r="22" spans="2:8" ht="16">
      <c r="B22" s="1" t="s">
        <v>28</v>
      </c>
      <c r="C22" s="28" t="s">
        <v>29</v>
      </c>
      <c r="D22" s="29"/>
      <c r="E22" s="29"/>
      <c r="F22" s="29"/>
      <c r="G22" s="29"/>
      <c r="H22" s="29"/>
    </row>
    <row r="23" spans="2:8" ht="16">
      <c r="B23" s="1" t="s">
        <v>30</v>
      </c>
      <c r="C23" s="28" t="s">
        <v>31</v>
      </c>
      <c r="D23" s="29"/>
      <c r="E23" s="29"/>
      <c r="F23" s="29"/>
      <c r="G23" s="29"/>
      <c r="H23" s="29"/>
    </row>
    <row r="24" spans="2:8" ht="16">
      <c r="B24" s="1" t="s">
        <v>32</v>
      </c>
      <c r="C24" s="28" t="s">
        <v>33</v>
      </c>
      <c r="D24" s="29"/>
      <c r="E24" s="29"/>
      <c r="F24" s="29"/>
      <c r="G24" s="29"/>
      <c r="H24" s="29"/>
    </row>
    <row r="25" spans="2:8" ht="16">
      <c r="B25" s="1" t="s">
        <v>34</v>
      </c>
      <c r="C25" s="28" t="s">
        <v>35</v>
      </c>
      <c r="D25" s="29"/>
      <c r="E25" s="29"/>
      <c r="F25" s="29"/>
      <c r="G25" s="29"/>
      <c r="H25" s="29"/>
    </row>
    <row r="26" spans="2:8" ht="16">
      <c r="B26" s="1" t="s">
        <v>36</v>
      </c>
      <c r="C26" s="28" t="s">
        <v>37</v>
      </c>
      <c r="D26" s="29"/>
      <c r="E26" s="29"/>
      <c r="F26" s="29"/>
      <c r="G26" s="29"/>
      <c r="H26" s="29"/>
    </row>
  </sheetData>
  <mergeCells count="24">
    <mergeCell ref="C26:H26"/>
    <mergeCell ref="C20:H20"/>
    <mergeCell ref="B2:H2"/>
    <mergeCell ref="C18:H18"/>
    <mergeCell ref="C15:H15"/>
    <mergeCell ref="C6:H6"/>
    <mergeCell ref="C24:H24"/>
    <mergeCell ref="C14:H14"/>
    <mergeCell ref="C5:H5"/>
    <mergeCell ref="C4:H4"/>
    <mergeCell ref="C8:H8"/>
    <mergeCell ref="C17:H17"/>
    <mergeCell ref="C7:H7"/>
    <mergeCell ref="C19:H19"/>
    <mergeCell ref="C13:H13"/>
    <mergeCell ref="C25:H25"/>
    <mergeCell ref="C10:H10"/>
    <mergeCell ref="C16:H16"/>
    <mergeCell ref="C22:H22"/>
    <mergeCell ref="C9:H9"/>
    <mergeCell ref="C12:H12"/>
    <mergeCell ref="C21:H21"/>
    <mergeCell ref="C11:H11"/>
    <mergeCell ref="C23:H23"/>
  </mergeCells>
  <phoneticPr fontId="16"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5"/>
  <sheetViews>
    <sheetView workbookViewId="0">
      <pane xSplit="2" ySplit="3" topLeftCell="C4" activePane="bottomRight" state="frozen"/>
      <selection pane="topRight"/>
      <selection pane="bottomLeft"/>
      <selection pane="bottomRight" sqref="A1:M1"/>
    </sheetView>
  </sheetViews>
  <sheetFormatPr baseColWidth="10" defaultColWidth="8.83203125" defaultRowHeight="14"/>
  <cols>
    <col min="1" max="1" width="12" customWidth="1"/>
    <col min="2" max="2" width="20" customWidth="1"/>
    <col min="3" max="8" width="10" customWidth="1"/>
    <col min="9" max="10" width="12" customWidth="1"/>
    <col min="11" max="12" width="10" customWidth="1"/>
    <col min="13" max="13" width="20" customWidth="1"/>
  </cols>
  <sheetData>
    <row r="1" spans="1:13" ht="21">
      <c r="A1" s="30" t="s">
        <v>38</v>
      </c>
      <c r="B1" s="29"/>
      <c r="C1" s="29"/>
      <c r="D1" s="29"/>
      <c r="E1" s="29"/>
      <c r="F1" s="29"/>
      <c r="G1" s="29"/>
      <c r="H1" s="29"/>
      <c r="I1" s="29"/>
      <c r="J1" s="29"/>
      <c r="K1" s="29"/>
      <c r="L1" s="29"/>
      <c r="M1" s="29"/>
    </row>
    <row r="3" spans="1:13" ht="36">
      <c r="A3" s="2" t="s">
        <v>39</v>
      </c>
      <c r="B3" s="2" t="s">
        <v>40</v>
      </c>
      <c r="C3" s="2" t="s">
        <v>41</v>
      </c>
      <c r="D3" s="2" t="s">
        <v>42</v>
      </c>
      <c r="E3" s="2" t="s">
        <v>43</v>
      </c>
      <c r="F3" s="2" t="s">
        <v>44</v>
      </c>
      <c r="G3" s="2" t="s">
        <v>45</v>
      </c>
      <c r="H3" s="2" t="s">
        <v>46</v>
      </c>
      <c r="I3" s="2" t="s">
        <v>47</v>
      </c>
      <c r="J3" s="2" t="s">
        <v>48</v>
      </c>
      <c r="K3" s="2" t="s">
        <v>49</v>
      </c>
      <c r="L3" s="2" t="s">
        <v>50</v>
      </c>
      <c r="M3" s="2" t="s">
        <v>51</v>
      </c>
    </row>
    <row r="4" spans="1:13">
      <c r="A4" s="3" t="s">
        <v>52</v>
      </c>
      <c r="B4" s="3" t="s">
        <v>53</v>
      </c>
      <c r="C4" s="3">
        <v>90</v>
      </c>
      <c r="D4" s="3">
        <v>92</v>
      </c>
      <c r="E4" s="3">
        <v>94</v>
      </c>
      <c r="F4" s="3">
        <v>91</v>
      </c>
      <c r="G4" s="3">
        <v>93</v>
      </c>
      <c r="H4" s="3">
        <v>95</v>
      </c>
      <c r="I4" s="4">
        <f t="shared" ref="I4:I15" si="0">IFERROR(AVERAGE(C4:E4),0)</f>
        <v>92</v>
      </c>
      <c r="J4" s="4">
        <f t="shared" ref="J4:J15" si="1">IFERROR(AVERAGE(F4:H4),0)</f>
        <v>93</v>
      </c>
      <c r="K4" s="5">
        <f t="shared" ref="K4:K15" si="2">IF(I4=0,"",ROUND((J4-I4)/I4*100,1))</f>
        <v>1.1000000000000001</v>
      </c>
      <c r="L4" s="6" t="str">
        <f t="shared" ref="L4:L15" si="3">IF(K4="","数据不全",IF(K4&gt;10,"上升",IF(K4&lt;-10,"下降","持平")))</f>
        <v>持平</v>
      </c>
      <c r="M4" s="3"/>
    </row>
    <row r="5" spans="1:13">
      <c r="A5" s="3" t="s">
        <v>54</v>
      </c>
      <c r="B5" s="3" t="s">
        <v>55</v>
      </c>
      <c r="C5" s="3">
        <v>88</v>
      </c>
      <c r="D5" s="3">
        <v>86</v>
      </c>
      <c r="E5" s="3">
        <v>90</v>
      </c>
      <c r="F5" s="3">
        <v>89</v>
      </c>
      <c r="G5" s="3">
        <v>91</v>
      </c>
      <c r="H5" s="3">
        <v>93</v>
      </c>
      <c r="I5" s="4">
        <f t="shared" si="0"/>
        <v>88</v>
      </c>
      <c r="J5" s="4">
        <f t="shared" si="1"/>
        <v>91</v>
      </c>
      <c r="K5" s="5">
        <f t="shared" si="2"/>
        <v>3.4</v>
      </c>
      <c r="L5" s="6" t="str">
        <f t="shared" si="3"/>
        <v>持平</v>
      </c>
      <c r="M5" s="3"/>
    </row>
    <row r="6" spans="1:13">
      <c r="A6" s="3" t="s">
        <v>56</v>
      </c>
      <c r="B6" s="3" t="s">
        <v>57</v>
      </c>
      <c r="C6" s="3">
        <v>85</v>
      </c>
      <c r="D6" s="3">
        <v>87</v>
      </c>
      <c r="E6" s="3">
        <v>83</v>
      </c>
      <c r="F6" s="3">
        <v>88</v>
      </c>
      <c r="G6" s="3">
        <v>90</v>
      </c>
      <c r="H6" s="3">
        <v>92</v>
      </c>
      <c r="I6" s="4">
        <f t="shared" si="0"/>
        <v>85</v>
      </c>
      <c r="J6" s="4">
        <f t="shared" si="1"/>
        <v>90</v>
      </c>
      <c r="K6" s="5">
        <f t="shared" si="2"/>
        <v>5.9</v>
      </c>
      <c r="L6" s="6" t="str">
        <f t="shared" si="3"/>
        <v>持平</v>
      </c>
      <c r="M6" s="3"/>
    </row>
    <row r="7" spans="1:13">
      <c r="A7" s="3" t="s">
        <v>58</v>
      </c>
      <c r="B7" s="3" t="s">
        <v>59</v>
      </c>
      <c r="C7" s="3">
        <v>82</v>
      </c>
      <c r="D7" s="3">
        <v>84</v>
      </c>
      <c r="E7" s="3">
        <v>86</v>
      </c>
      <c r="F7" s="3">
        <v>85</v>
      </c>
      <c r="G7" s="3">
        <v>87</v>
      </c>
      <c r="H7" s="3">
        <v>89</v>
      </c>
      <c r="I7" s="4">
        <f t="shared" si="0"/>
        <v>84</v>
      </c>
      <c r="J7" s="4">
        <f t="shared" si="1"/>
        <v>87</v>
      </c>
      <c r="K7" s="5">
        <f t="shared" si="2"/>
        <v>3.6</v>
      </c>
      <c r="L7" s="6" t="str">
        <f t="shared" si="3"/>
        <v>持平</v>
      </c>
      <c r="M7" s="3"/>
    </row>
    <row r="8" spans="1:13">
      <c r="A8" s="3" t="s">
        <v>60</v>
      </c>
      <c r="B8" s="3" t="s">
        <v>61</v>
      </c>
      <c r="C8" s="3">
        <v>78</v>
      </c>
      <c r="D8" s="3">
        <v>80</v>
      </c>
      <c r="E8" s="3">
        <v>76</v>
      </c>
      <c r="F8" s="3">
        <v>82</v>
      </c>
      <c r="G8" s="3">
        <v>84</v>
      </c>
      <c r="H8" s="3">
        <v>86</v>
      </c>
      <c r="I8" s="4">
        <f t="shared" si="0"/>
        <v>78</v>
      </c>
      <c r="J8" s="4">
        <f t="shared" si="1"/>
        <v>84</v>
      </c>
      <c r="K8" s="5">
        <f t="shared" si="2"/>
        <v>7.7</v>
      </c>
      <c r="L8" s="6" t="str">
        <f t="shared" si="3"/>
        <v>持平</v>
      </c>
      <c r="M8" s="3"/>
    </row>
    <row r="9" spans="1:13">
      <c r="A9" s="3" t="s">
        <v>62</v>
      </c>
      <c r="B9" s="3" t="s">
        <v>63</v>
      </c>
      <c r="C9" s="3">
        <v>75</v>
      </c>
      <c r="D9" s="3">
        <v>77</v>
      </c>
      <c r="E9" s="3">
        <v>73</v>
      </c>
      <c r="F9" s="3">
        <v>78</v>
      </c>
      <c r="G9" s="3">
        <v>80</v>
      </c>
      <c r="H9" s="3">
        <v>82</v>
      </c>
      <c r="I9" s="4">
        <f t="shared" si="0"/>
        <v>75</v>
      </c>
      <c r="J9" s="4">
        <f t="shared" si="1"/>
        <v>80</v>
      </c>
      <c r="K9" s="5">
        <f t="shared" si="2"/>
        <v>6.7</v>
      </c>
      <c r="L9" s="6" t="str">
        <f t="shared" si="3"/>
        <v>持平</v>
      </c>
      <c r="M9" s="3"/>
    </row>
    <row r="10" spans="1:13">
      <c r="A10" s="3" t="s">
        <v>64</v>
      </c>
      <c r="B10" s="3" t="s">
        <v>65</v>
      </c>
      <c r="C10" s="3">
        <v>72</v>
      </c>
      <c r="D10" s="3">
        <v>74</v>
      </c>
      <c r="E10" s="3">
        <v>70</v>
      </c>
      <c r="F10" s="3">
        <v>76</v>
      </c>
      <c r="G10" s="3">
        <v>78</v>
      </c>
      <c r="H10" s="3">
        <v>80</v>
      </c>
      <c r="I10" s="4">
        <f t="shared" si="0"/>
        <v>72</v>
      </c>
      <c r="J10" s="4">
        <f t="shared" si="1"/>
        <v>78</v>
      </c>
      <c r="K10" s="5">
        <f t="shared" si="2"/>
        <v>8.3000000000000007</v>
      </c>
      <c r="L10" s="6" t="str">
        <f t="shared" si="3"/>
        <v>持平</v>
      </c>
      <c r="M10" s="3"/>
    </row>
    <row r="11" spans="1:13">
      <c r="A11" s="3" t="s">
        <v>66</v>
      </c>
      <c r="B11" s="3" t="s">
        <v>67</v>
      </c>
      <c r="C11" s="3">
        <v>68</v>
      </c>
      <c r="D11" s="3">
        <v>70</v>
      </c>
      <c r="E11" s="3">
        <v>66</v>
      </c>
      <c r="F11" s="3">
        <v>72</v>
      </c>
      <c r="G11" s="3">
        <v>74</v>
      </c>
      <c r="H11" s="3">
        <v>76</v>
      </c>
      <c r="I11" s="4">
        <f t="shared" si="0"/>
        <v>68</v>
      </c>
      <c r="J11" s="4">
        <f t="shared" si="1"/>
        <v>74</v>
      </c>
      <c r="K11" s="5">
        <f t="shared" si="2"/>
        <v>8.8000000000000007</v>
      </c>
      <c r="L11" s="6" t="str">
        <f t="shared" si="3"/>
        <v>持平</v>
      </c>
      <c r="M11" s="3"/>
    </row>
    <row r="12" spans="1:13">
      <c r="A12" s="3" t="s">
        <v>68</v>
      </c>
      <c r="B12" s="3" t="s">
        <v>69</v>
      </c>
      <c r="C12" s="3">
        <v>65</v>
      </c>
      <c r="D12" s="3">
        <v>67</v>
      </c>
      <c r="E12" s="3">
        <v>63</v>
      </c>
      <c r="F12" s="3">
        <v>69</v>
      </c>
      <c r="G12" s="3">
        <v>71</v>
      </c>
      <c r="H12" s="3">
        <v>73</v>
      </c>
      <c r="I12" s="4">
        <f t="shared" si="0"/>
        <v>65</v>
      </c>
      <c r="J12" s="4">
        <f t="shared" si="1"/>
        <v>71</v>
      </c>
      <c r="K12" s="5">
        <f t="shared" si="2"/>
        <v>9.1999999999999993</v>
      </c>
      <c r="L12" s="6" t="str">
        <f t="shared" si="3"/>
        <v>持平</v>
      </c>
      <c r="M12" s="3"/>
    </row>
    <row r="13" spans="1:13">
      <c r="A13" s="3" t="s">
        <v>70</v>
      </c>
      <c r="B13" s="3" t="s">
        <v>71</v>
      </c>
      <c r="C13" s="3">
        <v>60</v>
      </c>
      <c r="D13" s="3">
        <v>62</v>
      </c>
      <c r="E13" s="3">
        <v>58</v>
      </c>
      <c r="F13" s="3">
        <v>64</v>
      </c>
      <c r="G13" s="3">
        <v>66</v>
      </c>
      <c r="H13" s="3">
        <v>68</v>
      </c>
      <c r="I13" s="4">
        <f t="shared" si="0"/>
        <v>60</v>
      </c>
      <c r="J13" s="4">
        <f t="shared" si="1"/>
        <v>66</v>
      </c>
      <c r="K13" s="5">
        <f t="shared" si="2"/>
        <v>10</v>
      </c>
      <c r="L13" s="6" t="str">
        <f t="shared" si="3"/>
        <v>持平</v>
      </c>
      <c r="M13" s="3"/>
    </row>
    <row r="14" spans="1:13">
      <c r="A14" s="3" t="s">
        <v>72</v>
      </c>
      <c r="B14" s="3" t="s">
        <v>73</v>
      </c>
      <c r="C14" s="3">
        <v>55</v>
      </c>
      <c r="D14" s="3">
        <v>57</v>
      </c>
      <c r="E14" s="3">
        <v>53</v>
      </c>
      <c r="F14" s="3">
        <v>58</v>
      </c>
      <c r="G14" s="3">
        <v>60</v>
      </c>
      <c r="H14" s="3">
        <v>62</v>
      </c>
      <c r="I14" s="4">
        <f t="shared" si="0"/>
        <v>55</v>
      </c>
      <c r="J14" s="4">
        <f t="shared" si="1"/>
        <v>60</v>
      </c>
      <c r="K14" s="5">
        <f t="shared" si="2"/>
        <v>9.1</v>
      </c>
      <c r="L14" s="6" t="str">
        <f t="shared" si="3"/>
        <v>持平</v>
      </c>
      <c r="M14" s="3"/>
    </row>
    <row r="15" spans="1:13">
      <c r="A15" s="3" t="s">
        <v>74</v>
      </c>
      <c r="B15" s="3" t="s">
        <v>75</v>
      </c>
      <c r="C15" s="3">
        <v>50</v>
      </c>
      <c r="D15" s="3">
        <v>52</v>
      </c>
      <c r="E15" s="3">
        <v>48</v>
      </c>
      <c r="F15" s="3">
        <v>54</v>
      </c>
      <c r="G15" s="3">
        <v>56</v>
      </c>
      <c r="H15" s="3">
        <v>58</v>
      </c>
      <c r="I15" s="4">
        <f t="shared" si="0"/>
        <v>50</v>
      </c>
      <c r="J15" s="4">
        <f t="shared" si="1"/>
        <v>56</v>
      </c>
      <c r="K15" s="5">
        <f t="shared" si="2"/>
        <v>12</v>
      </c>
      <c r="L15" s="6" t="str">
        <f t="shared" si="3"/>
        <v>上升</v>
      </c>
      <c r="M15" s="3"/>
    </row>
  </sheetData>
  <mergeCells count="1">
    <mergeCell ref="A1:M1"/>
  </mergeCells>
  <phoneticPr fontId="1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
  <sheetViews>
    <sheetView workbookViewId="0">
      <selection sqref="A1:G1"/>
    </sheetView>
  </sheetViews>
  <sheetFormatPr baseColWidth="10" defaultColWidth="8.83203125" defaultRowHeight="14"/>
  <cols>
    <col min="1" max="1" width="12" customWidth="1"/>
    <col min="2" max="2" width="20" customWidth="1"/>
    <col min="3" max="3" width="12" customWidth="1"/>
    <col min="4" max="4" width="14" customWidth="1"/>
    <col min="5" max="6" width="12" customWidth="1"/>
    <col min="7" max="7" width="16" customWidth="1"/>
  </cols>
  <sheetData>
    <row r="1" spans="1:7" ht="21">
      <c r="A1" s="30" t="s">
        <v>76</v>
      </c>
      <c r="B1" s="29"/>
      <c r="C1" s="29"/>
      <c r="D1" s="29"/>
      <c r="E1" s="29"/>
      <c r="F1" s="29"/>
      <c r="G1" s="29"/>
    </row>
    <row r="2" spans="1:7" ht="15">
      <c r="A2" s="31" t="s">
        <v>77</v>
      </c>
      <c r="B2" s="29"/>
      <c r="C2" s="29"/>
      <c r="D2" s="29"/>
      <c r="E2" s="29"/>
      <c r="F2" s="29"/>
      <c r="G2" s="29"/>
    </row>
    <row r="4" spans="1:7" ht="18">
      <c r="A4" s="2" t="s">
        <v>39</v>
      </c>
      <c r="B4" s="2" t="s">
        <v>40</v>
      </c>
      <c r="C4" s="2" t="s">
        <v>78</v>
      </c>
      <c r="D4" s="2" t="s">
        <v>79</v>
      </c>
      <c r="E4" s="2" t="s">
        <v>80</v>
      </c>
      <c r="F4" s="2" t="s">
        <v>81</v>
      </c>
      <c r="G4" s="2" t="s">
        <v>82</v>
      </c>
    </row>
    <row r="5" spans="1:7">
      <c r="A5" s="3" t="s">
        <v>52</v>
      </c>
      <c r="B5" s="3" t="s">
        <v>53</v>
      </c>
      <c r="C5" s="3">
        <v>0</v>
      </c>
      <c r="D5" s="3">
        <v>0</v>
      </c>
      <c r="E5" s="3">
        <v>0</v>
      </c>
      <c r="F5" s="6">
        <f t="shared" ref="F5:F16" si="0">C5*5+D5*5</f>
        <v>0</v>
      </c>
      <c r="G5" s="6" t="str">
        <f t="shared" ref="G5:G16" si="1">IF(E5&gt;0,"是·直接C级","否")</f>
        <v>否</v>
      </c>
    </row>
    <row r="6" spans="1:7">
      <c r="A6" s="3" t="s">
        <v>54</v>
      </c>
      <c r="B6" s="3" t="s">
        <v>55</v>
      </c>
      <c r="C6" s="3">
        <v>1</v>
      </c>
      <c r="D6" s="3">
        <v>0</v>
      </c>
      <c r="E6" s="3">
        <v>0</v>
      </c>
      <c r="F6" s="6">
        <f t="shared" si="0"/>
        <v>5</v>
      </c>
      <c r="G6" s="6" t="str">
        <f t="shared" si="1"/>
        <v>否</v>
      </c>
    </row>
    <row r="7" spans="1:7">
      <c r="A7" s="3" t="s">
        <v>56</v>
      </c>
      <c r="B7" s="3" t="s">
        <v>57</v>
      </c>
      <c r="C7" s="3">
        <v>0</v>
      </c>
      <c r="D7" s="3">
        <v>0</v>
      </c>
      <c r="E7" s="3">
        <v>0</v>
      </c>
      <c r="F7" s="6">
        <f t="shared" si="0"/>
        <v>0</v>
      </c>
      <c r="G7" s="6" t="str">
        <f t="shared" si="1"/>
        <v>否</v>
      </c>
    </row>
    <row r="8" spans="1:7">
      <c r="A8" s="3" t="s">
        <v>58</v>
      </c>
      <c r="B8" s="3" t="s">
        <v>59</v>
      </c>
      <c r="C8" s="3">
        <v>0</v>
      </c>
      <c r="D8" s="3">
        <v>1</v>
      </c>
      <c r="E8" s="3">
        <v>0</v>
      </c>
      <c r="F8" s="6">
        <f t="shared" si="0"/>
        <v>5</v>
      </c>
      <c r="G8" s="6" t="str">
        <f t="shared" si="1"/>
        <v>否</v>
      </c>
    </row>
    <row r="9" spans="1:7">
      <c r="A9" s="3" t="s">
        <v>60</v>
      </c>
      <c r="B9" s="3" t="s">
        <v>61</v>
      </c>
      <c r="C9" s="3">
        <v>0</v>
      </c>
      <c r="D9" s="3">
        <v>0</v>
      </c>
      <c r="E9" s="3">
        <v>0</v>
      </c>
      <c r="F9" s="6">
        <f t="shared" si="0"/>
        <v>0</v>
      </c>
      <c r="G9" s="6" t="str">
        <f t="shared" si="1"/>
        <v>否</v>
      </c>
    </row>
    <row r="10" spans="1:7">
      <c r="A10" s="3" t="s">
        <v>62</v>
      </c>
      <c r="B10" s="3" t="s">
        <v>63</v>
      </c>
      <c r="C10" s="3">
        <v>2</v>
      </c>
      <c r="D10" s="3">
        <v>0</v>
      </c>
      <c r="E10" s="3">
        <v>0</v>
      </c>
      <c r="F10" s="6">
        <f t="shared" si="0"/>
        <v>10</v>
      </c>
      <c r="G10" s="6" t="str">
        <f t="shared" si="1"/>
        <v>否</v>
      </c>
    </row>
    <row r="11" spans="1:7">
      <c r="A11" s="3" t="s">
        <v>64</v>
      </c>
      <c r="B11" s="3" t="s">
        <v>65</v>
      </c>
      <c r="C11" s="3">
        <v>0</v>
      </c>
      <c r="D11" s="3">
        <v>0</v>
      </c>
      <c r="E11" s="3">
        <v>0</v>
      </c>
      <c r="F11" s="6">
        <f t="shared" si="0"/>
        <v>0</v>
      </c>
      <c r="G11" s="6" t="str">
        <f t="shared" si="1"/>
        <v>否</v>
      </c>
    </row>
    <row r="12" spans="1:7">
      <c r="A12" s="3" t="s">
        <v>66</v>
      </c>
      <c r="B12" s="3" t="s">
        <v>67</v>
      </c>
      <c r="C12" s="3">
        <v>1</v>
      </c>
      <c r="D12" s="3">
        <v>1</v>
      </c>
      <c r="E12" s="3">
        <v>0</v>
      </c>
      <c r="F12" s="6">
        <f t="shared" si="0"/>
        <v>10</v>
      </c>
      <c r="G12" s="6" t="str">
        <f t="shared" si="1"/>
        <v>否</v>
      </c>
    </row>
    <row r="13" spans="1:7">
      <c r="A13" s="3" t="s">
        <v>68</v>
      </c>
      <c r="B13" s="3" t="s">
        <v>69</v>
      </c>
      <c r="C13" s="3">
        <v>0</v>
      </c>
      <c r="D13" s="3">
        <v>0</v>
      </c>
      <c r="E13" s="3">
        <v>0</v>
      </c>
      <c r="F13" s="6">
        <f t="shared" si="0"/>
        <v>0</v>
      </c>
      <c r="G13" s="6" t="str">
        <f t="shared" si="1"/>
        <v>否</v>
      </c>
    </row>
    <row r="14" spans="1:7">
      <c r="A14" s="3" t="s">
        <v>70</v>
      </c>
      <c r="B14" s="3" t="s">
        <v>71</v>
      </c>
      <c r="C14" s="3">
        <v>0</v>
      </c>
      <c r="D14" s="3">
        <v>0</v>
      </c>
      <c r="E14" s="3">
        <v>0</v>
      </c>
      <c r="F14" s="6">
        <f t="shared" si="0"/>
        <v>0</v>
      </c>
      <c r="G14" s="6" t="str">
        <f t="shared" si="1"/>
        <v>否</v>
      </c>
    </row>
    <row r="15" spans="1:7">
      <c r="A15" s="3" t="s">
        <v>72</v>
      </c>
      <c r="B15" s="3" t="s">
        <v>73</v>
      </c>
      <c r="C15" s="3">
        <v>3</v>
      </c>
      <c r="D15" s="3">
        <v>0</v>
      </c>
      <c r="E15" s="3">
        <v>0</v>
      </c>
      <c r="F15" s="6">
        <f t="shared" si="0"/>
        <v>15</v>
      </c>
      <c r="G15" s="6" t="str">
        <f t="shared" si="1"/>
        <v>否</v>
      </c>
    </row>
    <row r="16" spans="1:7">
      <c r="A16" s="3" t="s">
        <v>74</v>
      </c>
      <c r="B16" s="3" t="s">
        <v>75</v>
      </c>
      <c r="C16" s="3">
        <v>0</v>
      </c>
      <c r="D16" s="3">
        <v>0</v>
      </c>
      <c r="E16" s="3">
        <v>1</v>
      </c>
      <c r="F16" s="6">
        <f t="shared" si="0"/>
        <v>0</v>
      </c>
      <c r="G16" s="6" t="str">
        <f t="shared" si="1"/>
        <v>是·直接C级</v>
      </c>
    </row>
  </sheetData>
  <mergeCells count="2">
    <mergeCell ref="A2:G2"/>
    <mergeCell ref="A1:G1"/>
  </mergeCells>
  <phoneticPr fontId="16"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7"/>
  <sheetViews>
    <sheetView workbookViewId="0">
      <pane xSplit="2" ySplit="5" topLeftCell="C6" activePane="bottomRight" state="frozen"/>
      <selection pane="topRight"/>
      <selection pane="bottomLeft"/>
      <selection pane="bottomRight" activeCell="O23" sqref="O23"/>
    </sheetView>
  </sheetViews>
  <sheetFormatPr baseColWidth="10" defaultColWidth="8.83203125" defaultRowHeight="14"/>
  <cols>
    <col min="1" max="1" width="12" customWidth="1"/>
    <col min="2" max="2" width="18" customWidth="1"/>
    <col min="3" max="5" width="9" customWidth="1"/>
    <col min="6" max="6" width="10" customWidth="1"/>
    <col min="7" max="9" width="9" customWidth="1"/>
    <col min="10" max="10" width="10" customWidth="1"/>
    <col min="11" max="13" width="9" customWidth="1"/>
    <col min="14" max="14" width="10" customWidth="1"/>
    <col min="15" max="15" width="12" customWidth="1"/>
    <col min="16" max="16" width="16" customWidth="1"/>
  </cols>
  <sheetData>
    <row r="1" spans="1:18" ht="21">
      <c r="A1" s="30" t="s">
        <v>83</v>
      </c>
      <c r="B1" s="29"/>
      <c r="C1" s="29"/>
      <c r="D1" s="29"/>
      <c r="E1" s="29"/>
      <c r="F1" s="29"/>
      <c r="G1" s="29"/>
      <c r="H1" s="29"/>
      <c r="I1" s="29"/>
      <c r="J1" s="29"/>
      <c r="K1" s="29"/>
      <c r="L1" s="29"/>
      <c r="M1" s="29"/>
      <c r="N1" s="29"/>
      <c r="O1" s="29"/>
      <c r="P1" s="29"/>
      <c r="Q1" s="29"/>
      <c r="R1" s="29"/>
    </row>
    <row r="2" spans="1:18" ht="15" customHeight="1">
      <c r="A2" s="48" t="s">
        <v>84</v>
      </c>
      <c r="B2" s="48"/>
      <c r="C2" s="48"/>
      <c r="D2" s="48"/>
      <c r="E2" s="48"/>
      <c r="F2" s="48"/>
      <c r="G2" s="48"/>
      <c r="H2" s="48"/>
      <c r="I2" s="48"/>
      <c r="J2" s="48"/>
      <c r="K2" s="48"/>
      <c r="L2" s="48"/>
      <c r="M2" s="48"/>
      <c r="N2" s="48"/>
      <c r="O2" s="48"/>
      <c r="P2" s="48"/>
      <c r="Q2" s="48"/>
      <c r="R2" s="48"/>
    </row>
    <row r="4" spans="1:18">
      <c r="A4" s="32" t="s">
        <v>39</v>
      </c>
      <c r="B4" s="32" t="s">
        <v>40</v>
      </c>
      <c r="C4" s="32" t="s">
        <v>85</v>
      </c>
      <c r="D4" s="33"/>
      <c r="E4" s="33"/>
      <c r="F4" s="34"/>
      <c r="G4" s="32" t="s">
        <v>86</v>
      </c>
      <c r="H4" s="33"/>
      <c r="I4" s="33"/>
      <c r="J4" s="34"/>
      <c r="K4" s="32" t="s">
        <v>87</v>
      </c>
      <c r="L4" s="33"/>
      <c r="M4" s="33"/>
      <c r="N4" s="34"/>
      <c r="O4" s="32" t="s">
        <v>88</v>
      </c>
      <c r="P4" s="32" t="s">
        <v>51</v>
      </c>
    </row>
    <row r="5" spans="1:18" ht="18">
      <c r="A5" s="35"/>
      <c r="B5" s="35"/>
      <c r="C5" s="2" t="s">
        <v>89</v>
      </c>
      <c r="D5" s="2" t="s">
        <v>90</v>
      </c>
      <c r="E5" s="2" t="s">
        <v>91</v>
      </c>
      <c r="F5" s="2" t="s">
        <v>92</v>
      </c>
      <c r="G5" s="2" t="s">
        <v>89</v>
      </c>
      <c r="H5" s="2" t="s">
        <v>90</v>
      </c>
      <c r="I5" s="2" t="s">
        <v>91</v>
      </c>
      <c r="J5" s="2" t="s">
        <v>92</v>
      </c>
      <c r="K5" s="2" t="s">
        <v>89</v>
      </c>
      <c r="L5" s="2" t="s">
        <v>90</v>
      </c>
      <c r="M5" s="2" t="s">
        <v>91</v>
      </c>
      <c r="N5" s="2" t="s">
        <v>92</v>
      </c>
      <c r="O5" s="35"/>
      <c r="P5" s="35"/>
    </row>
    <row r="6" spans="1:18">
      <c r="A6" s="3" t="s">
        <v>52</v>
      </c>
      <c r="B6" s="3" t="s">
        <v>53</v>
      </c>
      <c r="C6" s="3" t="s">
        <v>93</v>
      </c>
      <c r="D6" s="3" t="s">
        <v>93</v>
      </c>
      <c r="E6" s="3" t="s">
        <v>93</v>
      </c>
      <c r="F6" s="3" t="s">
        <v>93</v>
      </c>
      <c r="G6" s="3" t="s">
        <v>93</v>
      </c>
      <c r="H6" s="3" t="s">
        <v>93</v>
      </c>
      <c r="I6" s="3" t="s">
        <v>93</v>
      </c>
      <c r="J6" s="3" t="s">
        <v>93</v>
      </c>
      <c r="K6" s="3" t="s">
        <v>93</v>
      </c>
      <c r="L6" s="3" t="s">
        <v>93</v>
      </c>
      <c r="M6" s="3" t="s">
        <v>93</v>
      </c>
      <c r="N6" s="3" t="s">
        <v>93</v>
      </c>
      <c r="O6" s="6">
        <f t="shared" ref="O6:O17" si="0">ROUND(((IF(C6="A",1,IF(C6="C",-1,0))+IF(D6="A",1,IF(D6="C",-1,0))+IF(E6="A",1,IF(E6="C",-1,0))+IF(F6="A",1,IF(F6="C",-1,0)))+(IF(G6="A",1,IF(G6="C",-1,0))+IF(H6="A",1,IF(H6="C",-1,0))+IF(I6="A",1,IF(I6="C",-1,0))+IF(J6="A",1,IF(J6="C",-1,0)))+(IF(K6="A",1,IF(K6="C",-1,0))+IF(L6="A",1,IF(L6="C",-1,0))+IF(M6="A",1,IF(M6="C",-1,0))+IF(N6="A",1,IF(N6="C",-1,0))))/3,0)</f>
        <v>4</v>
      </c>
      <c r="P6" s="3"/>
    </row>
    <row r="7" spans="1:18">
      <c r="A7" s="3" t="s">
        <v>54</v>
      </c>
      <c r="B7" s="3" t="s">
        <v>55</v>
      </c>
      <c r="C7" s="3" t="s">
        <v>93</v>
      </c>
      <c r="D7" s="3" t="s">
        <v>94</v>
      </c>
      <c r="E7" s="3" t="s">
        <v>93</v>
      </c>
      <c r="F7" s="3" t="s">
        <v>94</v>
      </c>
      <c r="G7" s="3" t="s">
        <v>93</v>
      </c>
      <c r="H7" s="3" t="s">
        <v>93</v>
      </c>
      <c r="I7" s="3" t="s">
        <v>94</v>
      </c>
      <c r="J7" s="3" t="s">
        <v>93</v>
      </c>
      <c r="K7" s="3" t="s">
        <v>94</v>
      </c>
      <c r="L7" s="3" t="s">
        <v>93</v>
      </c>
      <c r="M7" s="3" t="s">
        <v>93</v>
      </c>
      <c r="N7" s="3" t="s">
        <v>94</v>
      </c>
      <c r="O7" s="6">
        <f t="shared" si="0"/>
        <v>2</v>
      </c>
      <c r="P7" s="3"/>
    </row>
    <row r="8" spans="1:18">
      <c r="A8" s="3" t="s">
        <v>56</v>
      </c>
      <c r="B8" s="3" t="s">
        <v>57</v>
      </c>
      <c r="C8" s="3" t="s">
        <v>94</v>
      </c>
      <c r="D8" s="3" t="s">
        <v>93</v>
      </c>
      <c r="E8" s="3" t="s">
        <v>94</v>
      </c>
      <c r="F8" s="3" t="s">
        <v>93</v>
      </c>
      <c r="G8" s="3" t="s">
        <v>93</v>
      </c>
      <c r="H8" s="3" t="s">
        <v>94</v>
      </c>
      <c r="I8" s="3" t="s">
        <v>93</v>
      </c>
      <c r="J8" s="3" t="s">
        <v>94</v>
      </c>
      <c r="K8" s="3" t="s">
        <v>94</v>
      </c>
      <c r="L8" s="3" t="s">
        <v>93</v>
      </c>
      <c r="M8" s="3" t="s">
        <v>94</v>
      </c>
      <c r="N8" s="3" t="s">
        <v>93</v>
      </c>
      <c r="O8" s="6">
        <f t="shared" si="0"/>
        <v>2</v>
      </c>
      <c r="P8" s="3"/>
    </row>
    <row r="9" spans="1:18">
      <c r="A9" s="3" t="s">
        <v>58</v>
      </c>
      <c r="B9" s="3" t="s">
        <v>59</v>
      </c>
      <c r="C9" s="3" t="s">
        <v>94</v>
      </c>
      <c r="D9" s="3" t="s">
        <v>94</v>
      </c>
      <c r="E9" s="3" t="s">
        <v>93</v>
      </c>
      <c r="F9" s="3" t="s">
        <v>94</v>
      </c>
      <c r="G9" s="3" t="s">
        <v>94</v>
      </c>
      <c r="H9" s="3" t="s">
        <v>93</v>
      </c>
      <c r="I9" s="3" t="s">
        <v>94</v>
      </c>
      <c r="J9" s="3" t="s">
        <v>94</v>
      </c>
      <c r="K9" s="3" t="s">
        <v>93</v>
      </c>
      <c r="L9" s="3" t="s">
        <v>94</v>
      </c>
      <c r="M9" s="3" t="s">
        <v>94</v>
      </c>
      <c r="N9" s="3" t="s">
        <v>93</v>
      </c>
      <c r="O9" s="6">
        <f t="shared" si="0"/>
        <v>1</v>
      </c>
      <c r="P9" s="3"/>
    </row>
    <row r="10" spans="1:18">
      <c r="A10" s="3" t="s">
        <v>60</v>
      </c>
      <c r="B10" s="3" t="s">
        <v>61</v>
      </c>
      <c r="C10" s="3" t="s">
        <v>94</v>
      </c>
      <c r="D10" s="3" t="s">
        <v>94</v>
      </c>
      <c r="E10" s="3" t="s">
        <v>94</v>
      </c>
      <c r="F10" s="3" t="s">
        <v>93</v>
      </c>
      <c r="G10" s="3" t="s">
        <v>94</v>
      </c>
      <c r="H10" s="3" t="s">
        <v>94</v>
      </c>
      <c r="I10" s="3" t="s">
        <v>93</v>
      </c>
      <c r="J10" s="3" t="s">
        <v>94</v>
      </c>
      <c r="K10" s="3" t="s">
        <v>93</v>
      </c>
      <c r="L10" s="3" t="s">
        <v>94</v>
      </c>
      <c r="M10" s="3" t="s">
        <v>94</v>
      </c>
      <c r="N10" s="3" t="s">
        <v>94</v>
      </c>
      <c r="O10" s="6">
        <f t="shared" si="0"/>
        <v>1</v>
      </c>
      <c r="P10" s="3"/>
    </row>
    <row r="11" spans="1:18">
      <c r="A11" s="3" t="s">
        <v>62</v>
      </c>
      <c r="B11" s="3" t="s">
        <v>63</v>
      </c>
      <c r="C11" s="3" t="s">
        <v>94</v>
      </c>
      <c r="D11" s="3" t="s">
        <v>95</v>
      </c>
      <c r="E11" s="3" t="s">
        <v>94</v>
      </c>
      <c r="F11" s="3" t="s">
        <v>94</v>
      </c>
      <c r="G11" s="3" t="s">
        <v>95</v>
      </c>
      <c r="H11" s="3" t="s">
        <v>94</v>
      </c>
      <c r="I11" s="3" t="s">
        <v>94</v>
      </c>
      <c r="J11" s="3" t="s">
        <v>94</v>
      </c>
      <c r="K11" s="3" t="s">
        <v>94</v>
      </c>
      <c r="L11" s="3" t="s">
        <v>94</v>
      </c>
      <c r="M11" s="3" t="s">
        <v>95</v>
      </c>
      <c r="N11" s="3" t="s">
        <v>94</v>
      </c>
      <c r="O11" s="6">
        <f t="shared" si="0"/>
        <v>-1</v>
      </c>
      <c r="P11" s="3"/>
    </row>
    <row r="12" spans="1:18">
      <c r="A12" s="3" t="s">
        <v>64</v>
      </c>
      <c r="B12" s="3" t="s">
        <v>65</v>
      </c>
      <c r="C12" s="3" t="s">
        <v>94</v>
      </c>
      <c r="D12" s="3" t="s">
        <v>94</v>
      </c>
      <c r="E12" s="3" t="s">
        <v>95</v>
      </c>
      <c r="F12" s="3" t="s">
        <v>94</v>
      </c>
      <c r="G12" s="3" t="s">
        <v>94</v>
      </c>
      <c r="H12" s="3" t="s">
        <v>94</v>
      </c>
      <c r="I12" s="3" t="s">
        <v>94</v>
      </c>
      <c r="J12" s="3" t="s">
        <v>95</v>
      </c>
      <c r="K12" s="3" t="s">
        <v>95</v>
      </c>
      <c r="L12" s="3" t="s">
        <v>94</v>
      </c>
      <c r="M12" s="3" t="s">
        <v>94</v>
      </c>
      <c r="N12" s="3" t="s">
        <v>94</v>
      </c>
      <c r="O12" s="6">
        <f t="shared" si="0"/>
        <v>-1</v>
      </c>
      <c r="P12" s="3"/>
    </row>
    <row r="13" spans="1:18">
      <c r="A13" s="3" t="s">
        <v>66</v>
      </c>
      <c r="B13" s="3" t="s">
        <v>67</v>
      </c>
      <c r="C13" s="3" t="s">
        <v>95</v>
      </c>
      <c r="D13" s="3" t="s">
        <v>94</v>
      </c>
      <c r="E13" s="3" t="s">
        <v>95</v>
      </c>
      <c r="F13" s="3" t="s">
        <v>94</v>
      </c>
      <c r="G13" s="3" t="s">
        <v>94</v>
      </c>
      <c r="H13" s="3" t="s">
        <v>95</v>
      </c>
      <c r="I13" s="3" t="s">
        <v>94</v>
      </c>
      <c r="J13" s="3" t="s">
        <v>95</v>
      </c>
      <c r="K13" s="3" t="s">
        <v>95</v>
      </c>
      <c r="L13" s="3" t="s">
        <v>94</v>
      </c>
      <c r="M13" s="3" t="s">
        <v>95</v>
      </c>
      <c r="N13" s="3" t="s">
        <v>94</v>
      </c>
      <c r="O13" s="6">
        <f t="shared" si="0"/>
        <v>-2</v>
      </c>
      <c r="P13" s="3"/>
    </row>
    <row r="14" spans="1:18">
      <c r="A14" s="3" t="s">
        <v>68</v>
      </c>
      <c r="B14" s="3" t="s">
        <v>69</v>
      </c>
      <c r="C14" s="3" t="s">
        <v>95</v>
      </c>
      <c r="D14" s="3" t="s">
        <v>95</v>
      </c>
      <c r="E14" s="3" t="s">
        <v>94</v>
      </c>
      <c r="F14" s="3" t="s">
        <v>95</v>
      </c>
      <c r="G14" s="3" t="s">
        <v>94</v>
      </c>
      <c r="H14" s="3" t="s">
        <v>95</v>
      </c>
      <c r="I14" s="3" t="s">
        <v>95</v>
      </c>
      <c r="J14" s="3" t="s">
        <v>94</v>
      </c>
      <c r="K14" s="3" t="s">
        <v>95</v>
      </c>
      <c r="L14" s="3" t="s">
        <v>94</v>
      </c>
      <c r="M14" s="3" t="s">
        <v>95</v>
      </c>
      <c r="N14" s="3" t="s">
        <v>95</v>
      </c>
      <c r="O14" s="6">
        <f t="shared" si="0"/>
        <v>-3</v>
      </c>
      <c r="P14" s="3"/>
    </row>
    <row r="15" spans="1:18">
      <c r="A15" s="3" t="s">
        <v>70</v>
      </c>
      <c r="B15" s="3" t="s">
        <v>71</v>
      </c>
      <c r="C15" s="3" t="s">
        <v>95</v>
      </c>
      <c r="D15" s="3" t="s">
        <v>95</v>
      </c>
      <c r="E15" s="3" t="s">
        <v>95</v>
      </c>
      <c r="F15" s="3" t="s">
        <v>94</v>
      </c>
      <c r="G15" s="3" t="s">
        <v>95</v>
      </c>
      <c r="H15" s="3" t="s">
        <v>94</v>
      </c>
      <c r="I15" s="3" t="s">
        <v>95</v>
      </c>
      <c r="J15" s="3" t="s">
        <v>95</v>
      </c>
      <c r="K15" s="3" t="s">
        <v>95</v>
      </c>
      <c r="L15" s="3" t="s">
        <v>95</v>
      </c>
      <c r="M15" s="3" t="s">
        <v>94</v>
      </c>
      <c r="N15" s="3" t="s">
        <v>95</v>
      </c>
      <c r="O15" s="6">
        <f t="shared" si="0"/>
        <v>-3</v>
      </c>
      <c r="P15" s="3"/>
    </row>
    <row r="16" spans="1:18">
      <c r="A16" s="3" t="s">
        <v>72</v>
      </c>
      <c r="B16" s="3" t="s">
        <v>73</v>
      </c>
      <c r="C16" s="3" t="s">
        <v>95</v>
      </c>
      <c r="D16" s="3" t="s">
        <v>95</v>
      </c>
      <c r="E16" s="3" t="s">
        <v>95</v>
      </c>
      <c r="F16" s="3" t="s">
        <v>95</v>
      </c>
      <c r="G16" s="3" t="s">
        <v>95</v>
      </c>
      <c r="H16" s="3" t="s">
        <v>95</v>
      </c>
      <c r="I16" s="3" t="s">
        <v>95</v>
      </c>
      <c r="J16" s="3" t="s">
        <v>94</v>
      </c>
      <c r="K16" s="3" t="s">
        <v>95</v>
      </c>
      <c r="L16" s="3" t="s">
        <v>95</v>
      </c>
      <c r="M16" s="3" t="s">
        <v>95</v>
      </c>
      <c r="N16" s="3" t="s">
        <v>95</v>
      </c>
      <c r="O16" s="6">
        <f t="shared" si="0"/>
        <v>-4</v>
      </c>
      <c r="P16" s="3"/>
    </row>
    <row r="17" spans="1:16">
      <c r="A17" s="3" t="s">
        <v>74</v>
      </c>
      <c r="B17" s="3" t="s">
        <v>75</v>
      </c>
      <c r="C17" s="3" t="s">
        <v>95</v>
      </c>
      <c r="D17" s="3" t="s">
        <v>95</v>
      </c>
      <c r="E17" s="3" t="s">
        <v>95</v>
      </c>
      <c r="F17" s="3" t="s">
        <v>95</v>
      </c>
      <c r="G17" s="3" t="s">
        <v>95</v>
      </c>
      <c r="H17" s="3" t="s">
        <v>95</v>
      </c>
      <c r="I17" s="3" t="s">
        <v>95</v>
      </c>
      <c r="J17" s="3" t="s">
        <v>95</v>
      </c>
      <c r="K17" s="3" t="s">
        <v>95</v>
      </c>
      <c r="L17" s="3" t="s">
        <v>95</v>
      </c>
      <c r="M17" s="3" t="s">
        <v>95</v>
      </c>
      <c r="N17" s="3" t="s">
        <v>95</v>
      </c>
      <c r="O17" s="6">
        <f t="shared" si="0"/>
        <v>-4</v>
      </c>
      <c r="P17" s="3"/>
    </row>
  </sheetData>
  <mergeCells count="9">
    <mergeCell ref="A1:R1"/>
    <mergeCell ref="K4:N4"/>
    <mergeCell ref="B4:B5"/>
    <mergeCell ref="C4:F4"/>
    <mergeCell ref="A2:R2"/>
    <mergeCell ref="A4:A5"/>
    <mergeCell ref="G4:J4"/>
    <mergeCell ref="O4:O5"/>
    <mergeCell ref="P4:P5"/>
  </mergeCells>
  <phoneticPr fontId="16" type="noConversion"/>
  <dataValidations count="1">
    <dataValidation type="list" allowBlank="1" sqref="C6 C7 C8 C9 C10 C11 C12 C13 C14 C15 C16 C17 D6 D7 D8 D9 D10 D11 D12 D13 D14 D15 D16 D17 E6 E7 E8 E9 E10 E11 E12 E13 E14 E15 E16 E17 F6 F7 F8 F9 F10 F11 F12 F13 F14 F15 F16 F17 G6 G7 G8 G9 G10 G11 G12 G13 G14 G15 G16 G17 H6 H7 H8 H9 H10 H11 H12 H13 H14 H15 H16 H17 I6 I7 I8 I9 I10 I11 I12 I13 I14 I15 I16 I17 J6 J7 J8 J9 J10 J11 J12 J13 J14 J15 J16 J17 K6 K7 K8 K9 K10 K11 K12 K13 K14 K15 K16 K17 L6 L7 L8 L9 L10 L11 L12 L13 L14 L15 L16 L17 M6 M7 M8 M9 M10 M11 M12 M13 M14 M15 M16 M17 N6 N7 N8 N9 N10 N11 N12 N13 N14 N15 N16 N17" xr:uid="{00000000-0002-0000-0300-000000000000}">
      <formula1>"A,B,C"</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
  <sheetViews>
    <sheetView workbookViewId="0">
      <selection sqref="A1:H1"/>
    </sheetView>
  </sheetViews>
  <sheetFormatPr baseColWidth="10" defaultColWidth="8.83203125" defaultRowHeight="14"/>
  <cols>
    <col min="1" max="1" width="12" customWidth="1"/>
    <col min="2" max="2" width="20" customWidth="1"/>
    <col min="3" max="8" width="12" customWidth="1"/>
  </cols>
  <sheetData>
    <row r="1" spans="1:8" ht="21">
      <c r="A1" s="30" t="s">
        <v>96</v>
      </c>
      <c r="B1" s="29"/>
      <c r="C1" s="29"/>
      <c r="D1" s="29"/>
      <c r="E1" s="29"/>
      <c r="F1" s="29"/>
      <c r="G1" s="29"/>
      <c r="H1" s="29"/>
    </row>
    <row r="2" spans="1:8" ht="15">
      <c r="A2" s="31" t="s">
        <v>97</v>
      </c>
      <c r="B2" s="29"/>
      <c r="C2" s="29"/>
      <c r="D2" s="29"/>
      <c r="E2" s="29"/>
      <c r="F2" s="29"/>
      <c r="G2" s="29"/>
      <c r="H2" s="29"/>
    </row>
    <row r="4" spans="1:8" ht="18">
      <c r="A4" s="2" t="s">
        <v>39</v>
      </c>
      <c r="B4" s="2" t="s">
        <v>40</v>
      </c>
      <c r="C4" s="2" t="s">
        <v>98</v>
      </c>
      <c r="D4" s="2" t="s">
        <v>99</v>
      </c>
      <c r="E4" s="2" t="s">
        <v>100</v>
      </c>
      <c r="F4" s="2" t="s">
        <v>101</v>
      </c>
      <c r="G4" s="2" t="s">
        <v>102</v>
      </c>
      <c r="H4" s="2" t="s">
        <v>103</v>
      </c>
    </row>
    <row r="5" spans="1:8">
      <c r="A5" s="3" t="s">
        <v>52</v>
      </c>
      <c r="B5" s="3" t="s">
        <v>53</v>
      </c>
      <c r="C5" s="3" t="s">
        <v>104</v>
      </c>
      <c r="D5" s="3" t="s">
        <v>104</v>
      </c>
      <c r="E5" s="3" t="s">
        <v>104</v>
      </c>
      <c r="F5" s="3" t="s">
        <v>104</v>
      </c>
      <c r="G5" s="3" t="s">
        <v>104</v>
      </c>
      <c r="H5" s="6">
        <f t="shared" ref="H5:H16" si="0">COUNTIF(C5:G5,"高")</f>
        <v>5</v>
      </c>
    </row>
    <row r="6" spans="1:8">
      <c r="A6" s="3" t="s">
        <v>54</v>
      </c>
      <c r="B6" s="3" t="s">
        <v>55</v>
      </c>
      <c r="C6" s="3" t="s">
        <v>104</v>
      </c>
      <c r="D6" s="3" t="s">
        <v>104</v>
      </c>
      <c r="E6" s="3" t="s">
        <v>104</v>
      </c>
      <c r="F6" s="3" t="s">
        <v>105</v>
      </c>
      <c r="G6" s="3" t="s">
        <v>104</v>
      </c>
      <c r="H6" s="6">
        <f t="shared" si="0"/>
        <v>4</v>
      </c>
    </row>
    <row r="7" spans="1:8">
      <c r="A7" s="3" t="s">
        <v>56</v>
      </c>
      <c r="B7" s="3" t="s">
        <v>57</v>
      </c>
      <c r="C7" s="3" t="s">
        <v>104</v>
      </c>
      <c r="D7" s="3" t="s">
        <v>104</v>
      </c>
      <c r="E7" s="3" t="s">
        <v>105</v>
      </c>
      <c r="F7" s="3" t="s">
        <v>104</v>
      </c>
      <c r="G7" s="3" t="s">
        <v>104</v>
      </c>
      <c r="H7" s="6">
        <f t="shared" si="0"/>
        <v>4</v>
      </c>
    </row>
    <row r="8" spans="1:8">
      <c r="A8" s="3" t="s">
        <v>58</v>
      </c>
      <c r="B8" s="3" t="s">
        <v>59</v>
      </c>
      <c r="C8" s="3" t="s">
        <v>104</v>
      </c>
      <c r="D8" s="3" t="s">
        <v>105</v>
      </c>
      <c r="E8" s="3" t="s">
        <v>104</v>
      </c>
      <c r="F8" s="3" t="s">
        <v>105</v>
      </c>
      <c r="G8" s="3" t="s">
        <v>104</v>
      </c>
      <c r="H8" s="6">
        <f t="shared" si="0"/>
        <v>3</v>
      </c>
    </row>
    <row r="9" spans="1:8">
      <c r="A9" s="3" t="s">
        <v>60</v>
      </c>
      <c r="B9" s="3" t="s">
        <v>61</v>
      </c>
      <c r="C9" s="3" t="s">
        <v>105</v>
      </c>
      <c r="D9" s="3" t="s">
        <v>104</v>
      </c>
      <c r="E9" s="3" t="s">
        <v>105</v>
      </c>
      <c r="F9" s="3" t="s">
        <v>104</v>
      </c>
      <c r="G9" s="3" t="s">
        <v>105</v>
      </c>
      <c r="H9" s="6">
        <f t="shared" si="0"/>
        <v>2</v>
      </c>
    </row>
    <row r="10" spans="1:8">
      <c r="A10" s="3" t="s">
        <v>62</v>
      </c>
      <c r="B10" s="3" t="s">
        <v>63</v>
      </c>
      <c r="C10" s="3" t="s">
        <v>105</v>
      </c>
      <c r="D10" s="3" t="s">
        <v>105</v>
      </c>
      <c r="E10" s="3" t="s">
        <v>104</v>
      </c>
      <c r="F10" s="3" t="s">
        <v>105</v>
      </c>
      <c r="G10" s="3" t="s">
        <v>105</v>
      </c>
      <c r="H10" s="6">
        <f t="shared" si="0"/>
        <v>1</v>
      </c>
    </row>
    <row r="11" spans="1:8">
      <c r="A11" s="3" t="s">
        <v>64</v>
      </c>
      <c r="B11" s="3" t="s">
        <v>65</v>
      </c>
      <c r="C11" s="3" t="s">
        <v>105</v>
      </c>
      <c r="D11" s="3" t="s">
        <v>105</v>
      </c>
      <c r="E11" s="3" t="s">
        <v>105</v>
      </c>
      <c r="F11" s="3" t="s">
        <v>104</v>
      </c>
      <c r="G11" s="3" t="s">
        <v>105</v>
      </c>
      <c r="H11" s="6">
        <f t="shared" si="0"/>
        <v>1</v>
      </c>
    </row>
    <row r="12" spans="1:8">
      <c r="A12" s="3" t="s">
        <v>66</v>
      </c>
      <c r="B12" s="3" t="s">
        <v>67</v>
      </c>
      <c r="C12" s="3" t="s">
        <v>105</v>
      </c>
      <c r="D12" s="3" t="s">
        <v>106</v>
      </c>
      <c r="E12" s="3" t="s">
        <v>105</v>
      </c>
      <c r="F12" s="3" t="s">
        <v>105</v>
      </c>
      <c r="G12" s="3" t="s">
        <v>105</v>
      </c>
      <c r="H12" s="6">
        <f t="shared" si="0"/>
        <v>0</v>
      </c>
    </row>
    <row r="13" spans="1:8">
      <c r="A13" s="3" t="s">
        <v>68</v>
      </c>
      <c r="B13" s="3" t="s">
        <v>69</v>
      </c>
      <c r="C13" s="3" t="s">
        <v>106</v>
      </c>
      <c r="D13" s="3" t="s">
        <v>105</v>
      </c>
      <c r="E13" s="3" t="s">
        <v>105</v>
      </c>
      <c r="F13" s="3" t="s">
        <v>105</v>
      </c>
      <c r="G13" s="3" t="s">
        <v>106</v>
      </c>
      <c r="H13" s="6">
        <f t="shared" si="0"/>
        <v>0</v>
      </c>
    </row>
    <row r="14" spans="1:8">
      <c r="A14" s="3" t="s">
        <v>70</v>
      </c>
      <c r="B14" s="3" t="s">
        <v>71</v>
      </c>
      <c r="C14" s="3" t="s">
        <v>106</v>
      </c>
      <c r="D14" s="3" t="s">
        <v>106</v>
      </c>
      <c r="E14" s="3" t="s">
        <v>105</v>
      </c>
      <c r="F14" s="3" t="s">
        <v>106</v>
      </c>
      <c r="G14" s="3" t="s">
        <v>105</v>
      </c>
      <c r="H14" s="6">
        <f t="shared" si="0"/>
        <v>0</v>
      </c>
    </row>
    <row r="15" spans="1:8">
      <c r="A15" s="3" t="s">
        <v>72</v>
      </c>
      <c r="B15" s="3" t="s">
        <v>73</v>
      </c>
      <c r="C15" s="3" t="s">
        <v>106</v>
      </c>
      <c r="D15" s="3" t="s">
        <v>106</v>
      </c>
      <c r="E15" s="3" t="s">
        <v>106</v>
      </c>
      <c r="F15" s="3" t="s">
        <v>105</v>
      </c>
      <c r="G15" s="3" t="s">
        <v>106</v>
      </c>
      <c r="H15" s="6">
        <f t="shared" si="0"/>
        <v>0</v>
      </c>
    </row>
    <row r="16" spans="1:8">
      <c r="A16" s="3" t="s">
        <v>74</v>
      </c>
      <c r="B16" s="3" t="s">
        <v>75</v>
      </c>
      <c r="C16" s="3" t="s">
        <v>106</v>
      </c>
      <c r="D16" s="3" t="s">
        <v>106</v>
      </c>
      <c r="E16" s="3" t="s">
        <v>106</v>
      </c>
      <c r="F16" s="3" t="s">
        <v>106</v>
      </c>
      <c r="G16" s="3" t="s">
        <v>106</v>
      </c>
      <c r="H16" s="6">
        <f t="shared" si="0"/>
        <v>0</v>
      </c>
    </row>
  </sheetData>
  <mergeCells count="2">
    <mergeCell ref="A2:H2"/>
    <mergeCell ref="A1:H1"/>
  </mergeCells>
  <phoneticPr fontId="16" type="noConversion"/>
  <dataValidations count="1">
    <dataValidation type="list" allowBlank="1" sqref="C5 C6 C7 C8 C9 C10 C11 C12 C13 C14 C15 C16 D5 D6 D7 D8 D9 D10 D11 D12 D13 D14 D15 D16 E5 E6 E7 E8 E9 E10 E11 E12 E13 E14 E15 E16 F5 F6 F7 F8 F9 F10 F11 F12 F13 F14 F15 F16 G5 G6 G7 G8 G9 G10 G11 G12 G13 G14 G15 G16" xr:uid="{00000000-0002-0000-0400-000000000000}">
      <formula1>"高,中,低"</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29"/>
  <sheetViews>
    <sheetView workbookViewId="0">
      <pane xSplit="2" ySplit="4" topLeftCell="C5" activePane="bottomRight" state="frozen"/>
      <selection pane="topRight"/>
      <selection pane="bottomLeft"/>
      <selection pane="bottomRight" activeCell="J6" sqref="J6"/>
    </sheetView>
  </sheetViews>
  <sheetFormatPr baseColWidth="10" defaultColWidth="8.83203125" defaultRowHeight="14"/>
  <cols>
    <col min="1" max="1" width="12" customWidth="1"/>
    <col min="2" max="2" width="20" customWidth="1"/>
    <col min="3" max="3" width="14" customWidth="1"/>
    <col min="4" max="4" width="12" customWidth="1"/>
    <col min="5" max="6" width="14" customWidth="1"/>
    <col min="7" max="7" width="12" customWidth="1"/>
    <col min="8" max="8" width="8" customWidth="1"/>
    <col min="9" max="11" width="10" customWidth="1"/>
    <col min="12" max="12" width="14" customWidth="1"/>
    <col min="13" max="13" width="12" customWidth="1"/>
    <col min="14" max="14" width="22" customWidth="1"/>
  </cols>
  <sheetData>
    <row r="1" spans="1:14" ht="21">
      <c r="A1" s="30" t="s">
        <v>107</v>
      </c>
      <c r="B1" s="29"/>
      <c r="C1" s="29"/>
      <c r="D1" s="29"/>
      <c r="E1" s="29"/>
      <c r="F1" s="29"/>
      <c r="G1" s="29"/>
      <c r="H1" s="29"/>
      <c r="I1" s="29"/>
      <c r="J1" s="29"/>
      <c r="K1" s="29"/>
      <c r="L1" s="29"/>
      <c r="M1" s="29"/>
      <c r="N1" s="29"/>
    </row>
    <row r="2" spans="1:14" ht="15">
      <c r="A2" s="31" t="s">
        <v>108</v>
      </c>
      <c r="B2" s="29"/>
      <c r="C2" s="29"/>
      <c r="D2" s="29"/>
      <c r="E2" s="29"/>
      <c r="F2" s="29"/>
      <c r="G2" s="29"/>
      <c r="H2" s="29"/>
      <c r="I2" s="29"/>
      <c r="J2" s="29"/>
      <c r="K2" s="29"/>
      <c r="L2" s="29"/>
      <c r="M2" s="29"/>
      <c r="N2" s="29"/>
    </row>
    <row r="4" spans="1:14" ht="36">
      <c r="A4" s="2" t="s">
        <v>39</v>
      </c>
      <c r="B4" s="2" t="s">
        <v>40</v>
      </c>
      <c r="C4" s="2" t="s">
        <v>48</v>
      </c>
      <c r="D4" s="2" t="s">
        <v>81</v>
      </c>
      <c r="E4" s="2" t="s">
        <v>88</v>
      </c>
      <c r="F4" s="2" t="s">
        <v>109</v>
      </c>
      <c r="G4" s="2" t="s">
        <v>110</v>
      </c>
      <c r="H4" s="2" t="s">
        <v>111</v>
      </c>
      <c r="I4" s="2" t="s">
        <v>112</v>
      </c>
      <c r="J4" s="2" t="s">
        <v>49</v>
      </c>
      <c r="K4" s="2" t="s">
        <v>113</v>
      </c>
      <c r="L4" s="2" t="s">
        <v>114</v>
      </c>
      <c r="M4" s="2" t="s">
        <v>115</v>
      </c>
      <c r="N4" s="2" t="s">
        <v>116</v>
      </c>
    </row>
    <row r="5" spans="1:14" ht="17">
      <c r="A5" s="7" t="str">
        <f>IF('1.赛马分原始数据'!A4="","",'1.赛马分原始数据'!A4)</f>
        <v>S001</v>
      </c>
      <c r="B5" s="7" t="str">
        <f>IF('1.赛马分原始数据'!B4="","",'1.赛马分原始数据'!B4)</f>
        <v>供应商A-优</v>
      </c>
      <c r="C5" s="8">
        <f>'1.赛马分原始数据'!J4</f>
        <v>93</v>
      </c>
      <c r="D5" s="7" t="str">
        <f>'2.SLA扣分台账'!F4</f>
        <v>Q2合规扣分</v>
      </c>
      <c r="E5" s="7" t="str">
        <f>'3.稳定性检查表'!O4</f>
        <v>Q2稳定性得分</v>
      </c>
      <c r="F5" s="7" t="str">
        <f>'4.供管自评表'!H4</f>
        <v>自评加分</v>
      </c>
      <c r="G5" s="9" t="e">
        <f t="shared" ref="G5:G16" si="0">ROUND(C5-D5+E5+F5,1)</f>
        <v>#VALUE!</v>
      </c>
      <c r="H5" s="7" t="e">
        <f t="shared" ref="H5:H16" si="1">IF(G5=0,"",RANK(G5,$G$5:$G$16,0))</f>
        <v>#VALUE!</v>
      </c>
      <c r="I5" s="6" t="e">
        <f t="shared" ref="I5:I16" si="2">IF(H5="","",IF(H5&lt;=4,"高",IF(H5&lt;=9,"中","低")))</f>
        <v>#VALUE!</v>
      </c>
      <c r="J5" s="10">
        <f>'1.赛马分原始数据'!K4</f>
        <v>1.1000000000000001</v>
      </c>
      <c r="K5" s="6" t="str">
        <f>'1.赛马分原始数据'!L4</f>
        <v>持平</v>
      </c>
      <c r="L5" s="6" t="e">
        <f t="shared" ref="L5:L16" si="3">IF(OR(I5="",K5="数据不全"),"",I5&amp;"-"&amp;K5)</f>
        <v>#VALUE!</v>
      </c>
      <c r="M5" s="9" t="e">
        <f>IF(B5="","",IF('2.SLA扣分台账'!G4="是·直接C级","C(红线)",IF(I5="高",IF(K5="下降","A(防下滑)","A"),IF(I5="中","B",IF(I5="低","C","")))))</f>
        <v>#VALUE!</v>
      </c>
      <c r="N5" s="7" t="e">
        <f t="shared" ref="N5:N16" si="4">IF(M5="","",IF(LEFT(M5,1)="A","优秀·资源优先倾斜",IF(LEFT(M5,1)="B","合格·维持现状",IF(LEFT(M5,1)="C","不合格·整改或清退",""))))</f>
        <v>#VALUE!</v>
      </c>
    </row>
    <row r="6" spans="1:14" ht="17">
      <c r="A6" s="7" t="str">
        <f>IF('1.赛马分原始数据'!A5="","",'1.赛马分原始数据'!A5)</f>
        <v>S002</v>
      </c>
      <c r="B6" s="7" t="str">
        <f>IF('1.赛马分原始数据'!B5="","",'1.赛马分原始数据'!B5)</f>
        <v>供应商B-优</v>
      </c>
      <c r="C6" s="8">
        <f>'1.赛马分原始数据'!J5</f>
        <v>91</v>
      </c>
      <c r="D6" s="7">
        <f>'2.SLA扣分台账'!F5</f>
        <v>0</v>
      </c>
      <c r="E6" s="7">
        <f>'3.稳定性检查表'!O5</f>
        <v>0</v>
      </c>
      <c r="F6" s="7">
        <f>'4.供管自评表'!H5</f>
        <v>5</v>
      </c>
      <c r="G6" s="9">
        <f t="shared" si="0"/>
        <v>96</v>
      </c>
      <c r="H6" s="7" t="e">
        <f t="shared" si="1"/>
        <v>#VALUE!</v>
      </c>
      <c r="I6" s="6" t="e">
        <f t="shared" si="2"/>
        <v>#VALUE!</v>
      </c>
      <c r="J6" s="10">
        <f>'1.赛马分原始数据'!K5</f>
        <v>3.4</v>
      </c>
      <c r="K6" s="6" t="str">
        <f>'1.赛马分原始数据'!L5</f>
        <v>持平</v>
      </c>
      <c r="L6" s="6" t="e">
        <f t="shared" si="3"/>
        <v>#VALUE!</v>
      </c>
      <c r="M6" s="9" t="e">
        <f>IF(B6="","",IF('2.SLA扣分台账'!G5="是·直接C级","C(红线)",IF(I6="高",IF(K6="下降","A(防下滑)","A"),IF(I6="中","B",IF(I6="低","C","")))))</f>
        <v>#VALUE!</v>
      </c>
      <c r="N6" s="7" t="e">
        <f t="shared" si="4"/>
        <v>#VALUE!</v>
      </c>
    </row>
    <row r="7" spans="1:14" ht="17">
      <c r="A7" s="7" t="str">
        <f>IF('1.赛马分原始数据'!A6="","",'1.赛马分原始数据'!A6)</f>
        <v>S003</v>
      </c>
      <c r="B7" s="7" t="str">
        <f>IF('1.赛马分原始数据'!B6="","",'1.赛马分原始数据'!B6)</f>
        <v>供应商C-优</v>
      </c>
      <c r="C7" s="8">
        <f>'1.赛马分原始数据'!J6</f>
        <v>90</v>
      </c>
      <c r="D7" s="7">
        <f>'2.SLA扣分台账'!F6</f>
        <v>5</v>
      </c>
      <c r="E7" s="7">
        <f>'3.稳定性检查表'!O6</f>
        <v>4</v>
      </c>
      <c r="F7" s="7">
        <f>'4.供管自评表'!H6</f>
        <v>4</v>
      </c>
      <c r="G7" s="9">
        <f t="shared" si="0"/>
        <v>93</v>
      </c>
      <c r="H7" s="7" t="e">
        <f t="shared" si="1"/>
        <v>#VALUE!</v>
      </c>
      <c r="I7" s="6" t="e">
        <f t="shared" si="2"/>
        <v>#VALUE!</v>
      </c>
      <c r="J7" s="10">
        <f>'1.赛马分原始数据'!K6</f>
        <v>5.9</v>
      </c>
      <c r="K7" s="6" t="str">
        <f>'1.赛马分原始数据'!L6</f>
        <v>持平</v>
      </c>
      <c r="L7" s="6" t="e">
        <f t="shared" si="3"/>
        <v>#VALUE!</v>
      </c>
      <c r="M7" s="9" t="e">
        <f>IF(B7="","",IF('2.SLA扣分台账'!G6="是·直接C级","C(红线)",IF(I7="高",IF(K7="下降","A(防下滑)","A"),IF(I7="中","B",IF(I7="低","C","")))))</f>
        <v>#VALUE!</v>
      </c>
      <c r="N7" s="7" t="e">
        <f t="shared" si="4"/>
        <v>#VALUE!</v>
      </c>
    </row>
    <row r="8" spans="1:14" ht="17">
      <c r="A8" s="7" t="str">
        <f>IF('1.赛马分原始数据'!A7="","",'1.赛马分原始数据'!A7)</f>
        <v>S004</v>
      </c>
      <c r="B8" s="7" t="str">
        <f>IF('1.赛马分原始数据'!B7="","",'1.赛马分原始数据'!B7)</f>
        <v>供应商D-优边</v>
      </c>
      <c r="C8" s="8">
        <f>'1.赛马分原始数据'!J7</f>
        <v>87</v>
      </c>
      <c r="D8" s="7">
        <f>'2.SLA扣分台账'!F7</f>
        <v>0</v>
      </c>
      <c r="E8" s="7">
        <f>'3.稳定性检查表'!O7</f>
        <v>2</v>
      </c>
      <c r="F8" s="7">
        <f>'4.供管自评表'!H7</f>
        <v>4</v>
      </c>
      <c r="G8" s="9">
        <f t="shared" si="0"/>
        <v>93</v>
      </c>
      <c r="H8" s="7" t="e">
        <f t="shared" si="1"/>
        <v>#VALUE!</v>
      </c>
      <c r="I8" s="6" t="e">
        <f t="shared" si="2"/>
        <v>#VALUE!</v>
      </c>
      <c r="J8" s="10">
        <f>'1.赛马分原始数据'!K7</f>
        <v>3.6</v>
      </c>
      <c r="K8" s="6" t="str">
        <f>'1.赛马分原始数据'!L7</f>
        <v>持平</v>
      </c>
      <c r="L8" s="6" t="e">
        <f t="shared" si="3"/>
        <v>#VALUE!</v>
      </c>
      <c r="M8" s="9" t="e">
        <f>IF(B8="","",IF('2.SLA扣分台账'!G7="是·直接C级","C(红线)",IF(I8="高",IF(K8="下降","A(防下滑)","A"),IF(I8="中","B",IF(I8="低","C","")))))</f>
        <v>#VALUE!</v>
      </c>
      <c r="N8" s="7" t="e">
        <f t="shared" si="4"/>
        <v>#VALUE!</v>
      </c>
    </row>
    <row r="9" spans="1:14" ht="17">
      <c r="A9" s="7" t="str">
        <f>IF('1.赛马分原始数据'!A8="","",'1.赛马分原始数据'!A8)</f>
        <v>S005</v>
      </c>
      <c r="B9" s="7" t="str">
        <f>IF('1.赛马分原始数据'!B8="","",'1.赛马分原始数据'!B8)</f>
        <v>供应商E-中上</v>
      </c>
      <c r="C9" s="8">
        <f>'1.赛马分原始数据'!J8</f>
        <v>84</v>
      </c>
      <c r="D9" s="7">
        <f>'2.SLA扣分台账'!F8</f>
        <v>5</v>
      </c>
      <c r="E9" s="7">
        <f>'3.稳定性检查表'!O8</f>
        <v>2</v>
      </c>
      <c r="F9" s="7">
        <f>'4.供管自评表'!H8</f>
        <v>3</v>
      </c>
      <c r="G9" s="9">
        <f t="shared" si="0"/>
        <v>84</v>
      </c>
      <c r="H9" s="7" t="e">
        <f t="shared" si="1"/>
        <v>#VALUE!</v>
      </c>
      <c r="I9" s="6" t="e">
        <f t="shared" si="2"/>
        <v>#VALUE!</v>
      </c>
      <c r="J9" s="10">
        <f>'1.赛马分原始数据'!K8</f>
        <v>7.7</v>
      </c>
      <c r="K9" s="6" t="str">
        <f>'1.赛马分原始数据'!L8</f>
        <v>持平</v>
      </c>
      <c r="L9" s="6" t="e">
        <f t="shared" si="3"/>
        <v>#VALUE!</v>
      </c>
      <c r="M9" s="9" t="e">
        <f>IF(B9="","",IF('2.SLA扣分台账'!G8="是·直接C级","C(红线)",IF(I9="高",IF(K9="下降","A(防下滑)","A"),IF(I9="中","B",IF(I9="低","C","")))))</f>
        <v>#VALUE!</v>
      </c>
      <c r="N9" s="7" t="e">
        <f t="shared" si="4"/>
        <v>#VALUE!</v>
      </c>
    </row>
    <row r="10" spans="1:14" ht="17">
      <c r="A10" s="7" t="str">
        <f>IF('1.赛马分原始数据'!A9="","",'1.赛马分原始数据'!A9)</f>
        <v>S006</v>
      </c>
      <c r="B10" s="7" t="str">
        <f>IF('1.赛马分原始数据'!B9="","",'1.赛马分原始数据'!B9)</f>
        <v>供应商F-中</v>
      </c>
      <c r="C10" s="8">
        <f>'1.赛马分原始数据'!J9</f>
        <v>80</v>
      </c>
      <c r="D10" s="7">
        <f>'2.SLA扣分台账'!F9</f>
        <v>0</v>
      </c>
      <c r="E10" s="7">
        <f>'3.稳定性检查表'!O9</f>
        <v>1</v>
      </c>
      <c r="F10" s="7">
        <f>'4.供管自评表'!H9</f>
        <v>2</v>
      </c>
      <c r="G10" s="9">
        <f t="shared" si="0"/>
        <v>83</v>
      </c>
      <c r="H10" s="7" t="e">
        <f t="shared" si="1"/>
        <v>#VALUE!</v>
      </c>
      <c r="I10" s="6" t="e">
        <f t="shared" si="2"/>
        <v>#VALUE!</v>
      </c>
      <c r="J10" s="10">
        <f>'1.赛马分原始数据'!K9</f>
        <v>6.7</v>
      </c>
      <c r="K10" s="6" t="str">
        <f>'1.赛马分原始数据'!L9</f>
        <v>持平</v>
      </c>
      <c r="L10" s="6" t="e">
        <f t="shared" si="3"/>
        <v>#VALUE!</v>
      </c>
      <c r="M10" s="9" t="e">
        <f>IF(B10="","",IF('2.SLA扣分台账'!G9="是·直接C级","C(红线)",IF(I10="高",IF(K10="下降","A(防下滑)","A"),IF(I10="中","B",IF(I10="低","C","")))))</f>
        <v>#VALUE!</v>
      </c>
      <c r="N10" s="7" t="e">
        <f t="shared" si="4"/>
        <v>#VALUE!</v>
      </c>
    </row>
    <row r="11" spans="1:14" ht="17">
      <c r="A11" s="7" t="str">
        <f>IF('1.赛马分原始数据'!A10="","",'1.赛马分原始数据'!A10)</f>
        <v>S007</v>
      </c>
      <c r="B11" s="7" t="str">
        <f>IF('1.赛马分原始数据'!B10="","",'1.赛马分原始数据'!B10)</f>
        <v>供应商G-中</v>
      </c>
      <c r="C11" s="8">
        <f>'1.赛马分原始数据'!J10</f>
        <v>78</v>
      </c>
      <c r="D11" s="7">
        <f>'2.SLA扣分台账'!F10</f>
        <v>10</v>
      </c>
      <c r="E11" s="7">
        <f>'3.稳定性检查表'!O10</f>
        <v>1</v>
      </c>
      <c r="F11" s="7">
        <f>'4.供管自评表'!H10</f>
        <v>1</v>
      </c>
      <c r="G11" s="9">
        <f t="shared" si="0"/>
        <v>70</v>
      </c>
      <c r="H11" s="7" t="e">
        <f t="shared" si="1"/>
        <v>#VALUE!</v>
      </c>
      <c r="I11" s="6" t="e">
        <f t="shared" si="2"/>
        <v>#VALUE!</v>
      </c>
      <c r="J11" s="10">
        <f>'1.赛马分原始数据'!K10</f>
        <v>8.3000000000000007</v>
      </c>
      <c r="K11" s="6" t="str">
        <f>'1.赛马分原始数据'!L10</f>
        <v>持平</v>
      </c>
      <c r="L11" s="6" t="e">
        <f t="shared" si="3"/>
        <v>#VALUE!</v>
      </c>
      <c r="M11" s="9" t="e">
        <f>IF(B11="","",IF('2.SLA扣分台账'!G10="是·直接C级","C(红线)",IF(I11="高",IF(K11="下降","A(防下滑)","A"),IF(I11="中","B",IF(I11="低","C","")))))</f>
        <v>#VALUE!</v>
      </c>
      <c r="N11" s="7" t="e">
        <f t="shared" si="4"/>
        <v>#VALUE!</v>
      </c>
    </row>
    <row r="12" spans="1:14" ht="17">
      <c r="A12" s="7" t="str">
        <f>IF('1.赛马分原始数据'!A11="","",'1.赛马分原始数据'!A11)</f>
        <v>S008</v>
      </c>
      <c r="B12" s="7" t="str">
        <f>IF('1.赛马分原始数据'!B11="","",'1.赛马分原始数据'!B11)</f>
        <v>供应商H-中下</v>
      </c>
      <c r="C12" s="8">
        <f>'1.赛马分原始数据'!J11</f>
        <v>74</v>
      </c>
      <c r="D12" s="7">
        <f>'2.SLA扣分台账'!F11</f>
        <v>0</v>
      </c>
      <c r="E12" s="7">
        <f>'3.稳定性检查表'!O11</f>
        <v>-1</v>
      </c>
      <c r="F12" s="7">
        <f>'4.供管自评表'!H11</f>
        <v>1</v>
      </c>
      <c r="G12" s="9">
        <f t="shared" si="0"/>
        <v>74</v>
      </c>
      <c r="H12" s="7" t="e">
        <f t="shared" si="1"/>
        <v>#VALUE!</v>
      </c>
      <c r="I12" s="6" t="e">
        <f t="shared" si="2"/>
        <v>#VALUE!</v>
      </c>
      <c r="J12" s="10">
        <f>'1.赛马分原始数据'!K11</f>
        <v>8.8000000000000007</v>
      </c>
      <c r="K12" s="6" t="str">
        <f>'1.赛马分原始数据'!L11</f>
        <v>持平</v>
      </c>
      <c r="L12" s="6" t="e">
        <f t="shared" si="3"/>
        <v>#VALUE!</v>
      </c>
      <c r="M12" s="9" t="e">
        <f>IF(B12="","",IF('2.SLA扣分台账'!G11="是·直接C级","C(红线)",IF(I12="高",IF(K12="下降","A(防下滑)","A"),IF(I12="中","B",IF(I12="低","C","")))))</f>
        <v>#VALUE!</v>
      </c>
      <c r="N12" s="7" t="e">
        <f t="shared" si="4"/>
        <v>#VALUE!</v>
      </c>
    </row>
    <row r="13" spans="1:14" ht="17">
      <c r="A13" s="7" t="str">
        <f>IF('1.赛马分原始数据'!A12="","",'1.赛马分原始数据'!A12)</f>
        <v>S009</v>
      </c>
      <c r="B13" s="7" t="str">
        <f>IF('1.赛马分原始数据'!B12="","",'1.赛马分原始数据'!B12)</f>
        <v>供应商I-中边</v>
      </c>
      <c r="C13" s="8">
        <f>'1.赛马分原始数据'!J12</f>
        <v>71</v>
      </c>
      <c r="D13" s="7">
        <f>'2.SLA扣分台账'!F12</f>
        <v>10</v>
      </c>
      <c r="E13" s="7">
        <f>'3.稳定性检查表'!O12</f>
        <v>-1</v>
      </c>
      <c r="F13" s="7">
        <f>'4.供管自评表'!H12</f>
        <v>0</v>
      </c>
      <c r="G13" s="9">
        <f t="shared" si="0"/>
        <v>60</v>
      </c>
      <c r="H13" s="7" t="e">
        <f t="shared" si="1"/>
        <v>#VALUE!</v>
      </c>
      <c r="I13" s="6" t="e">
        <f t="shared" si="2"/>
        <v>#VALUE!</v>
      </c>
      <c r="J13" s="10">
        <f>'1.赛马分原始数据'!K12</f>
        <v>9.1999999999999993</v>
      </c>
      <c r="K13" s="6" t="str">
        <f>'1.赛马分原始数据'!L12</f>
        <v>持平</v>
      </c>
      <c r="L13" s="6" t="e">
        <f t="shared" si="3"/>
        <v>#VALUE!</v>
      </c>
      <c r="M13" s="9" t="e">
        <f>IF(B13="","",IF('2.SLA扣分台账'!G12="是·直接C级","C(红线)",IF(I13="高",IF(K13="下降","A(防下滑)","A"),IF(I13="中","B",IF(I13="低","C","")))))</f>
        <v>#VALUE!</v>
      </c>
      <c r="N13" s="7" t="e">
        <f t="shared" si="4"/>
        <v>#VALUE!</v>
      </c>
    </row>
    <row r="14" spans="1:14" ht="17">
      <c r="A14" s="7" t="str">
        <f>IF('1.赛马分原始数据'!A13="","",'1.赛马分原始数据'!A13)</f>
        <v>S010</v>
      </c>
      <c r="B14" s="7" t="str">
        <f>IF('1.赛马分原始数据'!B13="","",'1.赛马分原始数据'!B13)</f>
        <v>供应商J-差边</v>
      </c>
      <c r="C14" s="8">
        <f>'1.赛马分原始数据'!J13</f>
        <v>66</v>
      </c>
      <c r="D14" s="7">
        <f>'2.SLA扣分台账'!F13</f>
        <v>0</v>
      </c>
      <c r="E14" s="7">
        <f>'3.稳定性检查表'!O13</f>
        <v>-2</v>
      </c>
      <c r="F14" s="7">
        <f>'4.供管自评表'!H13</f>
        <v>0</v>
      </c>
      <c r="G14" s="9">
        <f t="shared" si="0"/>
        <v>64</v>
      </c>
      <c r="H14" s="7" t="e">
        <f t="shared" si="1"/>
        <v>#VALUE!</v>
      </c>
      <c r="I14" s="6" t="e">
        <f t="shared" si="2"/>
        <v>#VALUE!</v>
      </c>
      <c r="J14" s="10">
        <f>'1.赛马分原始数据'!K13</f>
        <v>10</v>
      </c>
      <c r="K14" s="6" t="str">
        <f>'1.赛马分原始数据'!L13</f>
        <v>持平</v>
      </c>
      <c r="L14" s="6" t="e">
        <f t="shared" si="3"/>
        <v>#VALUE!</v>
      </c>
      <c r="M14" s="9" t="e">
        <f>IF(B14="","",IF('2.SLA扣分台账'!G13="是·直接C级","C(红线)",IF(I14="高",IF(K14="下降","A(防下滑)","A"),IF(I14="中","B",IF(I14="低","C","")))))</f>
        <v>#VALUE!</v>
      </c>
      <c r="N14" s="7" t="e">
        <f t="shared" si="4"/>
        <v>#VALUE!</v>
      </c>
    </row>
    <row r="15" spans="1:14" ht="17">
      <c r="A15" s="7" t="str">
        <f>IF('1.赛马分原始数据'!A14="","",'1.赛马分原始数据'!A14)</f>
        <v>S011</v>
      </c>
      <c r="B15" s="7" t="str">
        <f>IF('1.赛马分原始数据'!B14="","",'1.赛马分原始数据'!B14)</f>
        <v>供应商K-差</v>
      </c>
      <c r="C15" s="8">
        <f>'1.赛马分原始数据'!J14</f>
        <v>60</v>
      </c>
      <c r="D15" s="7">
        <f>'2.SLA扣分台账'!F14</f>
        <v>0</v>
      </c>
      <c r="E15" s="7">
        <f>'3.稳定性检查表'!O14</f>
        <v>-3</v>
      </c>
      <c r="F15" s="7">
        <f>'4.供管自评表'!H14</f>
        <v>0</v>
      </c>
      <c r="G15" s="9">
        <f t="shared" si="0"/>
        <v>57</v>
      </c>
      <c r="H15" s="7" t="e">
        <f t="shared" si="1"/>
        <v>#VALUE!</v>
      </c>
      <c r="I15" s="6" t="e">
        <f t="shared" si="2"/>
        <v>#VALUE!</v>
      </c>
      <c r="J15" s="10">
        <f>'1.赛马分原始数据'!K14</f>
        <v>9.1</v>
      </c>
      <c r="K15" s="6" t="str">
        <f>'1.赛马分原始数据'!L14</f>
        <v>持平</v>
      </c>
      <c r="L15" s="6" t="e">
        <f t="shared" si="3"/>
        <v>#VALUE!</v>
      </c>
      <c r="M15" s="9" t="e">
        <f>IF(B15="","",IF('2.SLA扣分台账'!G14="是·直接C级","C(红线)",IF(I15="高",IF(K15="下降","A(防下滑)","A"),IF(I15="中","B",IF(I15="低","C","")))))</f>
        <v>#VALUE!</v>
      </c>
      <c r="N15" s="7" t="e">
        <f t="shared" si="4"/>
        <v>#VALUE!</v>
      </c>
    </row>
    <row r="16" spans="1:14" ht="17">
      <c r="A16" s="7" t="str">
        <f>IF('1.赛马分原始数据'!A15="","",'1.赛马分原始数据'!A15)</f>
        <v>S012</v>
      </c>
      <c r="B16" s="7" t="str">
        <f>IF('1.赛马分原始数据'!B15="","",'1.赛马分原始数据'!B15)</f>
        <v>供应商L-差红</v>
      </c>
      <c r="C16" s="8">
        <f>'1.赛马分原始数据'!J15</f>
        <v>56</v>
      </c>
      <c r="D16" s="7">
        <f>'2.SLA扣分台账'!F15</f>
        <v>15</v>
      </c>
      <c r="E16" s="7">
        <f>'3.稳定性检查表'!O15</f>
        <v>-3</v>
      </c>
      <c r="F16" s="7">
        <f>'4.供管自评表'!H15</f>
        <v>0</v>
      </c>
      <c r="G16" s="9">
        <f t="shared" si="0"/>
        <v>38</v>
      </c>
      <c r="H16" s="7" t="e">
        <f t="shared" si="1"/>
        <v>#VALUE!</v>
      </c>
      <c r="I16" s="6" t="e">
        <f t="shared" si="2"/>
        <v>#VALUE!</v>
      </c>
      <c r="J16" s="10">
        <f>'1.赛马分原始数据'!K15</f>
        <v>12</v>
      </c>
      <c r="K16" s="6" t="str">
        <f>'1.赛马分原始数据'!L15</f>
        <v>上升</v>
      </c>
      <c r="L16" s="6" t="e">
        <f t="shared" si="3"/>
        <v>#VALUE!</v>
      </c>
      <c r="M16" s="9" t="e">
        <f>IF(B16="","",IF('2.SLA扣分台账'!G15="是·直接C级","C(红线)",IF(I16="高",IF(K16="下降","A(防下滑)","A"),IF(I16="中","B",IF(I16="低","C","")))))</f>
        <v>#VALUE!</v>
      </c>
      <c r="N16" s="7" t="e">
        <f t="shared" si="4"/>
        <v>#VALUE!</v>
      </c>
    </row>
    <row r="19" spans="1:14" ht="16">
      <c r="A19" s="36" t="s">
        <v>117</v>
      </c>
      <c r="B19" s="29"/>
      <c r="C19" s="29"/>
      <c r="D19" s="29"/>
      <c r="E19" s="29"/>
      <c r="F19" s="29"/>
      <c r="G19" s="29"/>
      <c r="H19" s="29"/>
      <c r="I19" s="29"/>
      <c r="J19" s="29"/>
      <c r="K19" s="29"/>
      <c r="L19" s="29"/>
      <c r="M19" s="29"/>
      <c r="N19" s="29"/>
    </row>
    <row r="20" spans="1:14" ht="17">
      <c r="A20" s="11" t="s">
        <v>114</v>
      </c>
      <c r="B20" s="11" t="s">
        <v>118</v>
      </c>
      <c r="C20" s="11" t="s">
        <v>119</v>
      </c>
    </row>
    <row r="21" spans="1:14">
      <c r="A21" s="7" t="s">
        <v>120</v>
      </c>
      <c r="B21" s="7" t="s">
        <v>121</v>
      </c>
      <c r="C21" s="6">
        <f>COUNTIF(L5:L16,"高-上升")</f>
        <v>0</v>
      </c>
    </row>
    <row r="22" spans="1:14">
      <c r="A22" s="7" t="s">
        <v>122</v>
      </c>
      <c r="B22" s="7" t="s">
        <v>123</v>
      </c>
      <c r="C22" s="6">
        <f>COUNTIF(L5:L16,"高-持平")</f>
        <v>0</v>
      </c>
    </row>
    <row r="23" spans="1:14">
      <c r="A23" s="7" t="s">
        <v>124</v>
      </c>
      <c r="B23" s="7" t="s">
        <v>125</v>
      </c>
      <c r="C23" s="6">
        <f>COUNTIF(L5:L16,"高-下降")</f>
        <v>0</v>
      </c>
    </row>
    <row r="24" spans="1:14">
      <c r="A24" s="7" t="s">
        <v>126</v>
      </c>
      <c r="B24" s="7" t="s">
        <v>127</v>
      </c>
      <c r="C24" s="6">
        <f>COUNTIF(L5:L16,"中-上升")</f>
        <v>0</v>
      </c>
    </row>
    <row r="25" spans="1:14">
      <c r="A25" s="7" t="s">
        <v>128</v>
      </c>
      <c r="B25" s="7" t="s">
        <v>129</v>
      </c>
      <c r="C25" s="6">
        <f>COUNTIF(L5:L16,"中-持平")</f>
        <v>0</v>
      </c>
    </row>
    <row r="26" spans="1:14">
      <c r="A26" s="7" t="s">
        <v>130</v>
      </c>
      <c r="B26" s="7" t="s">
        <v>131</v>
      </c>
      <c r="C26" s="6">
        <f>COUNTIF(L5:L16,"中-下降")</f>
        <v>0</v>
      </c>
    </row>
    <row r="27" spans="1:14">
      <c r="A27" s="7" t="s">
        <v>132</v>
      </c>
      <c r="B27" s="7" t="s">
        <v>133</v>
      </c>
      <c r="C27" s="6">
        <f>COUNTIF(L5:L16,"低-上升")</f>
        <v>0</v>
      </c>
    </row>
    <row r="28" spans="1:14">
      <c r="A28" s="7" t="s">
        <v>134</v>
      </c>
      <c r="B28" s="7" t="s">
        <v>135</v>
      </c>
      <c r="C28" s="6">
        <f>COUNTIF(L5:L16,"低-持平")</f>
        <v>0</v>
      </c>
    </row>
    <row r="29" spans="1:14">
      <c r="A29" s="7" t="s">
        <v>136</v>
      </c>
      <c r="B29" s="7" t="s">
        <v>137</v>
      </c>
      <c r="C29" s="6">
        <f>COUNTIF(L5:L16,"低-下降")</f>
        <v>0</v>
      </c>
    </row>
  </sheetData>
  <mergeCells count="3">
    <mergeCell ref="A19:N19"/>
    <mergeCell ref="A2:N2"/>
    <mergeCell ref="A1:N1"/>
  </mergeCells>
  <phoneticPr fontId="16" type="noConversion"/>
  <conditionalFormatting sqref="M5:M16">
    <cfRule type="expression" dxfId="2" priority="1">
      <formula>LEFT(M5,1)="A"</formula>
    </cfRule>
    <cfRule type="expression" dxfId="1" priority="2">
      <formula>LEFT(M5,1)="B"</formula>
    </cfRule>
    <cfRule type="expression" dxfId="0" priority="3">
      <formula>LEFT(M5,1)="C"</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6"/>
  <sheetViews>
    <sheetView workbookViewId="0">
      <selection sqref="A1:F1"/>
    </sheetView>
  </sheetViews>
  <sheetFormatPr baseColWidth="10" defaultColWidth="8.83203125" defaultRowHeight="14"/>
  <cols>
    <col min="1" max="1" width="20" customWidth="1"/>
    <col min="2" max="3" width="12" customWidth="1"/>
    <col min="4" max="6" width="22" customWidth="1"/>
  </cols>
  <sheetData>
    <row r="1" spans="1:6" ht="21">
      <c r="A1" s="30" t="s">
        <v>138</v>
      </c>
      <c r="B1" s="29"/>
      <c r="C1" s="29"/>
      <c r="D1" s="29"/>
      <c r="E1" s="29"/>
      <c r="F1" s="29"/>
    </row>
    <row r="3" spans="1:6" ht="18">
      <c r="A3" s="40" t="s">
        <v>139</v>
      </c>
      <c r="B3" s="29"/>
      <c r="C3" s="29"/>
      <c r="D3" s="29"/>
      <c r="E3" s="29"/>
      <c r="F3" s="29"/>
    </row>
    <row r="4" spans="1:6" ht="18">
      <c r="A4" s="2" t="s">
        <v>40</v>
      </c>
      <c r="B4" s="2" t="s">
        <v>110</v>
      </c>
      <c r="C4" s="2" t="s">
        <v>140</v>
      </c>
      <c r="D4" s="2" t="s">
        <v>141</v>
      </c>
      <c r="E4" s="2" t="s">
        <v>142</v>
      </c>
      <c r="F4" s="2" t="s">
        <v>143</v>
      </c>
    </row>
    <row r="5" spans="1:6" ht="16">
      <c r="A5" s="39" t="s">
        <v>144</v>
      </c>
      <c r="B5" s="33"/>
      <c r="C5" s="33"/>
      <c r="D5" s="33"/>
      <c r="E5" s="33"/>
      <c r="F5" s="34"/>
    </row>
    <row r="6" spans="1:6">
      <c r="A6" s="7" t="str">
        <f>IFERROR(INDEX('5.评级结果'!B:B,MATCH("A*",'5.评级结果'!M:M,0)),"")</f>
        <v>供应商名称</v>
      </c>
      <c r="B6" s="7"/>
      <c r="C6" s="7"/>
      <c r="D6" s="3"/>
      <c r="E6" s="3"/>
      <c r="F6" s="3"/>
    </row>
    <row r="7" spans="1:6">
      <c r="A7" s="7" t="str">
        <f>IFERROR(INDEX('5.评级结果'!B:B,MATCH("A*",'5.评级结果'!M:M,0)),"")</f>
        <v>供应商名称</v>
      </c>
      <c r="B7" s="7"/>
      <c r="C7" s="7"/>
      <c r="D7" s="3"/>
      <c r="E7" s="3"/>
      <c r="F7" s="3"/>
    </row>
    <row r="8" spans="1:6">
      <c r="A8" s="7" t="str">
        <f>IFERROR(INDEX('5.评级结果'!B:B,MATCH("A*",'5.评级结果'!M:M,0)),"")</f>
        <v>供应商名称</v>
      </c>
      <c r="B8" s="7"/>
      <c r="C8" s="7"/>
      <c r="D8" s="3"/>
      <c r="E8" s="3"/>
      <c r="F8" s="3"/>
    </row>
    <row r="9" spans="1:6">
      <c r="A9" s="7"/>
      <c r="B9" s="7"/>
      <c r="C9" s="7"/>
      <c r="D9" s="3"/>
      <c r="E9" s="3"/>
      <c r="F9" s="3"/>
    </row>
    <row r="10" spans="1:6">
      <c r="A10" s="7"/>
      <c r="B10" s="7"/>
      <c r="C10" s="7"/>
      <c r="D10" s="3"/>
      <c r="E10" s="3"/>
      <c r="F10" s="3"/>
    </row>
    <row r="11" spans="1:6" ht="18">
      <c r="A11" s="37" t="s">
        <v>145</v>
      </c>
      <c r="B11" s="29"/>
      <c r="C11" s="29"/>
      <c r="D11" s="29"/>
      <c r="E11" s="29"/>
      <c r="F11" s="29"/>
    </row>
    <row r="12" spans="1:6" ht="18">
      <c r="A12" s="2" t="s">
        <v>40</v>
      </c>
      <c r="B12" s="2" t="s">
        <v>110</v>
      </c>
      <c r="C12" s="2" t="s">
        <v>140</v>
      </c>
      <c r="D12" s="2" t="s">
        <v>146</v>
      </c>
      <c r="E12" s="2" t="s">
        <v>147</v>
      </c>
      <c r="F12" s="2" t="s">
        <v>148</v>
      </c>
    </row>
    <row r="13" spans="1:6">
      <c r="A13" s="7"/>
      <c r="B13" s="7"/>
      <c r="C13" s="7"/>
      <c r="D13" s="3"/>
      <c r="E13" s="3"/>
      <c r="F13" s="3"/>
    </row>
    <row r="14" spans="1:6">
      <c r="A14" s="7"/>
      <c r="B14" s="7"/>
      <c r="C14" s="7"/>
      <c r="D14" s="3"/>
      <c r="E14" s="3"/>
      <c r="F14" s="3"/>
    </row>
    <row r="15" spans="1:6">
      <c r="A15" s="7"/>
      <c r="B15" s="7"/>
      <c r="C15" s="7"/>
      <c r="D15" s="3"/>
      <c r="E15" s="3"/>
      <c r="F15" s="3"/>
    </row>
    <row r="16" spans="1:6">
      <c r="A16" s="7"/>
      <c r="B16" s="7"/>
      <c r="C16" s="7"/>
      <c r="D16" s="3"/>
      <c r="E16" s="3"/>
      <c r="F16" s="3"/>
    </row>
    <row r="17" spans="1:6">
      <c r="A17" s="7"/>
      <c r="B17" s="7"/>
      <c r="C17" s="7"/>
      <c r="D17" s="3"/>
      <c r="E17" s="3"/>
      <c r="F17" s="3"/>
    </row>
    <row r="18" spans="1:6">
      <c r="A18" s="7"/>
      <c r="B18" s="7"/>
      <c r="C18" s="7"/>
      <c r="D18" s="3"/>
      <c r="E18" s="3"/>
      <c r="F18" s="3"/>
    </row>
    <row r="19" spans="1:6" ht="18">
      <c r="A19" s="38" t="s">
        <v>149</v>
      </c>
      <c r="B19" s="29"/>
      <c r="C19" s="29"/>
      <c r="D19" s="29"/>
      <c r="E19" s="29"/>
      <c r="F19" s="29"/>
    </row>
    <row r="20" spans="1:6" ht="18">
      <c r="A20" s="2" t="s">
        <v>40</v>
      </c>
      <c r="B20" s="2" t="s">
        <v>110</v>
      </c>
      <c r="C20" s="2" t="s">
        <v>140</v>
      </c>
      <c r="D20" s="2" t="s">
        <v>150</v>
      </c>
      <c r="E20" s="2" t="s">
        <v>151</v>
      </c>
      <c r="F20" s="2" t="s">
        <v>152</v>
      </c>
    </row>
    <row r="21" spans="1:6">
      <c r="A21" s="7"/>
      <c r="B21" s="7"/>
      <c r="C21" s="7"/>
      <c r="D21" s="3"/>
      <c r="E21" s="3"/>
      <c r="F21" s="3"/>
    </row>
    <row r="22" spans="1:6">
      <c r="A22" s="7"/>
      <c r="B22" s="7"/>
      <c r="C22" s="7"/>
      <c r="D22" s="3"/>
      <c r="E22" s="3"/>
      <c r="F22" s="3"/>
    </row>
    <row r="23" spans="1:6">
      <c r="A23" s="7"/>
      <c r="B23" s="7"/>
      <c r="C23" s="7"/>
      <c r="D23" s="3"/>
      <c r="E23" s="3"/>
      <c r="F23" s="3"/>
    </row>
    <row r="24" spans="1:6">
      <c r="A24" s="7"/>
      <c r="B24" s="7"/>
      <c r="C24" s="7"/>
      <c r="D24" s="3"/>
      <c r="E24" s="3"/>
      <c r="F24" s="3"/>
    </row>
    <row r="25" spans="1:6">
      <c r="A25" s="7"/>
      <c r="B25" s="7"/>
      <c r="C25" s="7"/>
      <c r="D25" s="3"/>
      <c r="E25" s="3"/>
      <c r="F25" s="3"/>
    </row>
    <row r="26" spans="1:6">
      <c r="A26" s="7"/>
      <c r="B26" s="7"/>
      <c r="C26" s="7"/>
      <c r="D26" s="3"/>
      <c r="E26" s="3"/>
      <c r="F26" s="3"/>
    </row>
  </sheetData>
  <mergeCells count="5">
    <mergeCell ref="A11:F11"/>
    <mergeCell ref="A19:F19"/>
    <mergeCell ref="A1:F1"/>
    <mergeCell ref="A5:F5"/>
    <mergeCell ref="A3:F3"/>
  </mergeCells>
  <phoneticPr fontId="16"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2"/>
  <sheetViews>
    <sheetView workbookViewId="0">
      <selection sqref="A1:E1"/>
    </sheetView>
  </sheetViews>
  <sheetFormatPr baseColWidth="10" defaultColWidth="8.83203125" defaultRowHeight="14"/>
  <cols>
    <col min="1" max="1" width="24" customWidth="1"/>
    <col min="2" max="2" width="20" customWidth="1"/>
    <col min="3" max="3" width="14" customWidth="1"/>
    <col min="4" max="4" width="16" customWidth="1"/>
    <col min="5" max="5" width="20" customWidth="1"/>
  </cols>
  <sheetData>
    <row r="1" spans="1:5" ht="21">
      <c r="A1" s="30" t="s">
        <v>153</v>
      </c>
      <c r="B1" s="29"/>
      <c r="C1" s="29"/>
      <c r="D1" s="29"/>
      <c r="E1" s="29"/>
    </row>
    <row r="3" spans="1:5" ht="16">
      <c r="A3" s="44" t="s">
        <v>154</v>
      </c>
      <c r="B3" s="29"/>
      <c r="C3" s="29"/>
      <c r="D3" s="29"/>
      <c r="E3" s="29"/>
    </row>
    <row r="5" spans="1:5" ht="16">
      <c r="A5" s="43" t="s">
        <v>155</v>
      </c>
      <c r="B5" s="29"/>
      <c r="C5" s="29"/>
      <c r="D5" s="29"/>
      <c r="E5" s="29"/>
    </row>
    <row r="6" spans="1:5" ht="18">
      <c r="A6" s="2" t="s">
        <v>40</v>
      </c>
      <c r="B6" s="2" t="s">
        <v>156</v>
      </c>
      <c r="C6" s="2" t="s">
        <v>157</v>
      </c>
      <c r="D6" s="2" t="s">
        <v>158</v>
      </c>
      <c r="E6" s="2" t="s">
        <v>51</v>
      </c>
    </row>
    <row r="7" spans="1:5">
      <c r="A7" s="12"/>
      <c r="B7" s="12"/>
      <c r="C7" s="13">
        <f>IFERROR(B7/$B$12,0)</f>
        <v>0</v>
      </c>
      <c r="D7" s="14" t="str">
        <f>IF(C7&gt;0.25,"⚠️ 超标","达标")</f>
        <v>达标</v>
      </c>
      <c r="E7" s="12"/>
    </row>
    <row r="8" spans="1:5">
      <c r="A8" s="12"/>
      <c r="B8" s="12"/>
      <c r="C8" s="13">
        <f>IFERROR(B8/$B$12,0)</f>
        <v>0</v>
      </c>
      <c r="D8" s="14" t="str">
        <f>IF(C8&gt;0.25,"⚠️ 超标","达标")</f>
        <v>达标</v>
      </c>
      <c r="E8" s="12"/>
    </row>
    <row r="9" spans="1:5">
      <c r="A9" s="12"/>
      <c r="B9" s="12"/>
      <c r="C9" s="13">
        <f>IFERROR(B9/$B$12,0)</f>
        <v>0</v>
      </c>
      <c r="D9" s="14" t="str">
        <f>IF(C9&gt;0.25,"⚠️ 超标","达标")</f>
        <v>达标</v>
      </c>
      <c r="E9" s="12"/>
    </row>
    <row r="10" spans="1:5">
      <c r="A10" s="12"/>
      <c r="B10" s="12"/>
      <c r="C10" s="13">
        <f>IFERROR(B10/$B$12,0)</f>
        <v>0</v>
      </c>
      <c r="D10" s="14" t="str">
        <f>IF(C10&gt;0.25,"⚠️ 超标","达标")</f>
        <v>达标</v>
      </c>
      <c r="E10" s="12"/>
    </row>
    <row r="11" spans="1:5" ht="16">
      <c r="A11" s="15" t="s">
        <v>159</v>
      </c>
      <c r="B11" s="15">
        <f>SUM(B7:B10)</f>
        <v>0</v>
      </c>
      <c r="C11" s="16">
        <f>SUM(C7:C10)</f>
        <v>0</v>
      </c>
      <c r="D11" s="15"/>
      <c r="E11" s="15"/>
    </row>
    <row r="12" spans="1:5">
      <c r="A12" s="17" t="s">
        <v>160</v>
      </c>
      <c r="B12" s="18"/>
    </row>
    <row r="14" spans="1:5" ht="16">
      <c r="A14" s="43" t="s">
        <v>161</v>
      </c>
      <c r="B14" s="29"/>
      <c r="C14" s="29"/>
      <c r="D14" s="29"/>
      <c r="E14" s="29"/>
    </row>
    <row r="15" spans="1:5">
      <c r="A15" t="s">
        <v>162</v>
      </c>
      <c r="B15" s="19">
        <f>C11</f>
        <v>0</v>
      </c>
    </row>
    <row r="16" spans="1:5">
      <c r="A16" t="s">
        <v>163</v>
      </c>
      <c r="B16" s="20">
        <v>0.4</v>
      </c>
    </row>
    <row r="17" spans="1:5" ht="15">
      <c r="A17" t="s">
        <v>164</v>
      </c>
      <c r="B17" s="21" t="str">
        <f>IF(B15&lt;=B16,"✅ 达标","⚠️ 超标·需调整")</f>
        <v>✅ 达标</v>
      </c>
    </row>
    <row r="19" spans="1:5">
      <c r="A19" s="42" t="s">
        <v>165</v>
      </c>
      <c r="B19" s="29"/>
      <c r="C19" s="29"/>
      <c r="D19" s="29"/>
      <c r="E19" s="29"/>
    </row>
    <row r="20" spans="1:5">
      <c r="A20" s="41" t="s">
        <v>166</v>
      </c>
      <c r="B20" s="29"/>
      <c r="C20" s="29"/>
      <c r="D20" s="29"/>
      <c r="E20" s="29"/>
    </row>
    <row r="21" spans="1:5">
      <c r="A21" s="29"/>
      <c r="B21" s="29"/>
      <c r="C21" s="29"/>
      <c r="D21" s="29"/>
      <c r="E21" s="29"/>
    </row>
    <row r="22" spans="1:5">
      <c r="A22" s="29"/>
      <c r="B22" s="29"/>
      <c r="C22" s="29"/>
      <c r="D22" s="29"/>
      <c r="E22" s="29"/>
    </row>
  </sheetData>
  <mergeCells count="6">
    <mergeCell ref="A20:E22"/>
    <mergeCell ref="A19:E19"/>
    <mergeCell ref="A1:E1"/>
    <mergeCell ref="A5:E5"/>
    <mergeCell ref="A14:E14"/>
    <mergeCell ref="A3:E3"/>
  </mergeCells>
  <phoneticPr fontId="16"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5"/>
  <sheetViews>
    <sheetView tabSelected="1" workbookViewId="0">
      <selection sqref="A1:G1"/>
    </sheetView>
  </sheetViews>
  <sheetFormatPr baseColWidth="10" defaultColWidth="8.83203125" defaultRowHeight="14"/>
  <cols>
    <col min="1" max="1" width="20" customWidth="1"/>
    <col min="2" max="5" width="14" customWidth="1"/>
    <col min="6" max="6" width="28" customWidth="1"/>
    <col min="7" max="7" width="22" customWidth="1"/>
  </cols>
  <sheetData>
    <row r="1" spans="1:7" ht="21">
      <c r="A1" s="30" t="s">
        <v>167</v>
      </c>
      <c r="B1" s="29"/>
      <c r="C1" s="29"/>
      <c r="D1" s="29"/>
      <c r="E1" s="29"/>
      <c r="F1" s="29"/>
      <c r="G1" s="29"/>
    </row>
    <row r="3" spans="1:7" ht="16">
      <c r="A3" s="46" t="s">
        <v>168</v>
      </c>
      <c r="B3" s="29"/>
      <c r="C3" s="29"/>
      <c r="D3" s="29"/>
      <c r="E3" s="29"/>
      <c r="F3" s="29"/>
      <c r="G3" s="29"/>
    </row>
    <row r="5" spans="1:7" ht="36">
      <c r="A5" s="2" t="s">
        <v>40</v>
      </c>
      <c r="B5" s="2" t="s">
        <v>169</v>
      </c>
      <c r="C5" s="2" t="s">
        <v>170</v>
      </c>
      <c r="D5" s="2" t="s">
        <v>171</v>
      </c>
      <c r="E5" s="2" t="s">
        <v>172</v>
      </c>
      <c r="F5" s="2" t="s">
        <v>173</v>
      </c>
      <c r="G5" s="2" t="s">
        <v>174</v>
      </c>
    </row>
    <row r="6" spans="1:7">
      <c r="A6" s="3"/>
      <c r="B6" s="3"/>
      <c r="C6" s="3"/>
      <c r="D6" s="3"/>
      <c r="E6" s="3"/>
      <c r="F6" s="22" t="str">
        <f t="shared" ref="F6:F11" si="0">IF(A6="","",IF(B6="是","路径三：红线清退·联合评估",IF(C6="是","路径一·末期：启动解约",IF(D6="是","路径二：快车道·30天交接",IF(E6="是","路径一：常规·整改30天→观察→复评","⚠️ 请核对判定条件")))))</f>
        <v/>
      </c>
      <c r="G6" s="7" t="str">
        <f t="shared" ref="G6:G11" si="1">IF(A6="","",IF(B6="是","管理层决策后执行",IF(C6="是","启动解约",IF(D6="是","D0通知→D30交接完成",IF(E6="是","D30整改报告→D90复评","")))))</f>
        <v/>
      </c>
    </row>
    <row r="7" spans="1:7">
      <c r="A7" s="3"/>
      <c r="B7" s="3"/>
      <c r="C7" s="3"/>
      <c r="D7" s="3"/>
      <c r="E7" s="3"/>
      <c r="F7" s="22" t="str">
        <f t="shared" si="0"/>
        <v/>
      </c>
      <c r="G7" s="7" t="str">
        <f t="shared" si="1"/>
        <v/>
      </c>
    </row>
    <row r="8" spans="1:7">
      <c r="A8" s="3"/>
      <c r="B8" s="3"/>
      <c r="C8" s="3"/>
      <c r="D8" s="3"/>
      <c r="E8" s="3"/>
      <c r="F8" s="22" t="str">
        <f t="shared" si="0"/>
        <v/>
      </c>
      <c r="G8" s="7" t="str">
        <f t="shared" si="1"/>
        <v/>
      </c>
    </row>
    <row r="9" spans="1:7">
      <c r="A9" s="3"/>
      <c r="B9" s="3"/>
      <c r="C9" s="3"/>
      <c r="D9" s="3"/>
      <c r="E9" s="3"/>
      <c r="F9" s="22" t="str">
        <f t="shared" si="0"/>
        <v/>
      </c>
      <c r="G9" s="7" t="str">
        <f t="shared" si="1"/>
        <v/>
      </c>
    </row>
    <row r="10" spans="1:7">
      <c r="A10" s="3"/>
      <c r="B10" s="3"/>
      <c r="C10" s="3"/>
      <c r="D10" s="3"/>
      <c r="E10" s="3"/>
      <c r="F10" s="22" t="str">
        <f t="shared" si="0"/>
        <v/>
      </c>
      <c r="G10" s="7" t="str">
        <f t="shared" si="1"/>
        <v/>
      </c>
    </row>
    <row r="11" spans="1:7">
      <c r="A11" s="3"/>
      <c r="B11" s="3"/>
      <c r="C11" s="3"/>
      <c r="D11" s="3"/>
      <c r="E11" s="3"/>
      <c r="F11" s="22" t="str">
        <f t="shared" si="0"/>
        <v/>
      </c>
      <c r="G11" s="7" t="str">
        <f t="shared" si="1"/>
        <v/>
      </c>
    </row>
    <row r="14" spans="1:7" ht="16">
      <c r="A14" s="43" t="s">
        <v>175</v>
      </c>
      <c r="B14" s="29"/>
      <c r="C14" s="29"/>
      <c r="D14" s="29"/>
      <c r="E14" s="29"/>
      <c r="F14" s="29"/>
      <c r="G14" s="29"/>
    </row>
    <row r="15" spans="1:7" ht="17">
      <c r="A15" s="23" t="s">
        <v>176</v>
      </c>
      <c r="B15" s="23" t="s">
        <v>177</v>
      </c>
      <c r="C15" s="23" t="s">
        <v>178</v>
      </c>
      <c r="D15" s="23" t="s">
        <v>179</v>
      </c>
    </row>
    <row r="16" spans="1:7" ht="30">
      <c r="A16" s="24" t="s">
        <v>180</v>
      </c>
      <c r="B16" s="25" t="s">
        <v>181</v>
      </c>
      <c r="C16" s="45" t="s">
        <v>182</v>
      </c>
      <c r="D16" s="34"/>
      <c r="E16" s="33"/>
      <c r="F16" s="26"/>
      <c r="G16" s="27"/>
    </row>
    <row r="17" spans="1:7" ht="30">
      <c r="A17" s="24" t="s">
        <v>183</v>
      </c>
      <c r="B17" s="25" t="s">
        <v>184</v>
      </c>
      <c r="C17" s="25" t="s">
        <v>185</v>
      </c>
      <c r="D17" s="33"/>
      <c r="E17" s="34"/>
      <c r="F17" s="33"/>
      <c r="G17" s="34"/>
    </row>
    <row r="18" spans="1:7" ht="45">
      <c r="A18" s="24" t="s">
        <v>186</v>
      </c>
      <c r="B18" s="25" t="s">
        <v>187</v>
      </c>
      <c r="C18" s="25" t="s">
        <v>188</v>
      </c>
      <c r="D18" s="33"/>
      <c r="E18" s="34"/>
      <c r="F18" s="33"/>
      <c r="G18" s="34"/>
    </row>
    <row r="20" spans="1:7" ht="17">
      <c r="A20" s="47" t="s">
        <v>189</v>
      </c>
      <c r="B20" s="29"/>
      <c r="C20" s="29"/>
      <c r="D20" s="29"/>
      <c r="E20" s="29"/>
      <c r="F20" s="29"/>
      <c r="G20" s="29"/>
    </row>
    <row r="21" spans="1:7">
      <c r="A21" s="29" t="s">
        <v>190</v>
      </c>
      <c r="B21" s="29"/>
      <c r="C21" s="29"/>
      <c r="D21" s="29"/>
      <c r="E21" s="29"/>
      <c r="F21" s="29"/>
      <c r="G21" s="29"/>
    </row>
    <row r="22" spans="1:7">
      <c r="A22" s="29" t="s">
        <v>191</v>
      </c>
      <c r="B22" s="29"/>
      <c r="C22" s="29"/>
      <c r="D22" s="29"/>
      <c r="E22" s="29"/>
      <c r="F22" s="29"/>
      <c r="G22" s="29"/>
    </row>
    <row r="23" spans="1:7">
      <c r="A23" s="29" t="s">
        <v>192</v>
      </c>
      <c r="B23" s="29"/>
      <c r="C23" s="29"/>
      <c r="D23" s="29"/>
      <c r="E23" s="29"/>
      <c r="F23" s="29"/>
      <c r="G23" s="29"/>
    </row>
    <row r="24" spans="1:7">
      <c r="A24" s="29" t="s">
        <v>193</v>
      </c>
      <c r="B24" s="29"/>
      <c r="C24" s="29"/>
      <c r="D24" s="29"/>
      <c r="E24" s="29"/>
      <c r="F24" s="29"/>
      <c r="G24" s="29"/>
    </row>
    <row r="25" spans="1:7">
      <c r="A25" s="29" t="s">
        <v>194</v>
      </c>
      <c r="B25" s="29"/>
      <c r="C25" s="29"/>
      <c r="D25" s="29"/>
      <c r="E25" s="29"/>
      <c r="F25" s="29"/>
      <c r="G25" s="29"/>
    </row>
  </sheetData>
  <mergeCells count="12">
    <mergeCell ref="A21:G21"/>
    <mergeCell ref="A22:G22"/>
    <mergeCell ref="A20:G20"/>
    <mergeCell ref="A24:G24"/>
    <mergeCell ref="A25:G25"/>
    <mergeCell ref="A23:G23"/>
    <mergeCell ref="C16:E16"/>
    <mergeCell ref="A14:G14"/>
    <mergeCell ref="D18:G18"/>
    <mergeCell ref="A1:G1"/>
    <mergeCell ref="D17:G17"/>
    <mergeCell ref="A3:G3"/>
  </mergeCells>
  <phoneticPr fontId="16" type="noConversion"/>
  <dataValidations count="1">
    <dataValidation type="list" allowBlank="1" sqref="B6 B7 B8 B9 B10 B11 C6 C7 C8 C9 C10 C11 D6 D7 D8 D9 D10 D11 E6 E7 E8 E9 E10 E11" xr:uid="{00000000-0002-0000-0800-000000000000}">
      <formula1>"是,否"</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使用说明</vt:lpstr>
      <vt:lpstr>1.赛马分原始数据</vt:lpstr>
      <vt:lpstr>2.SLA扣分台账</vt:lpstr>
      <vt:lpstr>3.稳定性检查表</vt:lpstr>
      <vt:lpstr>4.供管自评表</vt:lpstr>
      <vt:lpstr>5.评级结果</vt:lpstr>
      <vt:lpstr>6.三张清单</vt:lpstr>
      <vt:lpstr>7.集中度管控</vt:lpstr>
      <vt:lpstr>8.清退路径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sundanian</cp:lastModifiedBy>
  <dcterms:created xsi:type="dcterms:W3CDTF">2026-07-21T07:18:08Z</dcterms:created>
  <dcterms:modified xsi:type="dcterms:W3CDTF">2026-07-21T07:31:25Z</dcterms:modified>
</cp:coreProperties>
</file>