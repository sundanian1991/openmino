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80" tabRatio="600" firstSheet="0" activeTab="0" autoFilterDateGrouping="1"/>
  </bookViews>
  <sheets>
    <sheet xmlns:r="http://schemas.openxmlformats.org/officeDocument/2006/relationships" name="金条赛马排名" sheetId="1" state="visible" r:id="rId1"/>
    <sheet xmlns:r="http://schemas.openxmlformats.org/officeDocument/2006/relationships" name="趋势分析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1F4E79"/>
      <sz val="14"/>
    </font>
    <font>
      <name val="微软雅黑"/>
      <charset val="134"/>
      <b val="1"/>
      <color rgb="FFFFFFFF"/>
      <sz val="11"/>
    </font>
    <font>
      <name val="微软雅黑"/>
      <charset val="134"/>
      <sz val="10"/>
    </font>
    <font>
      <name val="微软雅黑"/>
      <charset val="134"/>
      <b val="1"/>
      <sz val="11"/>
    </font>
    <font>
      <name val="微软雅黑"/>
      <charset val="134"/>
      <b val="1"/>
      <color rgb="FF1F4E79"/>
      <sz val="10"/>
    </font>
    <font>
      <name val="微软雅黑"/>
      <charset val="134"/>
      <b val="1"/>
      <sz val="10"/>
    </font>
    <font>
      <name val="微软雅黑"/>
      <charset val="134"/>
      <color rgb="FF857D74"/>
      <sz val="9"/>
    </font>
    <font>
      <name val="微软雅黑"/>
      <charset val="134"/>
      <b val="1"/>
      <color rgb="FF8B3018"/>
      <sz val="10"/>
    </font>
    <font>
      <name val="微软雅黑"/>
      <charset val="134"/>
      <i val="1"/>
      <color rgb="FF857D74"/>
      <sz val="9"/>
    </font>
    <font>
      <name val="宋体"/>
      <charset val="134"/>
      <family val="3"/>
      <sz val="9"/>
      <scheme val="minor"/>
    </font>
    <font>
      <name val="微软雅黑"/>
      <b val="1"/>
      <color rgb="00FFFFFF"/>
      <sz val="11"/>
    </font>
    <font>
      <name val="微软雅黑"/>
      <b val="1"/>
      <color rgb="008a5a0a"/>
      <sz val="10"/>
    </font>
  </fonts>
  <fills count="12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D700"/>
        <bgColor rgb="FFFFD7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C25030"/>
        <bgColor rgb="FFC25030"/>
      </patternFill>
    </fill>
    <fill>
      <patternFill patternType="solid">
        <fgColor rgb="FFFAEAE5"/>
        <bgColor rgb="FFFAEAE5"/>
      </patternFill>
    </fill>
    <fill>
      <patternFill patternType="solid">
        <fgColor rgb="00B88018"/>
        <bgColor rgb="00B88018"/>
      </patternFill>
    </fill>
    <fill>
      <patternFill patternType="solid">
        <fgColor rgb="00FAF0DC"/>
        <bgColor rgb="00FAF0D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pivotButton="0" quotePrefix="0" xfId="0"/>
    <xf numFmtId="0" fontId="3" fillId="0" borderId="1" pivotButton="0" quotePrefix="0" xfId="0"/>
    <xf numFmtId="0" fontId="2" fillId="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0" borderId="0" pivotButton="0" quotePrefix="0" xfId="0"/>
    <xf numFmtId="0" fontId="11" fillId="1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tabSelected="1" workbookViewId="0">
      <selection activeCell="N14" sqref="N14"/>
    </sheetView>
  </sheetViews>
  <sheetFormatPr baseColWidth="10" defaultColWidth="8.83203125" defaultRowHeight="14"/>
  <cols>
    <col width="22" customWidth="1" style="20" min="1" max="1"/>
    <col width="9" customWidth="1" style="20" min="2" max="13"/>
    <col width="16" customWidth="1" style="20" min="14" max="14"/>
    <col width="14" customWidth="1" style="20" min="15" max="15"/>
    <col width="18" customWidth="1" style="20" min="16" max="16"/>
  </cols>
  <sheetData>
    <row r="1" ht="35" customHeight="1" s="20">
      <c r="A1" s="19" t="inlineStr">
        <is>
          <t>金条复贷业务 — 年度赛马排名总览（2026年）</t>
        </is>
      </c>
    </row>
    <row r="3" ht="28" customHeight="1" s="20">
      <c r="A3" s="1" t="inlineStr">
        <is>
          <t>供应商</t>
        </is>
      </c>
      <c r="B3" s="1" t="inlineStr">
        <is>
          <t>1月</t>
        </is>
      </c>
      <c r="C3" s="1" t="inlineStr">
        <is>
          <t>2月</t>
        </is>
      </c>
      <c r="D3" s="1" t="inlineStr">
        <is>
          <t>3月</t>
        </is>
      </c>
      <c r="E3" s="1" t="inlineStr">
        <is>
          <t>4月</t>
        </is>
      </c>
      <c r="F3" s="1" t="inlineStr">
        <is>
          <t>5月</t>
        </is>
      </c>
      <c r="G3" s="1" t="inlineStr">
        <is>
          <t>6月</t>
        </is>
      </c>
      <c r="H3" s="1" t="inlineStr">
        <is>
          <t>7月</t>
        </is>
      </c>
      <c r="I3" s="1" t="inlineStr">
        <is>
          <t>8月</t>
        </is>
      </c>
      <c r="J3" s="1" t="inlineStr">
        <is>
          <t>9月</t>
        </is>
      </c>
      <c r="K3" s="1" t="inlineStr">
        <is>
          <t>10月</t>
        </is>
      </c>
      <c r="L3" s="1" t="inlineStr">
        <is>
          <t>11月</t>
        </is>
      </c>
      <c r="M3" s="1" t="inlineStr">
        <is>
          <t>12月</t>
        </is>
      </c>
      <c r="N3" s="14" t="inlineStr">
        <is>
          <t>连续后三名</t>
        </is>
      </c>
      <c r="O3" s="14" t="inlineStr">
        <is>
          <t>后三月月数</t>
        </is>
      </c>
      <c r="P3" s="22" t="inlineStr">
        <is>
          <t>近3月2次后30%</t>
        </is>
      </c>
    </row>
    <row r="4" ht="24" customHeight="1" s="20">
      <c r="A4" s="2" t="inlineStr">
        <is>
          <t>岐力职场</t>
        </is>
      </c>
      <c r="B4" s="3" t="n">
        <v>1</v>
      </c>
      <c r="C4" s="4" t="n">
        <v>5</v>
      </c>
      <c r="D4" s="4" t="n">
        <v>10</v>
      </c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>
        <f>IF(AND(B4&gt;$B$16,C4&gt;$B$16,D4&gt;$B$16),"⚠ 连续3月后30%","")</f>
        <v/>
      </c>
      <c r="O4" s="15">
        <f>COUNTIF(B4:D4,"&gt;"&amp;$B$16)</f>
        <v/>
      </c>
      <c r="P4" s="23">
        <f>IF(COUNTIF(B4:D4,"&gt;"&amp;$B$16)&gt;=2,"⚡ 2次及以上","")</f>
        <v/>
      </c>
    </row>
    <row r="5" ht="24" customHeight="1" s="20">
      <c r="A5" s="6" t="inlineStr">
        <is>
          <t>赛维斯职场</t>
        </is>
      </c>
      <c r="B5" s="7" t="n">
        <v>2</v>
      </c>
      <c r="C5" s="7" t="n">
        <v>2</v>
      </c>
      <c r="D5" s="7" t="n">
        <v>2</v>
      </c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>
        <f>IF(AND(B5&gt;$B$16,C5&gt;$B$16,D5&gt;$B$16),"⚠ 连续3月后30%","")</f>
        <v/>
      </c>
      <c r="O5" s="15">
        <f>COUNTIF(B5:D5,"&gt;"&amp;$B$16)</f>
        <v/>
      </c>
      <c r="P5" s="23">
        <f>IF(COUNTIF(B5:D5,"&gt;"&amp;$B$16)&gt;=2,"⚡ 2次及以上","")</f>
        <v/>
      </c>
    </row>
    <row r="6" ht="24" customHeight="1" s="20">
      <c r="A6" s="2" t="inlineStr">
        <is>
          <t>毅航合肥职场</t>
        </is>
      </c>
      <c r="B6" s="9" t="n">
        <v>3</v>
      </c>
      <c r="C6" s="3" t="n">
        <v>1</v>
      </c>
      <c r="D6" s="3" t="n">
        <v>1</v>
      </c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>
        <f>IF(AND(B6&gt;$B$16,C6&gt;$B$16,D6&gt;$B$16),"⚠ 连续3月后30%","")</f>
        <v/>
      </c>
      <c r="O6" s="15">
        <f>COUNTIF(B6:D6,"&gt;"&amp;$B$16)</f>
        <v/>
      </c>
      <c r="P6" s="23">
        <f>IF(COUNTIF(B6:D6,"&gt;"&amp;$B$16)&gt;=2,"⚡ 2次及以上","")</f>
        <v/>
      </c>
    </row>
    <row r="7" ht="24" customHeight="1" s="20">
      <c r="A7" s="6" t="inlineStr">
        <is>
          <t>广达陕西职场</t>
        </is>
      </c>
      <c r="B7" s="10" t="n">
        <v>4</v>
      </c>
      <c r="C7" s="10" t="n">
        <v>11</v>
      </c>
      <c r="D7" s="9" t="n">
        <v>3</v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>
        <f>IF(AND(B7&gt;$B$16,C7&gt;$B$16,D7&gt;$B$16),"⚠ 连续3月后30%","")</f>
        <v/>
      </c>
      <c r="O7" s="15">
        <f>COUNTIF(B7:D7,"&gt;"&amp;$B$16)</f>
        <v/>
      </c>
      <c r="P7" s="23">
        <f>IF(COUNTIF(B7:D7,"&gt;"&amp;$B$16)&gt;=2,"⚡ 2次及以上","")</f>
        <v/>
      </c>
    </row>
    <row r="8" ht="24" customHeight="1" s="20">
      <c r="A8" s="2" t="inlineStr">
        <is>
          <t>翰锐曲靖职场</t>
        </is>
      </c>
      <c r="B8" s="4" t="n">
        <v>5</v>
      </c>
      <c r="C8" s="4" t="n">
        <v>7</v>
      </c>
      <c r="D8" s="4" t="n">
        <v>9</v>
      </c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>
        <f>IF(AND(B8&gt;$B$16,C8&gt;$B$16,D8&gt;$B$16),"⚠ 连续3月后30%","")</f>
        <v/>
      </c>
      <c r="O8" s="15">
        <f>COUNTIF(B8:D8,"&gt;"&amp;$B$16)</f>
        <v/>
      </c>
      <c r="P8" s="23">
        <f>IF(COUNTIF(B8:D8,"&gt;"&amp;$B$16)&gt;=2,"⚡ 2次及以上","")</f>
        <v/>
      </c>
    </row>
    <row r="9" ht="24" customHeight="1" s="20">
      <c r="A9" s="6" t="inlineStr">
        <is>
          <t>汇讯职场</t>
        </is>
      </c>
      <c r="B9" s="10" t="n">
        <v>6</v>
      </c>
      <c r="C9" s="10" t="n">
        <v>9</v>
      </c>
      <c r="D9" s="10" t="n">
        <v>4</v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>
        <f>IF(AND(B9&gt;$B$16,C9&gt;$B$16,D9&gt;$B$16),"⚠ 连续3月后30%","")</f>
        <v/>
      </c>
      <c r="O9" s="15">
        <f>COUNTIF(B9:D9,"&gt;"&amp;$B$16)</f>
        <v/>
      </c>
      <c r="P9" s="23">
        <f>IF(COUNTIF(B9:D9,"&gt;"&amp;$B$16)&gt;=2,"⚡ 2次及以上","")</f>
        <v/>
      </c>
    </row>
    <row r="10" ht="24" customHeight="1" s="20">
      <c r="A10" s="2" t="inlineStr">
        <is>
          <t>伽玛职场</t>
        </is>
      </c>
      <c r="B10" s="4" t="n">
        <v>7</v>
      </c>
      <c r="C10" s="9" t="n">
        <v>3</v>
      </c>
      <c r="D10" s="4" t="n">
        <v>5</v>
      </c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>
        <f>IF(AND(B10&gt;$B$16,C10&gt;$B$16,D10&gt;$B$16),"⚠ 连续3月后30%","")</f>
        <v/>
      </c>
      <c r="O10" s="15">
        <f>COUNTIF(B10:D10,"&gt;"&amp;$B$16)</f>
        <v/>
      </c>
      <c r="P10" s="23">
        <f>IF(COUNTIF(B10:D10,"&gt;"&amp;$B$16)&gt;=2,"⚡ 2次及以上","")</f>
        <v/>
      </c>
    </row>
    <row r="11" ht="24" customHeight="1" s="20">
      <c r="A11" s="6" t="inlineStr">
        <is>
          <t>博岳石家庄职场</t>
        </is>
      </c>
      <c r="B11" s="10" t="n">
        <v>8</v>
      </c>
      <c r="C11" s="10" t="n">
        <v>6</v>
      </c>
      <c r="D11" s="10" t="n">
        <v>7</v>
      </c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>
        <f>IF(AND(B11&gt;$B$16,C11&gt;$B$16,D11&gt;$B$16),"⚠ 连续3月后30%","")</f>
        <v/>
      </c>
      <c r="O11" s="15">
        <f>COUNTIF(B11:D11,"&gt;"&amp;$B$16)</f>
        <v/>
      </c>
      <c r="P11" s="23">
        <f>IF(COUNTIF(B11:D11,"&gt;"&amp;$B$16)&gt;=2,"⚡ 2次及以上","")</f>
        <v/>
      </c>
    </row>
    <row r="12" ht="24" customHeight="1" s="20">
      <c r="A12" s="2" t="inlineStr">
        <is>
          <t>华啸职场</t>
        </is>
      </c>
      <c r="B12" s="4" t="n">
        <v>9</v>
      </c>
      <c r="C12" s="4" t="n">
        <v>10</v>
      </c>
      <c r="D12" s="4" t="n">
        <v>8</v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16">
        <f>IF(AND(B12&gt;$B$16,C12&gt;$B$16,D12&gt;$B$16),"⚠ 连续3月后30%","")</f>
        <v/>
      </c>
      <c r="O12" s="15">
        <f>COUNTIF(B12:D12,"&gt;"&amp;$B$16)</f>
        <v/>
      </c>
      <c r="P12" s="24">
        <f>IF(COUNTIF(B12:D12,"&gt;"&amp;$B$16)&gt;=2,"⚡ 2次及以上","")</f>
        <v/>
      </c>
    </row>
    <row r="13" ht="24" customHeight="1" s="20">
      <c r="A13" s="6" t="inlineStr">
        <is>
          <t>毛毛虫职场</t>
        </is>
      </c>
      <c r="B13" s="10" t="n">
        <v>10</v>
      </c>
      <c r="C13" s="10" t="n">
        <v>4</v>
      </c>
      <c r="D13" s="10" t="n">
        <v>6</v>
      </c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>
        <f>IF(AND(B13&gt;$B$16,C13&gt;$B$16,D13&gt;$B$16),"⚠ 连续3月后30%","")</f>
        <v/>
      </c>
      <c r="O13" s="15">
        <f>COUNTIF(B13:D13,"&gt;"&amp;$B$16)</f>
        <v/>
      </c>
      <c r="P13" s="23">
        <f>IF(COUNTIF(B13:D13,"&gt;"&amp;$B$16)&gt;=2,"⚡ 2次及以上","")</f>
        <v/>
      </c>
    </row>
    <row r="14" ht="24" customHeight="1" s="20">
      <c r="A14" s="2" t="inlineStr">
        <is>
          <t>人和职场</t>
        </is>
      </c>
      <c r="B14" s="4" t="n">
        <v>11</v>
      </c>
      <c r="C14" s="4" t="n">
        <v>8</v>
      </c>
      <c r="D14" s="4" t="n">
        <v>11</v>
      </c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16">
        <f>IF(AND(B14&gt;$B$16,C14&gt;$B$16,D14&gt;$B$16),"⚠ 连续3月后30%","")</f>
        <v/>
      </c>
      <c r="O14" s="15">
        <f>COUNTIF(B14:D14,"&gt;"&amp;$B$16)</f>
        <v/>
      </c>
      <c r="P14" s="24">
        <f>IF(COUNTIF(B14:D14,"&gt;"&amp;$B$16)&gt;=2,"⚡ 2次及以上","")</f>
        <v/>
      </c>
    </row>
    <row r="16" ht="15" customHeight="1" s="20">
      <c r="A16" s="17" t="inlineStr">
        <is>
          <t>后30%阈值(排名&gt;此值)</t>
        </is>
      </c>
      <c r="B16" s="18">
        <f>COUNT(B4:B14)-CEILING(COUNT(B4:B14)*0.3,1)</f>
        <v/>
      </c>
      <c r="C16" s="18">
        <f>COUNT(C4:C14)-CEILING(COUNT(C4:C14)*0.3,1)</f>
        <v/>
      </c>
      <c r="D16" s="18">
        <f>COUNT(D4:D14)-CEILING(COUNT(D4:D14)*0.3,1)</f>
        <v/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10" defaultColWidth="8.83203125" defaultRowHeight="14"/>
  <cols>
    <col width="16" customWidth="1" style="20" min="1" max="1"/>
    <col width="22" customWidth="1" style="20" min="2" max="2"/>
    <col width="50" customWidth="1" style="20" min="3" max="3"/>
  </cols>
  <sheetData>
    <row r="1" ht="35" customHeight="1" s="20">
      <c r="A1" s="21" t="inlineStr">
        <is>
          <t>关键趋势指标</t>
        </is>
      </c>
    </row>
    <row r="3" ht="17" customHeight="1" s="20">
      <c r="A3" s="1" t="inlineStr">
        <is>
          <t>指标</t>
        </is>
      </c>
      <c r="B3" s="1" t="inlineStr">
        <is>
          <t>供应商</t>
        </is>
      </c>
      <c r="C3" s="1" t="inlineStr">
        <is>
          <t>说明</t>
        </is>
      </c>
    </row>
    <row r="4" ht="16" customHeight="1" s="20">
      <c r="A4" s="11" t="inlineStr">
        <is>
          <t>最佳表现</t>
        </is>
      </c>
      <c r="B4" s="12" t="inlineStr">
        <is>
          <t>赛维斯职场</t>
        </is>
      </c>
      <c r="C4" s="13" t="inlineStr">
        <is>
          <t>连续2月排名前2，1-3月排名：2→2→2</t>
        </is>
      </c>
    </row>
    <row r="5" ht="16" customHeight="1" s="20">
      <c r="A5" s="11" t="inlineStr">
        <is>
          <t>上升最快</t>
        </is>
      </c>
      <c r="B5" s="12" t="inlineStr">
        <is>
          <t>毅航合肥职场</t>
        </is>
      </c>
      <c r="C5" s="13" t="inlineStr">
        <is>
          <t>3月登顶第1名，较1月提升2位</t>
        </is>
      </c>
    </row>
    <row r="6" ht="16" customHeight="1" s="20">
      <c r="A6" s="11" t="inlineStr">
        <is>
          <t>下滑最严重</t>
        </is>
      </c>
      <c r="B6" s="12" t="inlineStr">
        <is>
          <t>岐力职场</t>
        </is>
      </c>
      <c r="C6" s="13" t="inlineStr">
        <is>
          <t>1月第1 → 3月第10，下滑9位</t>
        </is>
      </c>
    </row>
    <row r="7" ht="16" customHeight="1" s="20">
      <c r="A7" s="11" t="inlineStr">
        <is>
          <t>最不稳定</t>
        </is>
      </c>
      <c r="B7" s="12" t="inlineStr">
        <is>
          <t>广达陕西职场</t>
        </is>
      </c>
      <c r="C7" s="13" t="inlineStr">
        <is>
          <t>排名波动：4→11→3，振幅达8位</t>
        </is>
      </c>
    </row>
    <row r="8" ht="16" customHeight="1" s="20">
      <c r="A8" s="11" t="inlineStr">
        <is>
          <t>最稳定</t>
        </is>
      </c>
      <c r="B8" s="12" t="inlineStr">
        <is>
          <t>赛维斯职场</t>
        </is>
      </c>
      <c r="C8" s="13" t="inlineStr">
        <is>
          <t>三月均为第2名，零波动</t>
        </is>
      </c>
    </row>
    <row r="9" ht="16" customHeight="1" s="20">
      <c r="A9" s="11" t="inlineStr">
        <is>
          <t>垫底警示</t>
        </is>
      </c>
      <c r="B9" s="12" t="inlineStr">
        <is>
          <t>人和职场</t>
        </is>
      </c>
      <c r="C9" s="13" t="inlineStr">
        <is>
          <t>3月排名第11，1-3月均位列下游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2026-04-13T06:21:29Z</dcterms:created>
  <dcterms:modified xmlns:dcterms="http://purl.org/dc/terms/" xmlns:xsi="http://www.w3.org/2001/XMLSchema-instance" xsi:type="dcterms:W3CDTF">2026-04-13T06:55:06Z</dcterms:modified>
  <cp:lastModifiedBy>sundanian</cp:lastModifiedBy>
</cp:coreProperties>
</file>