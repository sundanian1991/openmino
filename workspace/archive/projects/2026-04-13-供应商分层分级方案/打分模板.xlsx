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供应商基础信息" sheetId="1" state="visible" r:id="rId3"/>
    <sheet name="业务督导评分(60分)" sheetId="2" state="visible" r:id="rId4"/>
    <sheet name="供应商管理评分(30分)" sheetId="3" state="visible" r:id="rId5"/>
    <sheet name="质检评分(10分)" sheetId="4" state="visible" r:id="rId6"/>
    <sheet name="综合评定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<sst xmlns="http://schemas.openxmlformats.org/spreadsheetml/2006/main" count="154" uniqueCount="119">
  <si>
    <t xml:space="preserve">供应商基础信息</t>
  </si>
  <si>
    <t xml:space="preserve">序号</t>
  </si>
  <si>
    <t xml:space="preserve">供应商名称</t>
  </si>
  <si>
    <t xml:space="preserve">供应商编码</t>
  </si>
  <si>
    <t xml:space="preserve">业务线</t>
  </si>
  <si>
    <t xml:space="preserve">合作起始日期</t>
  </si>
  <si>
    <t xml:space="preserve">当前等级</t>
  </si>
  <si>
    <t xml:space="preserve">毅航</t>
  </si>
  <si>
    <t xml:space="preserve">SUP-001</t>
  </si>
  <si>
    <t xml:space="preserve">金条</t>
  </si>
  <si>
    <t xml:space="preserve">2024-01-01</t>
  </si>
  <si>
    <t xml:space="preserve">B</t>
  </si>
  <si>
    <t xml:space="preserve">毛毛虫</t>
  </si>
  <si>
    <t xml:space="preserve">SUP-002</t>
  </si>
  <si>
    <t xml:space="preserve">企金</t>
  </si>
  <si>
    <t xml:space="preserve">伽玛</t>
  </si>
  <si>
    <t xml:space="preserve">SUP-003</t>
  </si>
  <si>
    <t xml:space="preserve">信用卡</t>
  </si>
  <si>
    <t xml:space="preserve">赛维斯</t>
  </si>
  <si>
    <t xml:space="preserve">SUP-004</t>
  </si>
  <si>
    <t xml:space="preserve">财富</t>
  </si>
  <si>
    <t xml:space="preserve">岐力</t>
  </si>
  <si>
    <t xml:space="preserve">SUP-005</t>
  </si>
  <si>
    <t xml:space="preserve">翰锐</t>
  </si>
  <si>
    <t xml:space="preserve">SUP-006</t>
  </si>
  <si>
    <r>
      <rPr>
        <sz val="11"/>
        <color rgb="FF0000FF"/>
        <rFont val="Arial Unicode MS"/>
        <family val="2"/>
      </rPr>
      <t xml:space="preserve">供应商</t>
    </r>
    <r>
      <rPr>
        <sz val="11"/>
        <color rgb="FF0000FF"/>
        <rFont val="Calibri"/>
        <family val="0"/>
        <charset val="1"/>
      </rPr>
      <t xml:space="preserve">G</t>
    </r>
  </si>
  <si>
    <t xml:space="preserve">SUP-007</t>
  </si>
  <si>
    <r>
      <rPr>
        <sz val="11"/>
        <color rgb="FF0000FF"/>
        <rFont val="Arial Unicode MS"/>
        <family val="2"/>
      </rPr>
      <t xml:space="preserve">供应商</t>
    </r>
    <r>
      <rPr>
        <sz val="11"/>
        <color rgb="FF0000FF"/>
        <rFont val="Calibri"/>
        <family val="0"/>
        <charset val="1"/>
      </rPr>
      <t xml:space="preserve">H</t>
    </r>
  </si>
  <si>
    <t xml:space="preserve">SUP-008</t>
  </si>
  <si>
    <r>
      <rPr>
        <sz val="11"/>
        <color rgb="FF0000FF"/>
        <rFont val="Arial Unicode MS"/>
        <family val="2"/>
      </rPr>
      <t xml:space="preserve">供应商</t>
    </r>
    <r>
      <rPr>
        <sz val="11"/>
        <color rgb="FF0000FF"/>
        <rFont val="Calibri"/>
        <family val="0"/>
        <charset val="1"/>
      </rPr>
      <t xml:space="preserve">I</t>
    </r>
  </si>
  <si>
    <t xml:space="preserve">SUP-009</t>
  </si>
  <si>
    <r>
      <rPr>
        <b val="true"/>
        <sz val="14"/>
        <color rgb="FF1F3864"/>
        <rFont val="Arial Unicode MS"/>
        <family val="2"/>
      </rPr>
      <t xml:space="preserve">业务督导评分表（定量 </t>
    </r>
    <r>
      <rPr>
        <b val="true"/>
        <sz val="14"/>
        <color rgb="FF1F3864"/>
        <rFont val="Calibri"/>
        <family val="0"/>
        <charset val="1"/>
      </rPr>
      <t xml:space="preserve">· </t>
    </r>
    <r>
      <rPr>
        <b val="true"/>
        <sz val="14"/>
        <color rgb="FF1F3864"/>
        <rFont val="Arial Unicode MS"/>
        <family val="2"/>
      </rPr>
      <t xml:space="preserve">满分</t>
    </r>
    <r>
      <rPr>
        <b val="true"/>
        <sz val="14"/>
        <color rgb="FF1F3864"/>
        <rFont val="Calibri"/>
        <family val="0"/>
        <charset val="1"/>
      </rPr>
      <t xml:space="preserve">60</t>
    </r>
    <r>
      <rPr>
        <b val="true"/>
        <sz val="14"/>
        <color rgb="FF1F3864"/>
        <rFont val="Arial Unicode MS"/>
        <family val="2"/>
      </rPr>
      <t xml:space="preserve">分）</t>
    </r>
  </si>
  <si>
    <t xml:space="preserve">评分规则参考</t>
  </si>
  <si>
    <r>
      <rPr>
        <b val="true"/>
        <sz val="10"/>
        <rFont val="Arial Unicode MS"/>
        <family val="2"/>
      </rPr>
      <t xml:space="preserve">产能达成率</t>
    </r>
    <r>
      <rPr>
        <b val="true"/>
        <sz val="10"/>
        <rFont val="Calibri"/>
        <family val="0"/>
        <charset val="1"/>
      </rPr>
      <t xml:space="preserve">(25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</si>
  <si>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≥100%=25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90-99%=</t>
    </r>
    <r>
      <rPr>
        <sz val="10"/>
        <rFont val="Arial Unicode MS"/>
        <family val="2"/>
      </rPr>
      <t xml:space="preserve">比例分</t>
    </r>
    <r>
      <rPr>
        <sz val="10"/>
        <rFont val="Calibri"/>
        <family val="0"/>
        <charset val="1"/>
      </rPr>
      <t xml:space="preserve">, 80-89%=20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70-79%=15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&lt;70%=10</t>
    </r>
    <r>
      <rPr>
        <sz val="10"/>
        <rFont val="Arial Unicode MS"/>
        <family val="2"/>
      </rPr>
      <t xml:space="preserve">分</t>
    </r>
  </si>
  <si>
    <r>
      <rPr>
        <b val="true"/>
        <sz val="10"/>
        <rFont val="Arial Unicode MS"/>
        <family val="2"/>
      </rPr>
      <t xml:space="preserve">人均产出</t>
    </r>
    <r>
      <rPr>
        <b val="true"/>
        <sz val="10"/>
        <rFont val="Calibri"/>
        <family val="0"/>
        <charset val="1"/>
      </rPr>
      <t xml:space="preserve">(15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</si>
  <si>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≥目标</t>
    </r>
    <r>
      <rPr>
        <sz val="10"/>
        <rFont val="Calibri"/>
        <family val="0"/>
        <charset val="1"/>
      </rPr>
      <t xml:space="preserve">=15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90-99%=</t>
    </r>
    <r>
      <rPr>
        <sz val="10"/>
        <rFont val="Arial Unicode MS"/>
        <family val="2"/>
      </rPr>
      <t xml:space="preserve">比例分</t>
    </r>
    <r>
      <rPr>
        <sz val="10"/>
        <rFont val="Calibri"/>
        <family val="0"/>
        <charset val="1"/>
      </rPr>
      <t xml:space="preserve">, 80-89%=12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70-79%=9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&lt;70%=6</t>
    </r>
    <r>
      <rPr>
        <sz val="10"/>
        <rFont val="Arial Unicode MS"/>
        <family val="2"/>
      </rPr>
      <t xml:space="preserve">分</t>
    </r>
  </si>
  <si>
    <r>
      <rPr>
        <b val="true"/>
        <sz val="10"/>
        <rFont val="Arial Unicode MS"/>
        <family val="2"/>
      </rPr>
      <t xml:space="preserve">交付时效率</t>
    </r>
    <r>
      <rPr>
        <b val="true"/>
        <sz val="10"/>
        <rFont val="Calibri"/>
        <family val="0"/>
        <charset val="1"/>
      </rPr>
      <t xml:space="preserve">(10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</si>
  <si>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≥95%=10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90-94%=8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85-89%=6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80-84%=4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&lt;80%=2</t>
    </r>
    <r>
      <rPr>
        <sz val="10"/>
        <rFont val="Arial Unicode MS"/>
        <family val="2"/>
      </rPr>
      <t xml:space="preserve">分</t>
    </r>
  </si>
  <si>
    <r>
      <rPr>
        <b val="true"/>
        <sz val="10"/>
        <rFont val="Arial Unicode MS"/>
        <family val="2"/>
      </rPr>
      <t xml:space="preserve">任务完成率</t>
    </r>
    <r>
      <rPr>
        <b val="true"/>
        <sz val="10"/>
        <rFont val="Calibri"/>
        <family val="0"/>
        <charset val="1"/>
      </rPr>
      <t xml:space="preserve">(5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</si>
  <si>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100%=5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95-99%=4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90-94%=3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85-89%=2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&lt;85%=1</t>
    </r>
    <r>
      <rPr>
        <sz val="10"/>
        <rFont val="Arial Unicode MS"/>
        <family val="2"/>
      </rPr>
      <t xml:space="preserve">分</t>
    </r>
  </si>
  <si>
    <r>
      <rPr>
        <b val="true"/>
        <sz val="10"/>
        <rFont val="Arial Unicode MS"/>
        <family val="2"/>
      </rPr>
      <t xml:space="preserve">业务增长率</t>
    </r>
    <r>
      <rPr>
        <b val="true"/>
        <sz val="10"/>
        <rFont val="Calibri"/>
        <family val="0"/>
        <charset val="1"/>
      </rPr>
      <t xml:space="preserve">(5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</si>
  <si>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≥10%=5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5-9%=4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0-4%=3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</t>
    </r>
    <r>
      <rPr>
        <sz val="10"/>
        <rFont val="Arial Unicode MS"/>
        <family val="2"/>
      </rPr>
      <t xml:space="preserve">下滑</t>
    </r>
    <r>
      <rPr>
        <sz val="10"/>
        <rFont val="Calibri"/>
        <family val="0"/>
        <charset val="1"/>
      </rPr>
      <t xml:space="preserve">0-5%=2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</t>
    </r>
    <r>
      <rPr>
        <sz val="10"/>
        <rFont val="Arial Unicode MS"/>
        <family val="2"/>
      </rPr>
      <t xml:space="preserve">下滑</t>
    </r>
    <r>
      <rPr>
        <sz val="10"/>
        <rFont val="Calibri"/>
        <family val="0"/>
        <charset val="1"/>
      </rPr>
      <t xml:space="preserve">&gt;5%=1</t>
    </r>
    <r>
      <rPr>
        <sz val="10"/>
        <rFont val="Arial Unicode MS"/>
        <family val="2"/>
      </rPr>
      <t xml:space="preserve">分</t>
    </r>
  </si>
  <si>
    <t xml:space="preserve">评估季度</t>
  </si>
  <si>
    <t xml:space="preserve">目标产能</t>
  </si>
  <si>
    <t xml:space="preserve">实际产能</t>
  </si>
  <si>
    <t xml:space="preserve">产能达成率</t>
  </si>
  <si>
    <r>
      <rPr>
        <b val="true"/>
        <sz val="11"/>
        <color rgb="FFFFFFFF"/>
        <rFont val="Arial Unicode MS"/>
        <family val="2"/>
      </rPr>
      <t xml:space="preserve">产能得分</t>
    </r>
    <r>
      <rPr>
        <b val="true"/>
        <sz val="11"/>
        <color rgb="FFFFFFFF"/>
        <rFont val="Calibri"/>
        <family val="0"/>
        <charset val="1"/>
      </rPr>
      <t xml:space="preserve">(25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</si>
  <si>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人均产出</t>
  </si>
  <si>
    <r>
      <rPr>
        <b val="true"/>
        <sz val="11"/>
        <color rgb="FFFFFFFF"/>
        <rFont val="Arial Unicode MS"/>
        <family val="2"/>
      </rPr>
      <t xml:space="preserve">人均得分</t>
    </r>
    <r>
      <rPr>
        <b val="true"/>
        <sz val="11"/>
        <color rgb="FFFFFFFF"/>
        <rFont val="Calibri"/>
        <family val="0"/>
        <charset val="1"/>
      </rPr>
      <t xml:space="preserve">(15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</si>
  <si>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按时工单数</t>
  </si>
  <si>
    <t xml:space="preserve">总工单数</t>
  </si>
  <si>
    <r>
      <rPr>
        <b val="true"/>
        <sz val="11"/>
        <color rgb="FFFFFFFF"/>
        <rFont val="Arial Unicode MS"/>
        <family val="2"/>
      </rPr>
      <t xml:space="preserve">交付效率</t>
    </r>
    <r>
      <rPr>
        <b val="true"/>
        <sz val="11"/>
        <color rgb="FFFFFFFF"/>
        <rFont val="Calibri"/>
        <family val="0"/>
        <charset val="1"/>
      </rPr>
      <t xml:space="preserve">(%)</t>
    </r>
  </si>
  <si>
    <r>
      <rPr>
        <b val="true"/>
        <sz val="11"/>
        <color rgb="FFFFFFFF"/>
        <rFont val="Arial Unicode MS"/>
        <family val="2"/>
      </rPr>
      <t xml:space="preserve">时效得分</t>
    </r>
    <r>
      <rPr>
        <b val="true"/>
        <sz val="11"/>
        <color rgb="FFFFFFFF"/>
        <rFont val="Calibri"/>
        <family val="0"/>
        <charset val="1"/>
      </rPr>
      <t xml:space="preserve">(10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</si>
  <si>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完成任务数</t>
  </si>
  <si>
    <t xml:space="preserve">下发任务数</t>
  </si>
  <si>
    <r>
      <rPr>
        <b val="true"/>
        <sz val="11"/>
        <color rgb="FFFFFFFF"/>
        <rFont val="Arial Unicode MS"/>
        <family val="2"/>
      </rPr>
      <t xml:space="preserve">完成率</t>
    </r>
    <r>
      <rPr>
        <b val="true"/>
        <sz val="11"/>
        <color rgb="FFFFFFFF"/>
        <rFont val="Calibri"/>
        <family val="0"/>
        <charset val="1"/>
      </rPr>
      <t xml:space="preserve">(%)</t>
    </r>
  </si>
  <si>
    <r>
      <rPr>
        <b val="true"/>
        <sz val="11"/>
        <color rgb="FFFFFFFF"/>
        <rFont val="Arial Unicode MS"/>
        <family val="2"/>
      </rPr>
      <t xml:space="preserve">任务得分</t>
    </r>
    <r>
      <rPr>
        <b val="true"/>
        <sz val="11"/>
        <color rgb="FFFFFFFF"/>
        <rFont val="Calibri"/>
        <family val="0"/>
        <charset val="1"/>
      </rPr>
      <t xml:space="preserve">(5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</si>
  <si>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上期产能</t>
  </si>
  <si>
    <r>
      <rPr>
        <b val="true"/>
        <sz val="11"/>
        <color rgb="FFFFFFFF"/>
        <rFont val="Arial Unicode MS"/>
        <family val="2"/>
      </rPr>
      <t xml:space="preserve">增长率</t>
    </r>
    <r>
      <rPr>
        <b val="true"/>
        <sz val="11"/>
        <color rgb="FFFFFFFF"/>
        <rFont val="Calibri"/>
        <family val="0"/>
        <charset val="1"/>
      </rPr>
      <t xml:space="preserve">(%)</t>
    </r>
  </si>
  <si>
    <r>
      <rPr>
        <b val="true"/>
        <sz val="11"/>
        <color rgb="FFFFFFFF"/>
        <rFont val="Arial Unicode MS"/>
        <family val="2"/>
      </rPr>
      <t xml:space="preserve">增长得分</t>
    </r>
    <r>
      <rPr>
        <b val="true"/>
        <sz val="11"/>
        <color rgb="FFFFFFFF"/>
        <rFont val="Calibri"/>
        <family val="0"/>
        <charset val="1"/>
      </rPr>
      <t xml:space="preserve">(5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</si>
  <si>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业务督导总分</t>
  </si>
  <si>
    <t xml:space="preserve">2026-Q1</t>
  </si>
  <si>
    <r>
      <rPr>
        <b val="true"/>
        <sz val="14"/>
        <color rgb="FF1F3864"/>
        <rFont val="Arial Unicode MS"/>
        <family val="2"/>
      </rPr>
      <t xml:space="preserve">供应商管理评分表（定性 </t>
    </r>
    <r>
      <rPr>
        <b val="true"/>
        <sz val="14"/>
        <color rgb="FF1F3864"/>
        <rFont val="Calibri"/>
        <family val="0"/>
        <charset val="1"/>
      </rPr>
      <t xml:space="preserve">· </t>
    </r>
    <r>
      <rPr>
        <b val="true"/>
        <sz val="14"/>
        <color rgb="FF1F3864"/>
        <rFont val="Arial Unicode MS"/>
        <family val="2"/>
      </rPr>
      <t xml:space="preserve">满分</t>
    </r>
    <r>
      <rPr>
        <b val="true"/>
        <sz val="14"/>
        <color rgb="FF1F3864"/>
        <rFont val="Calibri"/>
        <family val="0"/>
        <charset val="1"/>
      </rPr>
      <t xml:space="preserve">30</t>
    </r>
    <r>
      <rPr>
        <b val="true"/>
        <sz val="14"/>
        <color rgb="FF1F3864"/>
        <rFont val="Arial Unicode MS"/>
        <family val="2"/>
      </rPr>
      <t xml:space="preserve">分）</t>
    </r>
  </si>
  <si>
    <r>
      <rPr>
        <b val="true"/>
        <sz val="10"/>
        <rFont val="Arial Unicode MS"/>
        <family val="2"/>
      </rPr>
      <t xml:space="preserve">响应速度</t>
    </r>
    <r>
      <rPr>
        <b val="true"/>
        <sz val="10"/>
        <rFont val="Calibri"/>
        <family val="0"/>
        <charset val="1"/>
      </rPr>
      <t xml:space="preserve">(8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</si>
  <si>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5</t>
    </r>
    <r>
      <rPr>
        <sz val="10"/>
        <rFont val="Arial Unicode MS"/>
        <family val="2"/>
      </rPr>
      <t xml:space="preserve">档</t>
    </r>
    <r>
      <rPr>
        <sz val="10"/>
        <rFont val="Calibri"/>
        <family val="0"/>
        <charset val="1"/>
      </rPr>
      <t xml:space="preserve">=8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4</t>
    </r>
    <r>
      <rPr>
        <sz val="10"/>
        <rFont val="Arial Unicode MS"/>
        <family val="2"/>
      </rPr>
      <t xml:space="preserve">档</t>
    </r>
    <r>
      <rPr>
        <sz val="10"/>
        <rFont val="Calibri"/>
        <family val="0"/>
        <charset val="1"/>
      </rPr>
      <t xml:space="preserve">=6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3</t>
    </r>
    <r>
      <rPr>
        <sz val="10"/>
        <rFont val="Arial Unicode MS"/>
        <family val="2"/>
      </rPr>
      <t xml:space="preserve">档</t>
    </r>
    <r>
      <rPr>
        <sz val="10"/>
        <rFont val="Calibri"/>
        <family val="0"/>
        <charset val="1"/>
      </rPr>
      <t xml:space="preserve">=4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2</t>
    </r>
    <r>
      <rPr>
        <sz val="10"/>
        <rFont val="Arial Unicode MS"/>
        <family val="2"/>
      </rPr>
      <t xml:space="preserve">档</t>
    </r>
    <r>
      <rPr>
        <sz val="10"/>
        <rFont val="Calibri"/>
        <family val="0"/>
        <charset val="1"/>
      </rPr>
      <t xml:space="preserve">=2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1</t>
    </r>
    <r>
      <rPr>
        <sz val="10"/>
        <rFont val="Arial Unicode MS"/>
        <family val="2"/>
      </rPr>
      <t xml:space="preserve">档</t>
    </r>
    <r>
      <rPr>
        <sz val="10"/>
        <rFont val="Calibri"/>
        <family val="0"/>
        <charset val="1"/>
      </rPr>
      <t xml:space="preserve">=0</t>
    </r>
    <r>
      <rPr>
        <sz val="10"/>
        <rFont val="Arial Unicode MS"/>
        <family val="2"/>
      </rPr>
      <t xml:space="preserve">分</t>
    </r>
  </si>
  <si>
    <r>
      <rPr>
        <b val="true"/>
        <sz val="10"/>
        <rFont val="Arial Unicode MS"/>
        <family val="2"/>
      </rPr>
      <t xml:space="preserve">配合度</t>
    </r>
    <r>
      <rPr>
        <b val="true"/>
        <sz val="10"/>
        <rFont val="Calibri"/>
        <family val="0"/>
        <charset val="1"/>
      </rPr>
      <t xml:space="preserve">(8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</si>
  <si>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b val="true"/>
        <sz val="10"/>
        <rFont val="Arial Unicode MS"/>
        <family val="2"/>
      </rPr>
      <t xml:space="preserve">团队稳定性</t>
    </r>
    <r>
      <rPr>
        <b val="true"/>
        <sz val="10"/>
        <rFont val="Calibri"/>
        <family val="0"/>
        <charset val="1"/>
      </rPr>
      <t xml:space="preserve">(6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</si>
  <si>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流失率</t>
    </r>
    <r>
      <rPr>
        <sz val="10"/>
        <rFont val="Calibri"/>
        <family val="0"/>
        <charset val="1"/>
      </rPr>
      <t xml:space="preserve">&lt;5%=6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5-10%=4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10-15%=3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&gt;15%=1</t>
    </r>
    <r>
      <rPr>
        <sz val="10"/>
        <rFont val="Arial Unicode MS"/>
        <family val="2"/>
      </rPr>
      <t xml:space="preserve">分</t>
    </r>
  </si>
  <si>
    <r>
      <rPr>
        <b val="true"/>
        <sz val="10"/>
        <rFont val="Arial Unicode MS"/>
        <family val="2"/>
      </rPr>
      <t xml:space="preserve">整改执行力</t>
    </r>
    <r>
      <rPr>
        <b val="true"/>
        <sz val="10"/>
        <rFont val="Calibri"/>
        <family val="0"/>
        <charset val="1"/>
      </rPr>
      <t xml:space="preserve">(5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</si>
  <si>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闭环率</t>
    </r>
    <r>
      <rPr>
        <sz val="10"/>
        <rFont val="Calibri"/>
        <family val="0"/>
        <charset val="1"/>
      </rPr>
      <t xml:space="preserve">100%=5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90-99%=4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80-89%=3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&lt;80%=1</t>
    </r>
    <r>
      <rPr>
        <sz val="10"/>
        <rFont val="Arial Unicode MS"/>
        <family val="2"/>
      </rPr>
      <t xml:space="preserve">分</t>
    </r>
  </si>
  <si>
    <r>
      <rPr>
        <b val="true"/>
        <sz val="10"/>
        <rFont val="Arial Unicode MS"/>
        <family val="2"/>
      </rPr>
      <t xml:space="preserve">管理规范性</t>
    </r>
    <r>
      <rPr>
        <b val="true"/>
        <sz val="10"/>
        <rFont val="Calibri"/>
        <family val="0"/>
        <charset val="1"/>
      </rPr>
      <t xml:space="preserve">(3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</si>
  <si>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Arial Unicode MS"/>
        <family val="2"/>
      </rPr>
      <t xml:space="preserve">无违规</t>
    </r>
    <r>
      <rPr>
        <sz val="10"/>
        <rFont val="Calibri"/>
        <family val="0"/>
        <charset val="1"/>
      </rPr>
      <t xml:space="preserve">=3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</t>
    </r>
    <r>
      <rPr>
        <sz val="10"/>
        <rFont val="Arial Unicode MS"/>
        <family val="2"/>
      </rPr>
      <t xml:space="preserve">轻微</t>
    </r>
    <r>
      <rPr>
        <sz val="10"/>
        <rFont val="Calibri"/>
        <family val="0"/>
        <charset val="1"/>
      </rPr>
      <t xml:space="preserve">=2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</t>
    </r>
    <r>
      <rPr>
        <sz val="10"/>
        <rFont val="Arial Unicode MS"/>
        <family val="2"/>
      </rPr>
      <t xml:space="preserve">一般</t>
    </r>
    <r>
      <rPr>
        <sz val="10"/>
        <rFont val="Calibri"/>
        <family val="0"/>
        <charset val="1"/>
      </rPr>
      <t xml:space="preserve">=1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</t>
    </r>
    <r>
      <rPr>
        <sz val="10"/>
        <rFont val="Arial Unicode MS"/>
        <family val="2"/>
      </rPr>
      <t xml:space="preserve">严重</t>
    </r>
    <r>
      <rPr>
        <sz val="10"/>
        <rFont val="Calibri"/>
        <family val="0"/>
        <charset val="1"/>
      </rPr>
      <t xml:space="preserve">=0</t>
    </r>
    <r>
      <rPr>
        <sz val="10"/>
        <rFont val="Arial Unicode MS"/>
        <family val="2"/>
      </rPr>
      <t xml:space="preserve">分</t>
    </r>
  </si>
  <si>
    <r>
      <rPr>
        <b val="true"/>
        <sz val="11"/>
        <color rgb="FFFFFFFF"/>
        <rFont val="Arial Unicode MS"/>
        <family val="2"/>
      </rPr>
      <t xml:space="preserve">响应速度</t>
    </r>
    <r>
      <rPr>
        <b val="true"/>
        <sz val="11"/>
        <color rgb="FFFFFFFF"/>
        <rFont val="Calibri"/>
        <family val="0"/>
        <charset val="1"/>
      </rPr>
      <t xml:space="preserve">(1-5</t>
    </r>
    <r>
      <rPr>
        <b val="true"/>
        <sz val="11"/>
        <color rgb="FFFFFFFF"/>
        <rFont val="Arial Unicode MS"/>
        <family val="2"/>
      </rPr>
      <t xml:space="preserve">档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</si>
  <si>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Arial Unicode MS"/>
        <family val="2"/>
      </rPr>
      <t xml:space="preserve">响应得分</t>
    </r>
    <r>
      <rPr>
        <b val="true"/>
        <sz val="11"/>
        <color rgb="FFFFFFFF"/>
        <rFont val="Calibri"/>
        <family val="0"/>
        <charset val="1"/>
      </rPr>
      <t xml:space="preserve">(8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</si>
  <si>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Arial Unicode MS"/>
        <family val="2"/>
      </rPr>
      <t xml:space="preserve">配合度</t>
    </r>
    <r>
      <rPr>
        <b val="true"/>
        <sz val="11"/>
        <color rgb="FFFFFFFF"/>
        <rFont val="Calibri"/>
        <family val="0"/>
        <charset val="1"/>
      </rPr>
      <t xml:space="preserve">(1-5</t>
    </r>
    <r>
      <rPr>
        <b val="true"/>
        <sz val="11"/>
        <color rgb="FFFFFFFF"/>
        <rFont val="Arial Unicode MS"/>
        <family val="2"/>
      </rPr>
      <t xml:space="preserve">档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</si>
  <si>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Arial Unicode MS"/>
        <family val="2"/>
      </rPr>
      <t xml:space="preserve">配合得分</t>
    </r>
    <r>
      <rPr>
        <b val="true"/>
        <sz val="11"/>
        <color rgb="FFFFFFFF"/>
        <rFont val="Calibri"/>
        <family val="0"/>
        <charset val="1"/>
      </rPr>
      <t xml:space="preserve">(8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</si>
  <si>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Arial Unicode MS"/>
        <family val="2"/>
      </rPr>
      <t xml:space="preserve">团队流失率</t>
    </r>
    <r>
      <rPr>
        <b val="true"/>
        <sz val="11"/>
        <color rgb="FFFFFFFF"/>
        <rFont val="Calibri"/>
        <family val="0"/>
        <charset val="1"/>
      </rPr>
      <t xml:space="preserve">(%)</t>
    </r>
  </si>
  <si>
    <r>
      <rPr>
        <b val="true"/>
        <sz val="11"/>
        <color rgb="FFFFFFFF"/>
        <rFont val="Arial Unicode MS"/>
        <family val="2"/>
      </rPr>
      <t xml:space="preserve">稳定性得分</t>
    </r>
    <r>
      <rPr>
        <b val="true"/>
        <sz val="11"/>
        <color rgb="FFFFFFFF"/>
        <rFont val="Calibri"/>
        <family val="0"/>
        <charset val="1"/>
      </rPr>
      <t xml:space="preserve">(6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</si>
  <si>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Arial Unicode MS"/>
        <family val="2"/>
      </rPr>
      <t xml:space="preserve">整改闭环率</t>
    </r>
    <r>
      <rPr>
        <b val="true"/>
        <sz val="11"/>
        <color rgb="FFFFFFFF"/>
        <rFont val="Calibri"/>
        <family val="0"/>
        <charset val="1"/>
      </rPr>
      <t xml:space="preserve">(%)</t>
    </r>
  </si>
  <si>
    <r>
      <rPr>
        <b val="true"/>
        <sz val="11"/>
        <color rgb="FFFFFFFF"/>
        <rFont val="Arial Unicode MS"/>
        <family val="2"/>
      </rPr>
      <t xml:space="preserve">整改得分</t>
    </r>
    <r>
      <rPr>
        <b val="true"/>
        <sz val="11"/>
        <color rgb="FFFFFFFF"/>
        <rFont val="Calibri"/>
        <family val="0"/>
        <charset val="1"/>
      </rPr>
      <t xml:space="preserve">(5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</si>
  <si>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Arial Unicode MS"/>
        <family val="2"/>
      </rPr>
      <t xml:space="preserve">管理规范性</t>
    </r>
    <r>
      <rPr>
        <b val="true"/>
        <sz val="11"/>
        <color rgb="FFFFFFFF"/>
        <rFont val="Calibri"/>
        <family val="0"/>
        <charset val="1"/>
      </rPr>
      <t xml:space="preserve">(1-5</t>
    </r>
    <r>
      <rPr>
        <b val="true"/>
        <sz val="11"/>
        <color rgb="FFFFFFFF"/>
        <rFont val="Arial Unicode MS"/>
        <family val="2"/>
      </rPr>
      <t xml:space="preserve">档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</si>
  <si>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Arial Unicode MS"/>
        <family val="2"/>
      </rPr>
      <t xml:space="preserve">规范得分</t>
    </r>
    <r>
      <rPr>
        <b val="true"/>
        <sz val="11"/>
        <color rgb="FFFFFFFF"/>
        <rFont val="Calibri"/>
        <family val="0"/>
        <charset val="1"/>
      </rPr>
      <t xml:space="preserve">(3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</si>
  <si>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供应商管理总分</t>
  </si>
  <si>
    <r>
      <rPr>
        <b val="true"/>
        <sz val="14"/>
        <color rgb="FF1F3864"/>
        <rFont val="Arial Unicode MS"/>
        <family val="2"/>
      </rPr>
      <t xml:space="preserve">质检评分表（定量 </t>
    </r>
    <r>
      <rPr>
        <b val="true"/>
        <sz val="14"/>
        <color rgb="FF1F3864"/>
        <rFont val="Calibri"/>
        <family val="0"/>
        <charset val="1"/>
      </rPr>
      <t xml:space="preserve">· </t>
    </r>
    <r>
      <rPr>
        <b val="true"/>
        <sz val="14"/>
        <color rgb="FF1F3864"/>
        <rFont val="Arial Unicode MS"/>
        <family val="2"/>
      </rPr>
      <t xml:space="preserve">满分</t>
    </r>
    <r>
      <rPr>
        <b val="true"/>
        <sz val="14"/>
        <color rgb="FF1F3864"/>
        <rFont val="Calibri"/>
        <family val="0"/>
        <charset val="1"/>
      </rPr>
      <t xml:space="preserve">10</t>
    </r>
    <r>
      <rPr>
        <b val="true"/>
        <sz val="14"/>
        <color rgb="FF1F3864"/>
        <rFont val="Arial Unicode MS"/>
        <family val="2"/>
      </rPr>
      <t xml:space="preserve">分）</t>
    </r>
  </si>
  <si>
    <r>
      <rPr>
        <b val="true"/>
        <sz val="10"/>
        <rFont val="Arial Unicode MS"/>
        <family val="2"/>
      </rPr>
      <t xml:space="preserve">质检合格率</t>
    </r>
    <r>
      <rPr>
        <b val="true"/>
        <sz val="10"/>
        <rFont val="Calibri"/>
        <family val="0"/>
        <charset val="1"/>
      </rPr>
      <t xml:space="preserve">(5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</si>
  <si>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≥98%=5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95-97%=4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90-94%=3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85-89%=2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&lt;85%=1</t>
    </r>
    <r>
      <rPr>
        <sz val="10"/>
        <rFont val="Arial Unicode MS"/>
        <family val="2"/>
      </rPr>
      <t xml:space="preserve">分</t>
    </r>
  </si>
  <si>
    <r>
      <rPr>
        <b val="true"/>
        <sz val="10"/>
        <rFont val="Arial Unicode MS"/>
        <family val="2"/>
      </rPr>
      <t xml:space="preserve">客户投诉率</t>
    </r>
    <r>
      <rPr>
        <b val="true"/>
        <sz val="10"/>
        <rFont val="Calibri"/>
        <family val="0"/>
        <charset val="1"/>
      </rPr>
      <t xml:space="preserve">(3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</si>
  <si>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≤0.1%=3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0.1-0.3%=2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0.3-0.5%=1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&gt;0.5%=0</t>
    </r>
    <r>
      <rPr>
        <sz val="10"/>
        <rFont val="Arial Unicode MS"/>
        <family val="2"/>
      </rPr>
      <t xml:space="preserve">分</t>
    </r>
  </si>
  <si>
    <r>
      <rPr>
        <b val="true"/>
        <sz val="10"/>
        <rFont val="Arial Unicode MS"/>
        <family val="2"/>
      </rPr>
      <t xml:space="preserve">红线事件</t>
    </r>
    <r>
      <rPr>
        <b val="true"/>
        <sz val="10"/>
        <rFont val="Calibri"/>
        <family val="0"/>
        <charset val="1"/>
      </rPr>
      <t xml:space="preserve">(2</t>
    </r>
    <r>
      <rPr>
        <b val="true"/>
        <sz val="10"/>
        <rFont val="Arial Unicode MS"/>
        <family val="2"/>
      </rPr>
      <t xml:space="preserve">分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</si>
  <si>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0</t>
    </r>
    <r>
      <rPr>
        <sz val="10"/>
        <rFont val="Arial Unicode MS"/>
        <family val="2"/>
      </rPr>
      <t xml:space="preserve">次</t>
    </r>
    <r>
      <rPr>
        <sz val="10"/>
        <rFont val="Calibri"/>
        <family val="0"/>
        <charset val="1"/>
      </rPr>
      <t xml:space="preserve">=2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1</t>
    </r>
    <r>
      <rPr>
        <sz val="10"/>
        <rFont val="Arial Unicode MS"/>
        <family val="2"/>
      </rPr>
      <t xml:space="preserve">次</t>
    </r>
    <r>
      <rPr>
        <sz val="10"/>
        <rFont val="Calibri"/>
        <family val="0"/>
        <charset val="1"/>
      </rPr>
      <t xml:space="preserve">=0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, ≥2</t>
    </r>
    <r>
      <rPr>
        <sz val="10"/>
        <rFont val="Arial Unicode MS"/>
        <family val="2"/>
      </rPr>
      <t xml:space="preserve">次</t>
    </r>
    <r>
      <rPr>
        <sz val="10"/>
        <rFont val="Calibri"/>
        <family val="0"/>
        <charset val="1"/>
      </rPr>
      <t xml:space="preserve">=0</t>
    </r>
    <r>
      <rPr>
        <sz val="10"/>
        <rFont val="Arial Unicode MS"/>
        <family val="2"/>
      </rPr>
      <t xml:space="preserve">分</t>
    </r>
    <r>
      <rPr>
        <sz val="10"/>
        <rFont val="Calibri"/>
        <family val="0"/>
        <charset val="1"/>
      </rPr>
      <t xml:space="preserve">+</t>
    </r>
    <r>
      <rPr>
        <sz val="10"/>
        <rFont val="Arial Unicode MS"/>
        <family val="2"/>
      </rPr>
      <t xml:space="preserve">直接降为</t>
    </r>
    <r>
      <rPr>
        <sz val="10"/>
        <rFont val="Calibri"/>
        <family val="0"/>
        <charset val="1"/>
      </rPr>
      <t xml:space="preserve">C</t>
    </r>
    <r>
      <rPr>
        <sz val="10"/>
        <rFont val="Arial Unicode MS"/>
        <family val="2"/>
      </rPr>
      <t xml:space="preserve">级</t>
    </r>
  </si>
  <si>
    <r>
      <rPr>
        <b val="true"/>
        <sz val="11"/>
        <color rgb="FFFFFFFF"/>
        <rFont val="Arial Unicode MS"/>
        <family val="2"/>
      </rPr>
      <t xml:space="preserve">质检合格率</t>
    </r>
    <r>
      <rPr>
        <b val="true"/>
        <sz val="11"/>
        <color rgb="FFFFFFFF"/>
        <rFont val="Calibri"/>
        <family val="0"/>
        <charset val="1"/>
      </rPr>
      <t xml:space="preserve">(%)</t>
    </r>
  </si>
  <si>
    <r>
      <rPr>
        <b val="true"/>
        <sz val="11"/>
        <color rgb="FFFFFFFF"/>
        <rFont val="Arial Unicode MS"/>
        <family val="2"/>
      </rPr>
      <t xml:space="preserve">合格率得分</t>
    </r>
    <r>
      <rPr>
        <b val="true"/>
        <sz val="11"/>
        <color rgb="FFFFFFFF"/>
        <rFont val="Calibri"/>
        <family val="0"/>
        <charset val="1"/>
      </rPr>
      <t xml:space="preserve">(5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</si>
  <si>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投诉工单数</t>
  </si>
  <si>
    <r>
      <rPr>
        <b val="true"/>
        <sz val="11"/>
        <color rgb="FFFFFFFF"/>
        <rFont val="Arial Unicode MS"/>
        <family val="2"/>
      </rPr>
      <t xml:space="preserve">投诉率</t>
    </r>
    <r>
      <rPr>
        <b val="true"/>
        <sz val="11"/>
        <color rgb="FFFFFFFF"/>
        <rFont val="Calibri"/>
        <family val="0"/>
        <charset val="1"/>
      </rPr>
      <t xml:space="preserve">(%)</t>
    </r>
  </si>
  <si>
    <r>
      <rPr>
        <b val="true"/>
        <sz val="11"/>
        <color rgb="FFFFFFFF"/>
        <rFont val="Arial Unicode MS"/>
        <family val="2"/>
      </rPr>
      <t xml:space="preserve">投诉得分</t>
    </r>
    <r>
      <rPr>
        <b val="true"/>
        <sz val="11"/>
        <color rgb="FFFFFFFF"/>
        <rFont val="Calibri"/>
        <family val="0"/>
        <charset val="1"/>
      </rPr>
      <t xml:space="preserve">(3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</si>
  <si>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红线事件次数</t>
  </si>
  <si>
    <r>
      <rPr>
        <b val="true"/>
        <sz val="11"/>
        <color rgb="FFFFFFFF"/>
        <rFont val="Arial Unicode MS"/>
        <family val="2"/>
      </rPr>
      <t xml:space="preserve">红线得分</t>
    </r>
    <r>
      <rPr>
        <b val="true"/>
        <sz val="11"/>
        <color rgb="FFFFFFFF"/>
        <rFont val="Calibri"/>
        <family val="0"/>
        <charset val="1"/>
      </rPr>
      <t xml:space="preserve">(2</t>
    </r>
    <r>
      <rPr>
        <b val="true"/>
        <sz val="11"/>
        <color rgb="FFFFFFFF"/>
        <rFont val="Arial Unicode MS"/>
        <family val="2"/>
      </rPr>
      <t xml:space="preserve">分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</si>
  <si>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质检总分</t>
  </si>
  <si>
    <r>
      <rPr>
        <b val="true"/>
        <sz val="14"/>
        <color rgb="FF1F3864"/>
        <rFont val="Arial Unicode MS"/>
        <family val="2"/>
      </rPr>
      <t xml:space="preserve">供应商</t>
    </r>
    <r>
      <rPr>
        <b val="true"/>
        <sz val="14"/>
        <color rgb="FF1F3864"/>
        <rFont val="Calibri"/>
        <family val="0"/>
        <charset val="1"/>
      </rPr>
      <t xml:space="preserve">ABC</t>
    </r>
    <r>
      <rPr>
        <b val="true"/>
        <sz val="14"/>
        <color rgb="FF1F3864"/>
        <rFont val="Arial Unicode MS"/>
        <family val="2"/>
      </rPr>
      <t xml:space="preserve">分层分级 — 综合评定表</t>
    </r>
  </si>
  <si>
    <r>
      <rPr>
        <b val="true"/>
        <i val="true"/>
        <sz val="10"/>
        <color rgb="FFC00000"/>
        <rFont val="Arial Unicode MS"/>
        <family val="2"/>
      </rPr>
      <t xml:space="preserve">分级规则：≥</t>
    </r>
    <r>
      <rPr>
        <b val="true"/>
        <i val="true"/>
        <sz val="10"/>
        <color rgb="FFC00000"/>
        <rFont val="Calibri"/>
        <family val="0"/>
        <charset val="1"/>
      </rPr>
      <t xml:space="preserve">85</t>
    </r>
    <r>
      <rPr>
        <b val="true"/>
        <i val="true"/>
        <sz val="10"/>
        <color rgb="FFC00000"/>
        <rFont val="Arial Unicode MS"/>
        <family val="2"/>
      </rPr>
      <t xml:space="preserve">分</t>
    </r>
    <r>
      <rPr>
        <b val="true"/>
        <i val="true"/>
        <sz val="10"/>
        <color rgb="FFC00000"/>
        <rFont val="Calibri"/>
        <family val="0"/>
        <charset val="1"/>
      </rPr>
      <t xml:space="preserve">=A</t>
    </r>
    <r>
      <rPr>
        <b val="true"/>
        <i val="true"/>
        <sz val="10"/>
        <color rgb="FFC00000"/>
        <rFont val="Arial Unicode MS"/>
        <family val="2"/>
      </rPr>
      <t xml:space="preserve">级，</t>
    </r>
    <r>
      <rPr>
        <b val="true"/>
        <i val="true"/>
        <sz val="10"/>
        <color rgb="FFC00000"/>
        <rFont val="Calibri"/>
        <family val="0"/>
        <charset val="1"/>
      </rPr>
      <t xml:space="preserve">70-84</t>
    </r>
    <r>
      <rPr>
        <b val="true"/>
        <i val="true"/>
        <sz val="10"/>
        <color rgb="FFC00000"/>
        <rFont val="Arial Unicode MS"/>
        <family val="2"/>
      </rPr>
      <t xml:space="preserve">分</t>
    </r>
    <r>
      <rPr>
        <b val="true"/>
        <i val="true"/>
        <sz val="10"/>
        <color rgb="FFC00000"/>
        <rFont val="Calibri"/>
        <family val="0"/>
        <charset val="1"/>
      </rPr>
      <t xml:space="preserve">=B</t>
    </r>
    <r>
      <rPr>
        <b val="true"/>
        <i val="true"/>
        <sz val="10"/>
        <color rgb="FFC00000"/>
        <rFont val="Arial Unicode MS"/>
        <family val="2"/>
      </rPr>
      <t xml:space="preserve">级，</t>
    </r>
    <r>
      <rPr>
        <b val="true"/>
        <i val="true"/>
        <sz val="10"/>
        <color rgb="FFC00000"/>
        <rFont val="Calibri"/>
        <family val="0"/>
        <charset val="1"/>
      </rPr>
      <t xml:space="preserve">&lt;70</t>
    </r>
    <r>
      <rPr>
        <b val="true"/>
        <i val="true"/>
        <sz val="10"/>
        <color rgb="FFC00000"/>
        <rFont val="Arial Unicode MS"/>
        <family val="2"/>
      </rPr>
      <t xml:space="preserve">分</t>
    </r>
    <r>
      <rPr>
        <b val="true"/>
        <i val="true"/>
        <sz val="10"/>
        <color rgb="FFC00000"/>
        <rFont val="Calibri"/>
        <family val="0"/>
        <charset val="1"/>
      </rPr>
      <t xml:space="preserve">=C</t>
    </r>
    <r>
      <rPr>
        <b val="true"/>
        <i val="true"/>
        <sz val="10"/>
        <color rgb="FFC00000"/>
        <rFont val="Arial Unicode MS"/>
        <family val="2"/>
      </rPr>
      <t xml:space="preserve">级 </t>
    </r>
    <r>
      <rPr>
        <b val="true"/>
        <i val="true"/>
        <sz val="10"/>
        <color rgb="FFC00000"/>
        <rFont val="Calibri"/>
        <family val="0"/>
        <charset val="1"/>
      </rPr>
      <t xml:space="preserve">| </t>
    </r>
    <r>
      <rPr>
        <b val="true"/>
        <i val="true"/>
        <sz val="10"/>
        <color rgb="FFC00000"/>
        <rFont val="Arial Unicode MS"/>
        <family val="2"/>
      </rPr>
      <t xml:space="preserve">排名后</t>
    </r>
    <r>
      <rPr>
        <b val="true"/>
        <i val="true"/>
        <sz val="10"/>
        <color rgb="FFC00000"/>
        <rFont val="Calibri"/>
        <family val="0"/>
        <charset val="1"/>
      </rPr>
      <t xml:space="preserve">30%</t>
    </r>
    <r>
      <rPr>
        <b val="true"/>
        <i val="true"/>
        <sz val="10"/>
        <color rgb="FFC00000"/>
        <rFont val="Arial Unicode MS"/>
        <family val="2"/>
      </rPr>
      <t xml:space="preserve">降一级 </t>
    </r>
    <r>
      <rPr>
        <b val="true"/>
        <i val="true"/>
        <sz val="10"/>
        <color rgb="FFC00000"/>
        <rFont val="Calibri"/>
        <family val="0"/>
        <charset val="1"/>
      </rPr>
      <t xml:space="preserve">| </t>
    </r>
    <r>
      <rPr>
        <b val="true"/>
        <i val="true"/>
        <sz val="10"/>
        <color rgb="FFC00000"/>
        <rFont val="Arial Unicode MS"/>
        <family val="2"/>
      </rPr>
      <t xml:space="preserve">连续</t>
    </r>
    <r>
      <rPr>
        <b val="true"/>
        <i val="true"/>
        <sz val="10"/>
        <color rgb="FFC00000"/>
        <rFont val="Calibri"/>
        <family val="0"/>
        <charset val="1"/>
      </rPr>
      <t xml:space="preserve">2</t>
    </r>
    <r>
      <rPr>
        <b val="true"/>
        <i val="true"/>
        <sz val="10"/>
        <color rgb="FFC00000"/>
        <rFont val="Arial Unicode MS"/>
        <family val="2"/>
      </rPr>
      <t xml:space="preserve">季度</t>
    </r>
    <r>
      <rPr>
        <b val="true"/>
        <i val="true"/>
        <sz val="10"/>
        <color rgb="FFC00000"/>
        <rFont val="Calibri"/>
        <family val="0"/>
        <charset val="1"/>
      </rPr>
      <t xml:space="preserve">C</t>
    </r>
    <r>
      <rPr>
        <b val="true"/>
        <i val="true"/>
        <sz val="10"/>
        <color rgb="FFC00000"/>
        <rFont val="Arial Unicode MS"/>
        <family val="2"/>
      </rPr>
      <t xml:space="preserve">级启动淘汰</t>
    </r>
  </si>
  <si>
    <r>
      <rPr>
        <b val="true"/>
        <sz val="11"/>
        <color rgb="FFFFFFFF"/>
        <rFont val="Arial Unicode MS"/>
        <family val="2"/>
      </rPr>
      <t xml:space="preserve">业务督导得分</t>
    </r>
    <r>
      <rPr>
        <b val="true"/>
        <sz val="11"/>
        <color rgb="FFFFFFFF"/>
        <rFont val="Calibri"/>
        <family val="0"/>
        <charset val="1"/>
      </rPr>
      <t xml:space="preserve">(60)</t>
    </r>
  </si>
  <si>
    <r>
      <rPr>
        <b val="true"/>
        <sz val="11"/>
        <color rgb="FFFFFFFF"/>
        <rFont val="Arial Unicode MS"/>
        <family val="2"/>
      </rPr>
      <t xml:space="preserve">供应商管理得分</t>
    </r>
    <r>
      <rPr>
        <b val="true"/>
        <sz val="11"/>
        <color rgb="FFFFFFFF"/>
        <rFont val="Calibri"/>
        <family val="0"/>
        <charset val="1"/>
      </rPr>
      <t xml:space="preserve">(30)</t>
    </r>
  </si>
  <si>
    <r>
      <rPr>
        <b val="true"/>
        <sz val="11"/>
        <color rgb="FFFFFFFF"/>
        <rFont val="Arial Unicode MS"/>
        <family val="2"/>
      </rPr>
      <t xml:space="preserve">质检得分</t>
    </r>
    <r>
      <rPr>
        <b val="true"/>
        <sz val="11"/>
        <color rgb="FFFFFFFF"/>
        <rFont val="Calibri"/>
        <family val="0"/>
        <charset val="1"/>
      </rPr>
      <t xml:space="preserve">(10)</t>
    </r>
  </si>
  <si>
    <r>
      <rPr>
        <b val="true"/>
        <sz val="11"/>
        <color rgb="FFFFFFFF"/>
        <rFont val="Arial Unicode MS"/>
        <family val="2"/>
      </rPr>
      <t xml:space="preserve">综合得分</t>
    </r>
    <r>
      <rPr>
        <b val="true"/>
        <sz val="11"/>
        <color rgb="FFFFFFFF"/>
        <rFont val="Calibri"/>
        <family val="0"/>
        <charset val="1"/>
      </rPr>
      <t xml:space="preserve">(100)</t>
    </r>
  </si>
  <si>
    <t xml:space="preserve">综合排名</t>
  </si>
  <si>
    <t xml:space="preserve">基准等级</t>
  </si>
  <si>
    <r>
      <rPr>
        <b val="true"/>
        <sz val="11"/>
        <color rgb="FFFFFFFF"/>
        <rFont val="Arial Unicode MS"/>
        <family val="2"/>
      </rPr>
      <t xml:space="preserve">排名是否后</t>
    </r>
    <r>
      <rPr>
        <b val="true"/>
        <sz val="11"/>
        <color rgb="FFFFFFFF"/>
        <rFont val="Calibri"/>
        <family val="0"/>
        <charset val="1"/>
      </rPr>
      <t xml:space="preserve">30%</t>
    </r>
  </si>
  <si>
    <t xml:space="preserve">最终等级</t>
  </si>
  <si>
    <r>
      <rPr>
        <b val="true"/>
        <sz val="11"/>
        <color rgb="FFFFFFFF"/>
        <rFont val="Arial Unicode MS"/>
        <family val="2"/>
      </rPr>
      <t xml:space="preserve">连续</t>
    </r>
    <r>
      <rPr>
        <b val="true"/>
        <sz val="11"/>
        <color rgb="FFFFFFFF"/>
        <rFont val="Calibri"/>
        <family val="0"/>
        <charset val="1"/>
      </rPr>
      <t xml:space="preserve">C</t>
    </r>
    <r>
      <rPr>
        <b val="true"/>
        <sz val="11"/>
        <color rgb="FFFFFFFF"/>
        <rFont val="Arial Unicode MS"/>
        <family val="2"/>
      </rPr>
      <t xml:space="preserve">季度数</t>
    </r>
  </si>
  <si>
    <r>
      <rPr>
        <b val="true"/>
        <sz val="11"/>
        <color rgb="FFFFFFFF"/>
        <rFont val="Arial Unicode MS"/>
        <family val="2"/>
      </rPr>
      <t xml:space="preserve">是否触发</t>
    </r>
    <r>
      <rPr>
        <b val="true"/>
        <sz val="11"/>
        <color rgb="FFFFFFFF"/>
        <rFont val="Calibri"/>
        <family val="0"/>
        <charset val="1"/>
      </rPr>
      <t xml:space="preserve">PIP</t>
    </r>
  </si>
  <si>
    <t xml:space="preserve">是否触发淘汰</t>
  </si>
  <si>
    <t xml:space="preserve">分级统计</t>
  </si>
  <si>
    <r>
      <rPr>
        <b val="true"/>
        <sz val="11"/>
        <rFont val="Calibri"/>
        <family val="0"/>
        <charset val="1"/>
      </rPr>
      <t xml:space="preserve">A</t>
    </r>
    <r>
      <rPr>
        <b val="true"/>
        <sz val="11"/>
        <rFont val="Arial Unicode MS"/>
        <family val="2"/>
      </rPr>
      <t xml:space="preserve">级数量</t>
    </r>
  </si>
  <si>
    <t xml:space="preserve">占比</t>
  </si>
  <si>
    <r>
      <rPr>
        <b val="true"/>
        <sz val="11"/>
        <rFont val="Calibri"/>
        <family val="0"/>
        <charset val="1"/>
      </rPr>
      <t xml:space="preserve">B</t>
    </r>
    <r>
      <rPr>
        <b val="true"/>
        <sz val="11"/>
        <rFont val="Arial Unicode MS"/>
        <family val="2"/>
      </rPr>
      <t xml:space="preserve">级数量</t>
    </r>
  </si>
  <si>
    <r>
      <rPr>
        <b val="true"/>
        <sz val="11"/>
        <rFont val="Calibri"/>
        <family val="0"/>
        <charset val="1"/>
      </rPr>
      <t xml:space="preserve">C</t>
    </r>
    <r>
      <rPr>
        <b val="true"/>
        <sz val="11"/>
        <rFont val="Arial Unicode MS"/>
        <family val="2"/>
      </rPr>
      <t xml:space="preserve">级数量</t>
    </r>
  </si>
  <si>
    <r>
      <rPr>
        <b val="true"/>
        <sz val="11"/>
        <color rgb="FFC00000"/>
        <rFont val="Arial Unicode MS"/>
        <family val="2"/>
      </rPr>
      <t xml:space="preserve">触发</t>
    </r>
    <r>
      <rPr>
        <b val="true"/>
        <sz val="11"/>
        <color rgb="FFC00000"/>
        <rFont val="Calibri"/>
        <family val="0"/>
        <charset val="1"/>
      </rPr>
      <t xml:space="preserve">PIP</t>
    </r>
    <r>
      <rPr>
        <b val="true"/>
        <sz val="11"/>
        <color rgb="FFC00000"/>
        <rFont val="Arial Unicode MS"/>
        <family val="2"/>
      </rPr>
      <t xml:space="preserve">数量</t>
    </r>
  </si>
  <si>
    <t xml:space="preserve">触发淘汰数量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</si>
</sst>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%"/>
  </numFmts>
  <fonts count="2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 Unicode MS"/>
      <family val="2"/>
    </font>
    <font>
      <b val="true"/>
      <sz val="11"/>
      <color rgb="FFFFFFFF"/>
      <name val="Arial Unicode MS"/>
      <family val="2"/>
    </font>
    <font>
      <sz val="11"/>
      <color rgb="FF000000"/>
      <name val="Calibri"/>
      <family val="0"/>
      <charset val="1"/>
    </font>
    <font>
      <sz val="11"/>
      <color rgb="FF0000FF"/>
      <name val="Arial Unicode MS"/>
      <family val="2"/>
    </font>
    <font>
      <sz val="11"/>
      <color rgb="FF0000FF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1"/>
      <color rgb="FF1F3864"/>
      <name val="Arial Unicode MS"/>
      <family val="2"/>
    </font>
    <font>
      <b val="true"/>
      <sz val="10"/>
      <name val="Arial Unicode MS"/>
      <family val="2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name val="Arial Unicode MS"/>
      <family val="2"/>
    </font>
    <font>
      <b val="true"/>
      <sz val="11"/>
      <color rgb="FFFFFFFF"/>
      <name val="Calibri"/>
      <family val="0"/>
      <charset val="1"/>
    </font>
    <font>
      <sz val="11"/>
      <color rgb="FF000000"/>
      <name val="Arial Unicode MS"/>
      <family val="2"/>
    </font>
    <font>
      <sz val="11"/>
      <color theme="1"/>
      <name val="Calibri"/>
      <family val="2"/>
      <charset val="1"/>
    </font>
    <font>
      <b val="true"/>
      <sz val="12"/>
      <color rgb="FF1F3864"/>
      <name val="Calibri"/>
      <family val="0"/>
      <charset val="1"/>
    </font>
    <font>
      <b val="true"/>
      <i val="true"/>
      <sz val="10"/>
      <color rgb="FFC00000"/>
      <name val="Arial Unicode MS"/>
      <family val="2"/>
    </font>
    <font>
      <b val="true"/>
      <i val="true"/>
      <sz val="10"/>
      <color rgb="FFC00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name val="Arial Unicode MS"/>
      <family val="2"/>
    </font>
    <font>
      <sz val="11"/>
      <name val="Arial Unicode MS"/>
      <family val="2"/>
    </font>
    <font>
      <b val="true"/>
      <sz val="11"/>
      <color rgb="FFC00000"/>
      <name val="Arial Unicode MS"/>
      <family val="2"/>
    </font>
    <font>
      <b val="true"/>
      <sz val="11"/>
      <color rgb="FFC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22.75"/>
    <col collapsed="false" customWidth="true" hidden="false" outlineLevel="0" max="3" min="3" style="0" width="16.38"/>
    <col collapsed="false" customWidth="true" hidden="false" outlineLevel="0" max="4" min="4" style="0" width="13.65"/>
    <col collapsed="false" customWidth="true" hidden="false" outlineLevel="0" max="5" min="5" style="0" width="16.38"/>
    <col collapsed="false" customWidth="true" hidden="false" outlineLevel="0" max="6" min="6" style="0" width="13.6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6.4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21.75" hidden="false" customHeight="true" outlineLevel="0" collapsed="false">
      <c r="A4" s="3" t="n">
        <v>1</v>
      </c>
      <c r="B4" s="4" t="s">
        <v>7</v>
      </c>
      <c r="C4" s="3" t="s">
        <v>8</v>
      </c>
      <c r="D4" s="4" t="s">
        <v>9</v>
      </c>
      <c r="E4" s="5" t="s">
        <v>10</v>
      </c>
      <c r="F4" s="5" t="s">
        <v>11</v>
      </c>
    </row>
    <row r="5" customFormat="false" ht="21.75" hidden="false" customHeight="true" outlineLevel="0" collapsed="false">
      <c r="A5" s="3" t="n">
        <v>2</v>
      </c>
      <c r="B5" s="4" t="s">
        <v>12</v>
      </c>
      <c r="C5" s="3" t="s">
        <v>13</v>
      </c>
      <c r="D5" s="4" t="s">
        <v>14</v>
      </c>
      <c r="E5" s="5" t="s">
        <v>10</v>
      </c>
      <c r="F5" s="5" t="s">
        <v>11</v>
      </c>
    </row>
    <row r="6" customFormat="false" ht="21.75" hidden="false" customHeight="true" outlineLevel="0" collapsed="false">
      <c r="A6" s="3" t="n">
        <v>3</v>
      </c>
      <c r="B6" s="4" t="s">
        <v>15</v>
      </c>
      <c r="C6" s="3" t="s">
        <v>16</v>
      </c>
      <c r="D6" s="4" t="s">
        <v>17</v>
      </c>
      <c r="E6" s="5" t="s">
        <v>10</v>
      </c>
      <c r="F6" s="5" t="s">
        <v>11</v>
      </c>
    </row>
    <row r="7" customFormat="false" ht="21.75" hidden="false" customHeight="true" outlineLevel="0" collapsed="false">
      <c r="A7" s="3" t="n">
        <v>4</v>
      </c>
      <c r="B7" s="4" t="s">
        <v>18</v>
      </c>
      <c r="C7" s="3" t="s">
        <v>19</v>
      </c>
      <c r="D7" s="4" t="s">
        <v>20</v>
      </c>
      <c r="E7" s="5" t="s">
        <v>10</v>
      </c>
      <c r="F7" s="5" t="s">
        <v>11</v>
      </c>
    </row>
    <row r="8" customFormat="false" ht="21.75" hidden="false" customHeight="true" outlineLevel="0" collapsed="false">
      <c r="A8" s="3" t="n">
        <v>5</v>
      </c>
      <c r="B8" s="4" t="s">
        <v>21</v>
      </c>
      <c r="C8" s="3" t="s">
        <v>22</v>
      </c>
      <c r="D8" s="4" t="s">
        <v>9</v>
      </c>
      <c r="E8" s="5" t="s">
        <v>10</v>
      </c>
      <c r="F8" s="5" t="s">
        <v>11</v>
      </c>
    </row>
    <row r="9" customFormat="false" ht="21.75" hidden="false" customHeight="true" outlineLevel="0" collapsed="false">
      <c r="A9" s="3" t="n">
        <v>6</v>
      </c>
      <c r="B9" s="4" t="s">
        <v>23</v>
      </c>
      <c r="C9" s="3" t="s">
        <v>24</v>
      </c>
      <c r="D9" s="4" t="s">
        <v>14</v>
      </c>
      <c r="E9" s="5" t="s">
        <v>10</v>
      </c>
      <c r="F9" s="5" t="s">
        <v>11</v>
      </c>
    </row>
    <row r="10" customFormat="false" ht="21.75" hidden="false" customHeight="true" outlineLevel="0" collapsed="false">
      <c r="A10" s="3" t="n">
        <v>7</v>
      </c>
      <c r="B10" s="4" t="s">
        <v>25</v>
      </c>
      <c r="C10" s="3" t="s">
        <v>26</v>
      </c>
      <c r="D10" s="4" t="s">
        <v>17</v>
      </c>
      <c r="E10" s="5" t="s">
        <v>10</v>
      </c>
      <c r="F10" s="5" t="s">
        <v>11</v>
      </c>
    </row>
    <row r="11" customFormat="false" ht="21.75" hidden="false" customHeight="true" outlineLevel="0" collapsed="false">
      <c r="A11" s="3" t="n">
        <v>8</v>
      </c>
      <c r="B11" s="4" t="s">
        <v>27</v>
      </c>
      <c r="C11" s="3" t="s">
        <v>28</v>
      </c>
      <c r="D11" s="4" t="s">
        <v>20</v>
      </c>
      <c r="E11" s="5" t="s">
        <v>10</v>
      </c>
      <c r="F11" s="5" t="s">
        <v>11</v>
      </c>
    </row>
    <row r="12" customFormat="false" ht="21.75" hidden="false" customHeight="true" outlineLevel="0" collapsed="false">
      <c r="A12" s="3" t="n">
        <v>9</v>
      </c>
      <c r="B12" s="4" t="s">
        <v>29</v>
      </c>
      <c r="C12" s="3" t="s">
        <v>30</v>
      </c>
      <c r="D12" s="4" t="s">
        <v>9</v>
      </c>
      <c r="E12" s="5" t="s">
        <v>10</v>
      </c>
      <c r="F12" s="5" t="s">
        <v>11</v>
      </c>
    </row>
    <row r="13" customFormat="false" ht="21.75" hidden="false" customHeight="true" outlineLevel="0" collapsed="false"/>
    <row r="14" customFormat="false" ht="21.75" hidden="false" customHeight="true" outlineLevel="0" collapsed="false"/>
    <row r="15" customFormat="false" ht="21.75" hidden="false" customHeight="true" outlineLevel="0" collapsed="false"/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13.65"/>
    <col collapsed="false" customWidth="true" hidden="false" outlineLevel="0" max="19" min="3" style="0" width="10.92"/>
    <col collapsed="false" customWidth="true" hidden="false" outlineLevel="0" max="20" min="20" style="0" width="13.65"/>
  </cols>
  <sheetData>
    <row r="1" customFormat="false" ht="30" hidden="false" customHeight="true" outlineLevel="0" collapsed="false">
      <c r="A1" s="6" t="s">
        <v>31</v>
      </c>
      <c r="B1" s="6"/>
      <c r="C1" s="6"/>
      <c r="D1" s="6"/>
      <c r="E1" s="6"/>
      <c r="F1" s="6"/>
      <c r="G1" s="6"/>
      <c r="H1" s="6"/>
    </row>
    <row r="3" customFormat="false" ht="15" hidden="false" customHeight="false" outlineLevel="0" collapsed="false">
      <c r="A3" s="7" t="s">
        <v>32</v>
      </c>
      <c r="B3" s="7"/>
      <c r="C3" s="7"/>
      <c r="D3" s="7"/>
      <c r="E3" s="7"/>
      <c r="F3" s="7"/>
      <c r="G3" s="7"/>
      <c r="H3" s="7"/>
    </row>
    <row r="4" customFormat="false" ht="15" hidden="false" customHeight="false" outlineLevel="0" collapsed="false">
      <c r="A4" s="8" t="s">
        <v>33</v>
      </c>
      <c r="B4" s="9" t="s">
        <v>34</v>
      </c>
      <c r="C4" s="9"/>
      <c r="D4" s="9"/>
      <c r="E4" s="9"/>
      <c r="F4" s="9"/>
      <c r="G4" s="9"/>
      <c r="H4" s="9"/>
    </row>
    <row r="5" customFormat="false" ht="15" hidden="false" customHeight="false" outlineLevel="0" collapsed="false">
      <c r="A5" s="8" t="s">
        <v>35</v>
      </c>
      <c r="B5" s="10" t="s">
        <v>36</v>
      </c>
      <c r="C5" s="10"/>
      <c r="D5" s="10"/>
      <c r="E5" s="10"/>
      <c r="F5" s="10"/>
      <c r="G5" s="10"/>
      <c r="H5" s="10"/>
    </row>
    <row r="6" customFormat="false" ht="15" hidden="false" customHeight="false" outlineLevel="0" collapsed="false">
      <c r="A6" s="8" t="s">
        <v>37</v>
      </c>
      <c r="B6" s="9" t="s">
        <v>38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8" t="s">
        <v>39</v>
      </c>
      <c r="B7" s="9" t="s">
        <v>40</v>
      </c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8" t="s">
        <v>41</v>
      </c>
      <c r="B8" s="9" t="s">
        <v>42</v>
      </c>
      <c r="C8" s="9"/>
      <c r="D8" s="9"/>
      <c r="E8" s="9"/>
      <c r="F8" s="9"/>
      <c r="G8" s="9"/>
      <c r="H8" s="9"/>
    </row>
    <row r="10" customFormat="false" ht="31.3" hidden="false" customHeight="false" outlineLevel="0" collapsed="false">
      <c r="A10" s="2" t="s">
        <v>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50</v>
      </c>
      <c r="J10" s="2" t="s">
        <v>51</v>
      </c>
      <c r="K10" s="2" t="s">
        <v>52</v>
      </c>
      <c r="L10" s="2" t="s">
        <v>53</v>
      </c>
      <c r="M10" s="2" t="s">
        <v>54</v>
      </c>
      <c r="N10" s="2" t="s">
        <v>55</v>
      </c>
      <c r="O10" s="2" t="s">
        <v>56</v>
      </c>
      <c r="P10" s="2" t="s">
        <v>57</v>
      </c>
      <c r="Q10" s="2" t="s">
        <v>58</v>
      </c>
      <c r="R10" s="2" t="s">
        <v>59</v>
      </c>
      <c r="S10" s="2" t="s">
        <v>60</v>
      </c>
      <c r="T10" s="2" t="s">
        <v>61</v>
      </c>
    </row>
    <row r="11" customFormat="false" ht="21.75" hidden="false" customHeight="true" outlineLevel="0" collapsed="false">
      <c r="A11" s="11" t="str">
        <f aca="false">供应商基础信息!B4</f>
        <v>毅航</v>
      </c>
      <c r="B11" s="12" t="s">
        <v>62</v>
      </c>
      <c r="C11" s="12"/>
      <c r="D11" s="12"/>
      <c r="E11" s="13" t="n">
        <f aca="false">IF(C11=0,0,D11/C11)</f>
        <v>0</v>
      </c>
      <c r="F11" s="14" t="n">
        <f aca="false">IF(E11&gt;=1,25,IF(E11&gt;=0.9,E11*25,IF(E11&gt;=0.8,20,IF(E11&gt;=0.7,15,10))))</f>
        <v>10</v>
      </c>
      <c r="G11" s="12"/>
      <c r="H11" s="14" t="n">
        <f aca="false">IF(G11&gt;=1,15,IF(G11&gt;=0.9,G11*15,IF(G11&gt;=0.8,12,IF(G11&gt;=0.7,9,6))))</f>
        <v>6</v>
      </c>
      <c r="I11" s="12"/>
      <c r="J11" s="12"/>
      <c r="K11" s="13" t="n">
        <f aca="false">IF(J11=0,0,I11/J11)</f>
        <v>0</v>
      </c>
      <c r="L11" s="14" t="n">
        <f aca="false">IF(K11&gt;=0.95,10,IF(K11&gt;=0.9,8,IF(K11&gt;=0.85,6,IF(K11&gt;=0.8,4,2))))</f>
        <v>2</v>
      </c>
      <c r="M11" s="12"/>
      <c r="N11" s="12"/>
      <c r="O11" s="13" t="n">
        <f aca="false">IF(N11=0,0,M11/N11)</f>
        <v>0</v>
      </c>
      <c r="P11" s="14" t="n">
        <f aca="false">IF(O11&gt;=1,5,IF(O11&gt;=0.95,4,IF(O11&gt;=0.9,3,IF(O11&gt;=0.85,2,1))))</f>
        <v>1</v>
      </c>
      <c r="Q11" s="12"/>
      <c r="R11" s="13" t="n">
        <f aca="false">IF(Q11=0,0,(D11-Q11)/Q11)</f>
        <v>0</v>
      </c>
      <c r="S11" s="14" t="n">
        <f aca="false">IF(R11&gt;=0.1,5,IF(R11&gt;=0.05,4,IF(R11&gt;=0,3,IF(R11&gt;=-0.05,2,1))))</f>
        <v>3</v>
      </c>
      <c r="T11" s="15" t="n">
        <f aca="false">F11+H11+L11+P11+S11</f>
        <v>22</v>
      </c>
    </row>
    <row r="12" customFormat="false" ht="21.75" hidden="false" customHeight="true" outlineLevel="0" collapsed="false">
      <c r="A12" s="14" t="str">
        <f aca="false">供应商基础信息!B5</f>
        <v>毛毛虫</v>
      </c>
      <c r="B12" s="14"/>
      <c r="C12" s="14"/>
      <c r="D12" s="14"/>
      <c r="E12" s="14" t="n">
        <f aca="false">IF(C12=0,0,D12/C12)</f>
        <v>0</v>
      </c>
      <c r="F12" s="14" t="n">
        <f aca="false">IF(E12&gt;=1,25,IF(E12&gt;=0.9,E12*25,IF(E12&gt;=0.8,20,IF(E12&gt;=0.7,15,10))))</f>
        <v>10</v>
      </c>
      <c r="G12" s="14"/>
      <c r="H12" s="14" t="n">
        <f aca="false">IF(G12&gt;=1,15,IF(G12&gt;=0.9,G12*15,IF(G12&gt;=0.8,12,IF(G12&gt;=0.7,9,6))))</f>
        <v>6</v>
      </c>
      <c r="I12" s="14"/>
      <c r="J12" s="14"/>
      <c r="K12" s="14" t="n">
        <f aca="false">IF(J12=0,0,I12/J12)</f>
        <v>0</v>
      </c>
      <c r="L12" s="14" t="n">
        <f aca="false">IF(K12&gt;=0.95,10,IF(K12&gt;=0.9,8,IF(K12&gt;=0.85,6,IF(K12&gt;=0.8,4,2))))</f>
        <v>2</v>
      </c>
      <c r="M12" s="14"/>
      <c r="N12" s="14"/>
      <c r="O12" s="14" t="n">
        <f aca="false">IF(N12=0,0,M12/N12)</f>
        <v>0</v>
      </c>
      <c r="P12" s="14" t="n">
        <f aca="false">IF(O12&gt;=1,5,IF(O12&gt;=0.95,4,IF(O12&gt;=0.9,3,IF(O12&gt;=0.85,2,1))))</f>
        <v>1</v>
      </c>
      <c r="Q12" s="14"/>
      <c r="R12" s="14" t="n">
        <f aca="false">IF(Q12=0,0,(D12-Q12)/Q12)</f>
        <v>0</v>
      </c>
      <c r="S12" s="14" t="n">
        <f aca="false">IF(R12&gt;=0.1,5,IF(R12&gt;=0.05,4,IF(R12&gt;=0,3,IF(R12&gt;=-0.05,2,1))))</f>
        <v>3</v>
      </c>
      <c r="T12" s="15" t="n">
        <f aca="false">F12+H12+L12+P12+S12</f>
        <v>22</v>
      </c>
    </row>
    <row r="13" customFormat="false" ht="21.75" hidden="false" customHeight="true" outlineLevel="0" collapsed="false">
      <c r="A13" s="14" t="str">
        <f aca="false">供应商基础信息!B6</f>
        <v>伽玛</v>
      </c>
      <c r="B13" s="14"/>
      <c r="C13" s="14"/>
      <c r="D13" s="14"/>
      <c r="E13" s="14" t="n">
        <f aca="false">IF(C13=0,0,D13/C13)</f>
        <v>0</v>
      </c>
      <c r="F13" s="14" t="n">
        <f aca="false">IF(E13&gt;=1,25,IF(E13&gt;=0.9,E13*25,IF(E13&gt;=0.8,20,IF(E13&gt;=0.7,15,10))))</f>
        <v>10</v>
      </c>
      <c r="G13" s="14"/>
      <c r="H13" s="14" t="n">
        <f aca="false">IF(G13&gt;=1,15,IF(G13&gt;=0.9,G13*15,IF(G13&gt;=0.8,12,IF(G13&gt;=0.7,9,6))))</f>
        <v>6</v>
      </c>
      <c r="I13" s="14"/>
      <c r="J13" s="14"/>
      <c r="K13" s="14" t="n">
        <f aca="false">IF(J13=0,0,I13/J13)</f>
        <v>0</v>
      </c>
      <c r="L13" s="14" t="n">
        <f aca="false">IF(K13&gt;=0.95,10,IF(K13&gt;=0.9,8,IF(K13&gt;=0.85,6,IF(K13&gt;=0.8,4,2))))</f>
        <v>2</v>
      </c>
      <c r="M13" s="14"/>
      <c r="N13" s="14"/>
      <c r="O13" s="14" t="n">
        <f aca="false">IF(N13=0,0,M13/N13)</f>
        <v>0</v>
      </c>
      <c r="P13" s="14" t="n">
        <f aca="false">IF(O13&gt;=1,5,IF(O13&gt;=0.95,4,IF(O13&gt;=0.9,3,IF(O13&gt;=0.85,2,1))))</f>
        <v>1</v>
      </c>
      <c r="Q13" s="14"/>
      <c r="R13" s="14" t="n">
        <f aca="false">IF(Q13=0,0,(D13-Q13)/Q13)</f>
        <v>0</v>
      </c>
      <c r="S13" s="14" t="n">
        <f aca="false">IF(R13&gt;=0.1,5,IF(R13&gt;=0.05,4,IF(R13&gt;=0,3,IF(R13&gt;=-0.05,2,1))))</f>
        <v>3</v>
      </c>
      <c r="T13" s="15" t="n">
        <f aca="false">F13+H13+L13+P13+S13</f>
        <v>22</v>
      </c>
    </row>
    <row r="14" customFormat="false" ht="21.75" hidden="false" customHeight="true" outlineLevel="0" collapsed="false">
      <c r="A14" s="14" t="str">
        <f aca="false">供应商基础信息!B7</f>
        <v>赛维斯</v>
      </c>
      <c r="B14" s="14"/>
      <c r="C14" s="14"/>
      <c r="D14" s="14"/>
      <c r="E14" s="14" t="n">
        <f aca="false">IF(C14=0,0,D14/C14)</f>
        <v>0</v>
      </c>
      <c r="F14" s="14" t="n">
        <f aca="false">IF(E14&gt;=1,25,IF(E14&gt;=0.9,E14*25,IF(E14&gt;=0.8,20,IF(E14&gt;=0.7,15,10))))</f>
        <v>10</v>
      </c>
      <c r="G14" s="14"/>
      <c r="H14" s="14" t="n">
        <f aca="false">IF(G14&gt;=1,15,IF(G14&gt;=0.9,G14*15,IF(G14&gt;=0.8,12,IF(G14&gt;=0.7,9,6))))</f>
        <v>6</v>
      </c>
      <c r="I14" s="14"/>
      <c r="J14" s="14"/>
      <c r="K14" s="14" t="n">
        <f aca="false">IF(J14=0,0,I14/J14)</f>
        <v>0</v>
      </c>
      <c r="L14" s="14" t="n">
        <f aca="false">IF(K14&gt;=0.95,10,IF(K14&gt;=0.9,8,IF(K14&gt;=0.85,6,IF(K14&gt;=0.8,4,2))))</f>
        <v>2</v>
      </c>
      <c r="M14" s="14"/>
      <c r="N14" s="14"/>
      <c r="O14" s="14" t="n">
        <f aca="false">IF(N14=0,0,M14/N14)</f>
        <v>0</v>
      </c>
      <c r="P14" s="14" t="n">
        <f aca="false">IF(O14&gt;=1,5,IF(O14&gt;=0.95,4,IF(O14&gt;=0.9,3,IF(O14&gt;=0.85,2,1))))</f>
        <v>1</v>
      </c>
      <c r="Q14" s="14"/>
      <c r="R14" s="14" t="n">
        <f aca="false">IF(Q14=0,0,(D14-Q14)/Q14)</f>
        <v>0</v>
      </c>
      <c r="S14" s="14" t="n">
        <f aca="false">IF(R14&gt;=0.1,5,IF(R14&gt;=0.05,4,IF(R14&gt;=0,3,IF(R14&gt;=-0.05,2,1))))</f>
        <v>3</v>
      </c>
      <c r="T14" s="15" t="n">
        <f aca="false">F14+H14+L14+P14+S14</f>
        <v>22</v>
      </c>
    </row>
    <row r="15" customFormat="false" ht="21.75" hidden="false" customHeight="true" outlineLevel="0" collapsed="false">
      <c r="A15" s="14" t="str">
        <f aca="false">供应商基础信息!B8</f>
        <v>岐力</v>
      </c>
      <c r="B15" s="14"/>
      <c r="C15" s="14"/>
      <c r="D15" s="14"/>
      <c r="E15" s="14" t="n">
        <f aca="false">IF(C15=0,0,D15/C15)</f>
        <v>0</v>
      </c>
      <c r="F15" s="14" t="n">
        <f aca="false">IF(E15&gt;=1,25,IF(E15&gt;=0.9,E15*25,IF(E15&gt;=0.8,20,IF(E15&gt;=0.7,15,10))))</f>
        <v>10</v>
      </c>
      <c r="G15" s="14"/>
      <c r="H15" s="14" t="n">
        <f aca="false">IF(G15&gt;=1,15,IF(G15&gt;=0.9,G15*15,IF(G15&gt;=0.8,12,IF(G15&gt;=0.7,9,6))))</f>
        <v>6</v>
      </c>
      <c r="I15" s="14"/>
      <c r="J15" s="14"/>
      <c r="K15" s="14" t="n">
        <f aca="false">IF(J15=0,0,I15/J15)</f>
        <v>0</v>
      </c>
      <c r="L15" s="14" t="n">
        <f aca="false">IF(K15&gt;=0.95,10,IF(K15&gt;=0.9,8,IF(K15&gt;=0.85,6,IF(K15&gt;=0.8,4,2))))</f>
        <v>2</v>
      </c>
      <c r="M15" s="14"/>
      <c r="N15" s="14"/>
      <c r="O15" s="14" t="n">
        <f aca="false">IF(N15=0,0,M15/N15)</f>
        <v>0</v>
      </c>
      <c r="P15" s="14" t="n">
        <f aca="false">IF(O15&gt;=1,5,IF(O15&gt;=0.95,4,IF(O15&gt;=0.9,3,IF(O15&gt;=0.85,2,1))))</f>
        <v>1</v>
      </c>
      <c r="Q15" s="14"/>
      <c r="R15" s="14" t="n">
        <f aca="false">IF(Q15=0,0,(D15-Q15)/Q15)</f>
        <v>0</v>
      </c>
      <c r="S15" s="14" t="n">
        <f aca="false">IF(R15&gt;=0.1,5,IF(R15&gt;=0.05,4,IF(R15&gt;=0,3,IF(R15&gt;=-0.05,2,1))))</f>
        <v>3</v>
      </c>
      <c r="T15" s="15" t="n">
        <f aca="false">F15+H15+L15+P15+S15</f>
        <v>22</v>
      </c>
    </row>
    <row r="16" customFormat="false" ht="21.75" hidden="false" customHeight="true" outlineLevel="0" collapsed="false">
      <c r="A16" s="14" t="str">
        <f aca="false">供应商基础信息!B9</f>
        <v>翰锐</v>
      </c>
      <c r="B16" s="14"/>
      <c r="C16" s="14"/>
      <c r="D16" s="14"/>
      <c r="E16" s="14" t="n">
        <f aca="false">IF(C16=0,0,D16/C16)</f>
        <v>0</v>
      </c>
      <c r="F16" s="14" t="n">
        <f aca="false">IF(E16&gt;=1,25,IF(E16&gt;=0.9,E16*25,IF(E16&gt;=0.8,20,IF(E16&gt;=0.7,15,10))))</f>
        <v>10</v>
      </c>
      <c r="G16" s="14"/>
      <c r="H16" s="14" t="n">
        <f aca="false">IF(G16&gt;=1,15,IF(G16&gt;=0.9,G16*15,IF(G16&gt;=0.8,12,IF(G16&gt;=0.7,9,6))))</f>
        <v>6</v>
      </c>
      <c r="I16" s="14"/>
      <c r="J16" s="14"/>
      <c r="K16" s="14" t="n">
        <f aca="false">IF(J16=0,0,I16/J16)</f>
        <v>0</v>
      </c>
      <c r="L16" s="14" t="n">
        <f aca="false">IF(K16&gt;=0.95,10,IF(K16&gt;=0.9,8,IF(K16&gt;=0.85,6,IF(K16&gt;=0.8,4,2))))</f>
        <v>2</v>
      </c>
      <c r="M16" s="14"/>
      <c r="N16" s="14"/>
      <c r="O16" s="14" t="n">
        <f aca="false">IF(N16=0,0,M16/N16)</f>
        <v>0</v>
      </c>
      <c r="P16" s="14" t="n">
        <f aca="false">IF(O16&gt;=1,5,IF(O16&gt;=0.95,4,IF(O16&gt;=0.9,3,IF(O16&gt;=0.85,2,1))))</f>
        <v>1</v>
      </c>
      <c r="Q16" s="14"/>
      <c r="R16" s="14" t="n">
        <f aca="false">IF(Q16=0,0,(D16-Q16)/Q16)</f>
        <v>0</v>
      </c>
      <c r="S16" s="14" t="n">
        <f aca="false">IF(R16&gt;=0.1,5,IF(R16&gt;=0.05,4,IF(R16&gt;=0,3,IF(R16&gt;=-0.05,2,1))))</f>
        <v>3</v>
      </c>
      <c r="T16" s="15" t="n">
        <f aca="false">F16+H16+L16+P16+S16</f>
        <v>22</v>
      </c>
    </row>
    <row r="17" customFormat="false" ht="21.75" hidden="false" customHeight="true" outlineLevel="0" collapsed="false">
      <c r="A17" s="14" t="str">
        <f aca="false">供应商基础信息!B10</f>
        <v>供应商G</v>
      </c>
      <c r="B17" s="14"/>
      <c r="C17" s="14"/>
      <c r="D17" s="14"/>
      <c r="E17" s="14" t="n">
        <f aca="false">IF(C17=0,0,D17/C17)</f>
        <v>0</v>
      </c>
      <c r="F17" s="14" t="n">
        <f aca="false">IF(E17&gt;=1,25,IF(E17&gt;=0.9,E17*25,IF(E17&gt;=0.8,20,IF(E17&gt;=0.7,15,10))))</f>
        <v>10</v>
      </c>
      <c r="G17" s="14"/>
      <c r="H17" s="14" t="n">
        <f aca="false">IF(G17&gt;=1,15,IF(G17&gt;=0.9,G17*15,IF(G17&gt;=0.8,12,IF(G17&gt;=0.7,9,6))))</f>
        <v>6</v>
      </c>
      <c r="I17" s="14"/>
      <c r="J17" s="14"/>
      <c r="K17" s="14" t="n">
        <f aca="false">IF(J17=0,0,I17/J17)</f>
        <v>0</v>
      </c>
      <c r="L17" s="14" t="n">
        <f aca="false">IF(K17&gt;=0.95,10,IF(K17&gt;=0.9,8,IF(K17&gt;=0.85,6,IF(K17&gt;=0.8,4,2))))</f>
        <v>2</v>
      </c>
      <c r="M17" s="14"/>
      <c r="N17" s="14"/>
      <c r="O17" s="14" t="n">
        <f aca="false">IF(N17=0,0,M17/N17)</f>
        <v>0</v>
      </c>
      <c r="P17" s="14" t="n">
        <f aca="false">IF(O17&gt;=1,5,IF(O17&gt;=0.95,4,IF(O17&gt;=0.9,3,IF(O17&gt;=0.85,2,1))))</f>
        <v>1</v>
      </c>
      <c r="Q17" s="14"/>
      <c r="R17" s="14" t="n">
        <f aca="false">IF(Q17=0,0,(D17-Q17)/Q17)</f>
        <v>0</v>
      </c>
      <c r="S17" s="14" t="n">
        <f aca="false">IF(R17&gt;=0.1,5,IF(R17&gt;=0.05,4,IF(R17&gt;=0,3,IF(R17&gt;=-0.05,2,1))))</f>
        <v>3</v>
      </c>
      <c r="T17" s="15" t="n">
        <f aca="false">F17+H17+L17+P17+S17</f>
        <v>22</v>
      </c>
    </row>
    <row r="18" customFormat="false" ht="21.75" hidden="false" customHeight="true" outlineLevel="0" collapsed="false">
      <c r="A18" s="14" t="str">
        <f aca="false">供应商基础信息!B11</f>
        <v>供应商H</v>
      </c>
      <c r="B18" s="14"/>
      <c r="C18" s="14"/>
      <c r="D18" s="14"/>
      <c r="E18" s="14" t="n">
        <f aca="false">IF(C18=0,0,D18/C18)</f>
        <v>0</v>
      </c>
      <c r="F18" s="14" t="n">
        <f aca="false">IF(E18&gt;=1,25,IF(E18&gt;=0.9,E18*25,IF(E18&gt;=0.8,20,IF(E18&gt;=0.7,15,10))))</f>
        <v>10</v>
      </c>
      <c r="G18" s="14"/>
      <c r="H18" s="14" t="n">
        <f aca="false">IF(G18&gt;=1,15,IF(G18&gt;=0.9,G18*15,IF(G18&gt;=0.8,12,IF(G18&gt;=0.7,9,6))))</f>
        <v>6</v>
      </c>
      <c r="I18" s="14"/>
      <c r="J18" s="14"/>
      <c r="K18" s="14" t="n">
        <f aca="false">IF(J18=0,0,I18/J18)</f>
        <v>0</v>
      </c>
      <c r="L18" s="14" t="n">
        <f aca="false">IF(K18&gt;=0.95,10,IF(K18&gt;=0.9,8,IF(K18&gt;=0.85,6,IF(K18&gt;=0.8,4,2))))</f>
        <v>2</v>
      </c>
      <c r="M18" s="14"/>
      <c r="N18" s="14"/>
      <c r="O18" s="14" t="n">
        <f aca="false">IF(N18=0,0,M18/N18)</f>
        <v>0</v>
      </c>
      <c r="P18" s="14" t="n">
        <f aca="false">IF(O18&gt;=1,5,IF(O18&gt;=0.95,4,IF(O18&gt;=0.9,3,IF(O18&gt;=0.85,2,1))))</f>
        <v>1</v>
      </c>
      <c r="Q18" s="14"/>
      <c r="R18" s="14" t="n">
        <f aca="false">IF(Q18=0,0,(D18-Q18)/Q18)</f>
        <v>0</v>
      </c>
      <c r="S18" s="14" t="n">
        <f aca="false">IF(R18&gt;=0.1,5,IF(R18&gt;=0.05,4,IF(R18&gt;=0,3,IF(R18&gt;=-0.05,2,1))))</f>
        <v>3</v>
      </c>
      <c r="T18" s="15" t="n">
        <f aca="false">F18+H18+L18+P18+S18</f>
        <v>22</v>
      </c>
    </row>
    <row r="19" customFormat="false" ht="21.75" hidden="false" customHeight="true" outlineLevel="0" collapsed="false">
      <c r="A19" s="14" t="str">
        <f aca="false">供应商基础信息!B12</f>
        <v>供应商I</v>
      </c>
      <c r="B19" s="14"/>
      <c r="C19" s="14"/>
      <c r="D19" s="14"/>
      <c r="E19" s="14" t="n">
        <f aca="false">IF(C19=0,0,D19/C19)</f>
        <v>0</v>
      </c>
      <c r="F19" s="14" t="n">
        <f aca="false">IF(E19&gt;=1,25,IF(E19&gt;=0.9,E19*25,IF(E19&gt;=0.8,20,IF(E19&gt;=0.7,15,10))))</f>
        <v>10</v>
      </c>
      <c r="G19" s="14"/>
      <c r="H19" s="14" t="n">
        <f aca="false">IF(G19&gt;=1,15,IF(G19&gt;=0.9,G19*15,IF(G19&gt;=0.8,12,IF(G19&gt;=0.7,9,6))))</f>
        <v>6</v>
      </c>
      <c r="I19" s="14"/>
      <c r="J19" s="14"/>
      <c r="K19" s="14" t="n">
        <f aca="false">IF(J19=0,0,I19/J19)</f>
        <v>0</v>
      </c>
      <c r="L19" s="14" t="n">
        <f aca="false">IF(K19&gt;=0.95,10,IF(K19&gt;=0.9,8,IF(K19&gt;=0.85,6,IF(K19&gt;=0.8,4,2))))</f>
        <v>2</v>
      </c>
      <c r="M19" s="14"/>
      <c r="N19" s="14"/>
      <c r="O19" s="14" t="n">
        <f aca="false">IF(N19=0,0,M19/N19)</f>
        <v>0</v>
      </c>
      <c r="P19" s="14" t="n">
        <f aca="false">IF(O19&gt;=1,5,IF(O19&gt;=0.95,4,IF(O19&gt;=0.9,3,IF(O19&gt;=0.85,2,1))))</f>
        <v>1</v>
      </c>
      <c r="Q19" s="14"/>
      <c r="R19" s="14" t="n">
        <f aca="false">IF(Q19=0,0,(D19-Q19)/Q19)</f>
        <v>0</v>
      </c>
      <c r="S19" s="14" t="n">
        <f aca="false">IF(R19&gt;=0.1,5,IF(R19&gt;=0.05,4,IF(R19&gt;=0,3,IF(R19&gt;=-0.05,2,1))))</f>
        <v>3</v>
      </c>
      <c r="T19" s="15" t="n">
        <f aca="false">F19+H19+L19+P19+S19</f>
        <v>22</v>
      </c>
    </row>
    <row r="20" customFormat="false" ht="21.75" hidden="false" customHeight="true" outlineLevel="0" collapsed="false">
      <c r="A20" s="14" t="n">
        <f aca="false">供应商基础信息!B13</f>
        <v>0</v>
      </c>
      <c r="B20" s="14"/>
      <c r="C20" s="14"/>
      <c r="D20" s="14"/>
      <c r="E20" s="14" t="n">
        <f aca="false">IF(C20=0,0,D20/C20)</f>
        <v>0</v>
      </c>
      <c r="F20" s="14" t="n">
        <f aca="false">IF(E20&gt;=1,25,IF(E20&gt;=0.9,E20*25,IF(E20&gt;=0.8,20,IF(E20&gt;=0.7,15,10))))</f>
        <v>10</v>
      </c>
      <c r="G20" s="14"/>
      <c r="H20" s="14" t="n">
        <f aca="false">IF(G20&gt;=1,15,IF(G20&gt;=0.9,G20*15,IF(G20&gt;=0.8,12,IF(G20&gt;=0.7,9,6))))</f>
        <v>6</v>
      </c>
      <c r="I20" s="14"/>
      <c r="J20" s="14"/>
      <c r="K20" s="14" t="n">
        <f aca="false">IF(J20=0,0,I20/J20)</f>
        <v>0</v>
      </c>
      <c r="L20" s="14" t="n">
        <f aca="false">IF(K20&gt;=0.95,10,IF(K20&gt;=0.9,8,IF(K20&gt;=0.85,6,IF(K20&gt;=0.8,4,2))))</f>
        <v>2</v>
      </c>
      <c r="M20" s="14"/>
      <c r="N20" s="14"/>
      <c r="O20" s="14" t="n">
        <f aca="false">IF(N20=0,0,M20/N20)</f>
        <v>0</v>
      </c>
      <c r="P20" s="14" t="n">
        <f aca="false">IF(O20&gt;=1,5,IF(O20&gt;=0.95,4,IF(O20&gt;=0.9,3,IF(O20&gt;=0.85,2,1))))</f>
        <v>1</v>
      </c>
      <c r="Q20" s="14"/>
      <c r="R20" s="14" t="n">
        <f aca="false">IF(Q20=0,0,(D20-Q20)/Q20)</f>
        <v>0</v>
      </c>
      <c r="S20" s="14" t="n">
        <f aca="false">IF(R20&gt;=0.1,5,IF(R20&gt;=0.05,4,IF(R20&gt;=0,3,IF(R20&gt;=-0.05,2,1))))</f>
        <v>3</v>
      </c>
      <c r="T20" s="15" t="n">
        <f aca="false">F20+H20+L20+P20+S20</f>
        <v>22</v>
      </c>
    </row>
    <row r="21" customFormat="false" ht="21.75" hidden="false" customHeight="true" outlineLevel="0" collapsed="false">
      <c r="A21" s="14" t="n">
        <f aca="false">供应商基础信息!B14</f>
        <v>0</v>
      </c>
      <c r="B21" s="14"/>
      <c r="C21" s="14"/>
      <c r="D21" s="14"/>
      <c r="E21" s="14" t="n">
        <f aca="false">IF(C21=0,0,D21/C21)</f>
        <v>0</v>
      </c>
      <c r="F21" s="14" t="n">
        <f aca="false">IF(E21&gt;=1,25,IF(E21&gt;=0.9,E21*25,IF(E21&gt;=0.8,20,IF(E21&gt;=0.7,15,10))))</f>
        <v>10</v>
      </c>
      <c r="G21" s="14"/>
      <c r="H21" s="14" t="n">
        <f aca="false">IF(G21&gt;=1,15,IF(G21&gt;=0.9,G21*15,IF(G21&gt;=0.8,12,IF(G21&gt;=0.7,9,6))))</f>
        <v>6</v>
      </c>
      <c r="I21" s="14"/>
      <c r="J21" s="14"/>
      <c r="K21" s="14" t="n">
        <f aca="false">IF(J21=0,0,I21/J21)</f>
        <v>0</v>
      </c>
      <c r="L21" s="14" t="n">
        <f aca="false">IF(K21&gt;=0.95,10,IF(K21&gt;=0.9,8,IF(K21&gt;=0.85,6,IF(K21&gt;=0.8,4,2))))</f>
        <v>2</v>
      </c>
      <c r="M21" s="14"/>
      <c r="N21" s="14"/>
      <c r="O21" s="14" t="n">
        <f aca="false">IF(N21=0,0,M21/N21)</f>
        <v>0</v>
      </c>
      <c r="P21" s="14" t="n">
        <f aca="false">IF(O21&gt;=1,5,IF(O21&gt;=0.95,4,IF(O21&gt;=0.9,3,IF(O21&gt;=0.85,2,1))))</f>
        <v>1</v>
      </c>
      <c r="Q21" s="14"/>
      <c r="R21" s="14" t="n">
        <f aca="false">IF(Q21=0,0,(D21-Q21)/Q21)</f>
        <v>0</v>
      </c>
      <c r="S21" s="14" t="n">
        <f aca="false">IF(R21&gt;=0.1,5,IF(R21&gt;=0.05,4,IF(R21&gt;=0,3,IF(R21&gt;=-0.05,2,1))))</f>
        <v>3</v>
      </c>
      <c r="T21" s="15" t="n">
        <f aca="false">F21+H21+L21+P21+S21</f>
        <v>22</v>
      </c>
    </row>
    <row r="22" customFormat="false" ht="21.75" hidden="false" customHeight="true" outlineLevel="0" collapsed="false">
      <c r="A22" s="14" t="n">
        <f aca="false">供应商基础信息!B15</f>
        <v>0</v>
      </c>
      <c r="B22" s="14"/>
      <c r="C22" s="14"/>
      <c r="D22" s="14"/>
      <c r="E22" s="14" t="n">
        <f aca="false">IF(C22=0,0,D22/C22)</f>
        <v>0</v>
      </c>
      <c r="F22" s="14" t="n">
        <f aca="false">IF(E22&gt;=1,25,IF(E22&gt;=0.9,E22*25,IF(E22&gt;=0.8,20,IF(E22&gt;=0.7,15,10))))</f>
        <v>10</v>
      </c>
      <c r="G22" s="14"/>
      <c r="H22" s="14" t="n">
        <f aca="false">IF(G22&gt;=1,15,IF(G22&gt;=0.9,G22*15,IF(G22&gt;=0.8,12,IF(G22&gt;=0.7,9,6))))</f>
        <v>6</v>
      </c>
      <c r="I22" s="14"/>
      <c r="J22" s="14"/>
      <c r="K22" s="14" t="n">
        <f aca="false">IF(J22=0,0,I22/J22)</f>
        <v>0</v>
      </c>
      <c r="L22" s="14" t="n">
        <f aca="false">IF(K22&gt;=0.95,10,IF(K22&gt;=0.9,8,IF(K22&gt;=0.85,6,IF(K22&gt;=0.8,4,2))))</f>
        <v>2</v>
      </c>
      <c r="M22" s="14"/>
      <c r="N22" s="14"/>
      <c r="O22" s="14" t="n">
        <f aca="false">IF(N22=0,0,M22/N22)</f>
        <v>0</v>
      </c>
      <c r="P22" s="14" t="n">
        <f aca="false">IF(O22&gt;=1,5,IF(O22&gt;=0.95,4,IF(O22&gt;=0.9,3,IF(O22&gt;=0.85,2,1))))</f>
        <v>1</v>
      </c>
      <c r="Q22" s="14"/>
      <c r="R22" s="14" t="n">
        <f aca="false">IF(Q22=0,0,(D22-Q22)/Q22)</f>
        <v>0</v>
      </c>
      <c r="S22" s="14" t="n">
        <f aca="false">IF(R22&gt;=0.1,5,IF(R22&gt;=0.05,4,IF(R22&gt;=0,3,IF(R22&gt;=-0.05,2,1))))</f>
        <v>3</v>
      </c>
      <c r="T22" s="15" t="n">
        <f aca="false">F22+H22+L22+P22+S22</f>
        <v>22</v>
      </c>
    </row>
    <row r="23" customFormat="false" ht="21.75" hidden="false" customHeight="true" outlineLevel="0" collapsed="false">
      <c r="A23" s="14" t="n">
        <f aca="false">供应商基础信息!B16</f>
        <v>0</v>
      </c>
      <c r="B23" s="14"/>
      <c r="C23" s="14"/>
      <c r="D23" s="14"/>
      <c r="E23" s="14" t="n">
        <f aca="false">IF(C23=0,0,D23/C23)</f>
        <v>0</v>
      </c>
      <c r="F23" s="14" t="n">
        <f aca="false">IF(E23&gt;=1,25,IF(E23&gt;=0.9,E23*25,IF(E23&gt;=0.8,20,IF(E23&gt;=0.7,15,10))))</f>
        <v>10</v>
      </c>
      <c r="G23" s="14"/>
      <c r="H23" s="14" t="n">
        <f aca="false">IF(G23&gt;=1,15,IF(G23&gt;=0.9,G23*15,IF(G23&gt;=0.8,12,IF(G23&gt;=0.7,9,6))))</f>
        <v>6</v>
      </c>
      <c r="I23" s="14"/>
      <c r="J23" s="14"/>
      <c r="K23" s="14" t="n">
        <f aca="false">IF(J23=0,0,I23/J23)</f>
        <v>0</v>
      </c>
      <c r="L23" s="14" t="n">
        <f aca="false">IF(K23&gt;=0.95,10,IF(K23&gt;=0.9,8,IF(K23&gt;=0.85,6,IF(K23&gt;=0.8,4,2))))</f>
        <v>2</v>
      </c>
      <c r="M23" s="14"/>
      <c r="N23" s="14"/>
      <c r="O23" s="14" t="n">
        <f aca="false">IF(N23=0,0,M23/N23)</f>
        <v>0</v>
      </c>
      <c r="P23" s="14" t="n">
        <f aca="false">IF(O23&gt;=1,5,IF(O23&gt;=0.95,4,IF(O23&gt;=0.9,3,IF(O23&gt;=0.85,2,1))))</f>
        <v>1</v>
      </c>
      <c r="Q23" s="14"/>
      <c r="R23" s="14" t="n">
        <f aca="false">IF(Q23=0,0,(D23-Q23)/Q23)</f>
        <v>0</v>
      </c>
      <c r="S23" s="14" t="n">
        <f aca="false">IF(R23&gt;=0.1,5,IF(R23&gt;=0.05,4,IF(R23&gt;=0,3,IF(R23&gt;=-0.05,2,1))))</f>
        <v>3</v>
      </c>
      <c r="T23" s="15" t="n">
        <f aca="false">F23+H23+L23+P23+S23</f>
        <v>22</v>
      </c>
    </row>
    <row r="24" customFormat="false" ht="21.75" hidden="false" customHeight="true" outlineLevel="0" collapsed="false">
      <c r="A24" s="14" t="n">
        <f aca="false">供应商基础信息!B17</f>
        <v>0</v>
      </c>
      <c r="B24" s="14"/>
      <c r="C24" s="14"/>
      <c r="D24" s="14"/>
      <c r="E24" s="14" t="n">
        <f aca="false">IF(C24=0,0,D24/C24)</f>
        <v>0</v>
      </c>
      <c r="F24" s="14" t="n">
        <f aca="false">IF(E24&gt;=1,25,IF(E24&gt;=0.9,E24*25,IF(E24&gt;=0.8,20,IF(E24&gt;=0.7,15,10))))</f>
        <v>10</v>
      </c>
      <c r="G24" s="14"/>
      <c r="H24" s="14" t="n">
        <f aca="false">IF(G24&gt;=1,15,IF(G24&gt;=0.9,G24*15,IF(G24&gt;=0.8,12,IF(G24&gt;=0.7,9,6))))</f>
        <v>6</v>
      </c>
      <c r="I24" s="14"/>
      <c r="J24" s="14"/>
      <c r="K24" s="14" t="n">
        <f aca="false">IF(J24=0,0,I24/J24)</f>
        <v>0</v>
      </c>
      <c r="L24" s="14" t="n">
        <f aca="false">IF(K24&gt;=0.95,10,IF(K24&gt;=0.9,8,IF(K24&gt;=0.85,6,IF(K24&gt;=0.8,4,2))))</f>
        <v>2</v>
      </c>
      <c r="M24" s="14"/>
      <c r="N24" s="14"/>
      <c r="O24" s="14" t="n">
        <f aca="false">IF(N24=0,0,M24/N24)</f>
        <v>0</v>
      </c>
      <c r="P24" s="14" t="n">
        <f aca="false">IF(O24&gt;=1,5,IF(O24&gt;=0.95,4,IF(O24&gt;=0.9,3,IF(O24&gt;=0.85,2,1))))</f>
        <v>1</v>
      </c>
      <c r="Q24" s="14"/>
      <c r="R24" s="14" t="n">
        <f aca="false">IF(Q24=0,0,(D24-Q24)/Q24)</f>
        <v>0</v>
      </c>
      <c r="S24" s="14" t="n">
        <f aca="false">IF(R24&gt;=0.1,5,IF(R24&gt;=0.05,4,IF(R24&gt;=0,3,IF(R24&gt;=-0.05,2,1))))</f>
        <v>3</v>
      </c>
      <c r="T24" s="15" t="n">
        <f aca="false">F24+H24+L24+P24+S24</f>
        <v>22</v>
      </c>
    </row>
    <row r="25" customFormat="false" ht="21.75" hidden="false" customHeight="true" outlineLevel="0" collapsed="false">
      <c r="A25" s="14" t="n">
        <f aca="false">供应商基础信息!B18</f>
        <v>0</v>
      </c>
      <c r="B25" s="14"/>
      <c r="C25" s="14"/>
      <c r="D25" s="14"/>
      <c r="E25" s="14" t="n">
        <f aca="false">IF(C25=0,0,D25/C25)</f>
        <v>0</v>
      </c>
      <c r="F25" s="14" t="n">
        <f aca="false">IF(E25&gt;=1,25,IF(E25&gt;=0.9,E25*25,IF(E25&gt;=0.8,20,IF(E25&gt;=0.7,15,10))))</f>
        <v>10</v>
      </c>
      <c r="G25" s="14"/>
      <c r="H25" s="14" t="n">
        <f aca="false">IF(G25&gt;=1,15,IF(G25&gt;=0.9,G25*15,IF(G25&gt;=0.8,12,IF(G25&gt;=0.7,9,6))))</f>
        <v>6</v>
      </c>
      <c r="I25" s="14"/>
      <c r="J25" s="14"/>
      <c r="K25" s="14" t="n">
        <f aca="false">IF(J25=0,0,I25/J25)</f>
        <v>0</v>
      </c>
      <c r="L25" s="14" t="n">
        <f aca="false">IF(K25&gt;=0.95,10,IF(K25&gt;=0.9,8,IF(K25&gt;=0.85,6,IF(K25&gt;=0.8,4,2))))</f>
        <v>2</v>
      </c>
      <c r="M25" s="14"/>
      <c r="N25" s="14"/>
      <c r="O25" s="14" t="n">
        <f aca="false">IF(N25=0,0,M25/N25)</f>
        <v>0</v>
      </c>
      <c r="P25" s="14" t="n">
        <f aca="false">IF(O25&gt;=1,5,IF(O25&gt;=0.95,4,IF(O25&gt;=0.9,3,IF(O25&gt;=0.85,2,1))))</f>
        <v>1</v>
      </c>
      <c r="Q25" s="14"/>
      <c r="R25" s="14" t="n">
        <f aca="false">IF(Q25=0,0,(D25-Q25)/Q25)</f>
        <v>0</v>
      </c>
      <c r="S25" s="14" t="n">
        <f aca="false">IF(R25&gt;=0.1,5,IF(R25&gt;=0.05,4,IF(R25&gt;=0,3,IF(R25&gt;=-0.05,2,1))))</f>
        <v>3</v>
      </c>
      <c r="T25" s="15" t="n">
        <f aca="false">F25+H25+L25+P25+S25</f>
        <v>22</v>
      </c>
    </row>
    <row r="26" customFormat="false" ht="21.75" hidden="false" customHeight="true" outlineLevel="0" collapsed="false">
      <c r="A26" s="14" t="n">
        <f aca="false">供应商基础信息!B19</f>
        <v>0</v>
      </c>
      <c r="B26" s="14"/>
      <c r="C26" s="14"/>
      <c r="D26" s="14"/>
      <c r="E26" s="14" t="n">
        <f aca="false">IF(C26=0,0,D26/C26)</f>
        <v>0</v>
      </c>
      <c r="F26" s="14" t="n">
        <f aca="false">IF(E26&gt;=1,25,IF(E26&gt;=0.9,E26*25,IF(E26&gt;=0.8,20,IF(E26&gt;=0.7,15,10))))</f>
        <v>10</v>
      </c>
      <c r="G26" s="14"/>
      <c r="H26" s="14" t="n">
        <f aca="false">IF(G26&gt;=1,15,IF(G26&gt;=0.9,G26*15,IF(G26&gt;=0.8,12,IF(G26&gt;=0.7,9,6))))</f>
        <v>6</v>
      </c>
      <c r="I26" s="14"/>
      <c r="J26" s="14"/>
      <c r="K26" s="14" t="n">
        <f aca="false">IF(J26=0,0,I26/J26)</f>
        <v>0</v>
      </c>
      <c r="L26" s="14" t="n">
        <f aca="false">IF(K26&gt;=0.95,10,IF(K26&gt;=0.9,8,IF(K26&gt;=0.85,6,IF(K26&gt;=0.8,4,2))))</f>
        <v>2</v>
      </c>
      <c r="M26" s="14"/>
      <c r="N26" s="14"/>
      <c r="O26" s="14" t="n">
        <f aca="false">IF(N26=0,0,M26/N26)</f>
        <v>0</v>
      </c>
      <c r="P26" s="14" t="n">
        <f aca="false">IF(O26&gt;=1,5,IF(O26&gt;=0.95,4,IF(O26&gt;=0.9,3,IF(O26&gt;=0.85,2,1))))</f>
        <v>1</v>
      </c>
      <c r="Q26" s="14"/>
      <c r="R26" s="14" t="n">
        <f aca="false">IF(Q26=0,0,(D26-Q26)/Q26)</f>
        <v>0</v>
      </c>
      <c r="S26" s="14" t="n">
        <f aca="false">IF(R26&gt;=0.1,5,IF(R26&gt;=0.05,4,IF(R26&gt;=0,3,IF(R26&gt;=-0.05,2,1))))</f>
        <v>3</v>
      </c>
      <c r="T26" s="15" t="n">
        <f aca="false">F26+H26+L26+P26+S26</f>
        <v>22</v>
      </c>
    </row>
    <row r="27" customFormat="false" ht="21.75" hidden="false" customHeight="true" outlineLevel="0" collapsed="false">
      <c r="A27" s="14" t="n">
        <f aca="false">供应商基础信息!B20</f>
        <v>0</v>
      </c>
      <c r="B27" s="14"/>
      <c r="C27" s="14"/>
      <c r="D27" s="14"/>
      <c r="E27" s="14" t="n">
        <f aca="false">IF(C27=0,0,D27/C27)</f>
        <v>0</v>
      </c>
      <c r="F27" s="14" t="n">
        <f aca="false">IF(E27&gt;=1,25,IF(E27&gt;=0.9,E27*25,IF(E27&gt;=0.8,20,IF(E27&gt;=0.7,15,10))))</f>
        <v>10</v>
      </c>
      <c r="G27" s="14"/>
      <c r="H27" s="14" t="n">
        <f aca="false">IF(G27&gt;=1,15,IF(G27&gt;=0.9,G27*15,IF(G27&gt;=0.8,12,IF(G27&gt;=0.7,9,6))))</f>
        <v>6</v>
      </c>
      <c r="I27" s="14"/>
      <c r="J27" s="14"/>
      <c r="K27" s="14" t="n">
        <f aca="false">IF(J27=0,0,I27/J27)</f>
        <v>0</v>
      </c>
      <c r="L27" s="14" t="n">
        <f aca="false">IF(K27&gt;=0.95,10,IF(K27&gt;=0.9,8,IF(K27&gt;=0.85,6,IF(K27&gt;=0.8,4,2))))</f>
        <v>2</v>
      </c>
      <c r="M27" s="14"/>
      <c r="N27" s="14"/>
      <c r="O27" s="14" t="n">
        <f aca="false">IF(N27=0,0,M27/N27)</f>
        <v>0</v>
      </c>
      <c r="P27" s="14" t="n">
        <f aca="false">IF(O27&gt;=1,5,IF(O27&gt;=0.95,4,IF(O27&gt;=0.9,3,IF(O27&gt;=0.85,2,1))))</f>
        <v>1</v>
      </c>
      <c r="Q27" s="14"/>
      <c r="R27" s="14" t="n">
        <f aca="false">IF(Q27=0,0,(D27-Q27)/Q27)</f>
        <v>0</v>
      </c>
      <c r="S27" s="14" t="n">
        <f aca="false">IF(R27&gt;=0.1,5,IF(R27&gt;=0.05,4,IF(R27&gt;=0,3,IF(R27&gt;=-0.05,2,1))))</f>
        <v>3</v>
      </c>
      <c r="T27" s="15" t="n">
        <f aca="false">F27+H27+L27+P27+S27</f>
        <v>22</v>
      </c>
    </row>
    <row r="28" customFormat="false" ht="21.75" hidden="false" customHeight="true" outlineLevel="0" collapsed="false">
      <c r="A28" s="14" t="n">
        <f aca="false">供应商基础信息!B21</f>
        <v>0</v>
      </c>
      <c r="B28" s="14"/>
      <c r="C28" s="14"/>
      <c r="D28" s="14"/>
      <c r="E28" s="14" t="n">
        <f aca="false">IF(C28=0,0,D28/C28)</f>
        <v>0</v>
      </c>
      <c r="F28" s="14" t="n">
        <f aca="false">IF(E28&gt;=1,25,IF(E28&gt;=0.9,E28*25,IF(E28&gt;=0.8,20,IF(E28&gt;=0.7,15,10))))</f>
        <v>10</v>
      </c>
      <c r="G28" s="14"/>
      <c r="H28" s="14" t="n">
        <f aca="false">IF(G28&gt;=1,15,IF(G28&gt;=0.9,G28*15,IF(G28&gt;=0.8,12,IF(G28&gt;=0.7,9,6))))</f>
        <v>6</v>
      </c>
      <c r="I28" s="14"/>
      <c r="J28" s="14"/>
      <c r="K28" s="14" t="n">
        <f aca="false">IF(J28=0,0,I28/J28)</f>
        <v>0</v>
      </c>
      <c r="L28" s="14" t="n">
        <f aca="false">IF(K28&gt;=0.95,10,IF(K28&gt;=0.9,8,IF(K28&gt;=0.85,6,IF(K28&gt;=0.8,4,2))))</f>
        <v>2</v>
      </c>
      <c r="M28" s="14"/>
      <c r="N28" s="14"/>
      <c r="O28" s="14" t="n">
        <f aca="false">IF(N28=0,0,M28/N28)</f>
        <v>0</v>
      </c>
      <c r="P28" s="14" t="n">
        <f aca="false">IF(O28&gt;=1,5,IF(O28&gt;=0.95,4,IF(O28&gt;=0.9,3,IF(O28&gt;=0.85,2,1))))</f>
        <v>1</v>
      </c>
      <c r="Q28" s="14"/>
      <c r="R28" s="14" t="n">
        <f aca="false">IF(Q28=0,0,(D28-Q28)/Q28)</f>
        <v>0</v>
      </c>
      <c r="S28" s="14" t="n">
        <f aca="false">IF(R28&gt;=0.1,5,IF(R28&gt;=0.05,4,IF(R28&gt;=0,3,IF(R28&gt;=-0.05,2,1))))</f>
        <v>3</v>
      </c>
      <c r="T28" s="15" t="n">
        <f aca="false">F28+H28+L28+P28+S28</f>
        <v>22</v>
      </c>
    </row>
    <row r="29" customFormat="false" ht="21.75" hidden="false" customHeight="true" outlineLevel="0" collapsed="false">
      <c r="A29" s="14" t="n">
        <f aca="false">供应商基础信息!B22</f>
        <v>0</v>
      </c>
      <c r="B29" s="14"/>
      <c r="C29" s="14"/>
      <c r="D29" s="14"/>
      <c r="E29" s="14" t="n">
        <f aca="false">IF(C29=0,0,D29/C29)</f>
        <v>0</v>
      </c>
      <c r="F29" s="14" t="n">
        <f aca="false">IF(E29&gt;=1,25,IF(E29&gt;=0.9,E29*25,IF(E29&gt;=0.8,20,IF(E29&gt;=0.7,15,10))))</f>
        <v>10</v>
      </c>
      <c r="G29" s="14"/>
      <c r="H29" s="14" t="n">
        <f aca="false">IF(G29&gt;=1,15,IF(G29&gt;=0.9,G29*15,IF(G29&gt;=0.8,12,IF(G29&gt;=0.7,9,6))))</f>
        <v>6</v>
      </c>
      <c r="I29" s="14"/>
      <c r="J29" s="14"/>
      <c r="K29" s="14" t="n">
        <f aca="false">IF(J29=0,0,I29/J29)</f>
        <v>0</v>
      </c>
      <c r="L29" s="14" t="n">
        <f aca="false">IF(K29&gt;=0.95,10,IF(K29&gt;=0.9,8,IF(K29&gt;=0.85,6,IF(K29&gt;=0.8,4,2))))</f>
        <v>2</v>
      </c>
      <c r="M29" s="14"/>
      <c r="N29" s="14"/>
      <c r="O29" s="14" t="n">
        <f aca="false">IF(N29=0,0,M29/N29)</f>
        <v>0</v>
      </c>
      <c r="P29" s="14" t="n">
        <f aca="false">IF(O29&gt;=1,5,IF(O29&gt;=0.95,4,IF(O29&gt;=0.9,3,IF(O29&gt;=0.85,2,1))))</f>
        <v>1</v>
      </c>
      <c r="Q29" s="14"/>
      <c r="R29" s="14" t="n">
        <f aca="false">IF(Q29=0,0,(D29-Q29)/Q29)</f>
        <v>0</v>
      </c>
      <c r="S29" s="14" t="n">
        <f aca="false">IF(R29&gt;=0.1,5,IF(R29&gt;=0.05,4,IF(R29&gt;=0,3,IF(R29&gt;=-0.05,2,1))))</f>
        <v>3</v>
      </c>
      <c r="T29" s="15" t="n">
        <f aca="false">F29+H29+L29+P29+S29</f>
        <v>22</v>
      </c>
    </row>
    <row r="30" customFormat="false" ht="21.75" hidden="false" customHeight="true" outlineLevel="0" collapsed="false">
      <c r="A30" s="14" t="n">
        <f aca="false">供应商基础信息!B23</f>
        <v>0</v>
      </c>
      <c r="B30" s="14"/>
      <c r="C30" s="14"/>
      <c r="D30" s="14"/>
      <c r="E30" s="14" t="n">
        <f aca="false">IF(C30=0,0,D30/C30)</f>
        <v>0</v>
      </c>
      <c r="F30" s="14" t="n">
        <f aca="false">IF(E30&gt;=1,25,IF(E30&gt;=0.9,E30*25,IF(E30&gt;=0.8,20,IF(E30&gt;=0.7,15,10))))</f>
        <v>10</v>
      </c>
      <c r="G30" s="14"/>
      <c r="H30" s="14" t="n">
        <f aca="false">IF(G30&gt;=1,15,IF(G30&gt;=0.9,G30*15,IF(G30&gt;=0.8,12,IF(G30&gt;=0.7,9,6))))</f>
        <v>6</v>
      </c>
      <c r="I30" s="14"/>
      <c r="J30" s="14"/>
      <c r="K30" s="14" t="n">
        <f aca="false">IF(J30=0,0,I30/J30)</f>
        <v>0</v>
      </c>
      <c r="L30" s="14" t="n">
        <f aca="false">IF(K30&gt;=0.95,10,IF(K30&gt;=0.9,8,IF(K30&gt;=0.85,6,IF(K30&gt;=0.8,4,2))))</f>
        <v>2</v>
      </c>
      <c r="M30" s="14"/>
      <c r="N30" s="14"/>
      <c r="O30" s="14" t="n">
        <f aca="false">IF(N30=0,0,M30/N30)</f>
        <v>0</v>
      </c>
      <c r="P30" s="14" t="n">
        <f aca="false">IF(O30&gt;=1,5,IF(O30&gt;=0.95,4,IF(O30&gt;=0.9,3,IF(O30&gt;=0.85,2,1))))</f>
        <v>1</v>
      </c>
      <c r="Q30" s="14"/>
      <c r="R30" s="14" t="n">
        <f aca="false">IF(Q30=0,0,(D30-Q30)/Q30)</f>
        <v>0</v>
      </c>
      <c r="S30" s="14" t="n">
        <f aca="false">IF(R30&gt;=0.1,5,IF(R30&gt;=0.05,4,IF(R30&gt;=0,3,IF(R30&gt;=-0.05,2,1))))</f>
        <v>3</v>
      </c>
      <c r="T30" s="15" t="n">
        <f aca="false">F30+H30+L30+P30+S30</f>
        <v>22</v>
      </c>
    </row>
    <row r="31" customFormat="false" ht="21.75" hidden="false" customHeight="true" outlineLevel="0" collapsed="false">
      <c r="A31" s="14" t="n">
        <f aca="false">供应商基础信息!B24</f>
        <v>0</v>
      </c>
      <c r="B31" s="14"/>
      <c r="C31" s="14"/>
      <c r="D31" s="14"/>
      <c r="E31" s="14" t="n">
        <f aca="false">IF(C31=0,0,D31/C31)</f>
        <v>0</v>
      </c>
      <c r="F31" s="14" t="n">
        <f aca="false">IF(E31&gt;=1,25,IF(E31&gt;=0.9,E31*25,IF(E31&gt;=0.8,20,IF(E31&gt;=0.7,15,10))))</f>
        <v>10</v>
      </c>
      <c r="G31" s="14"/>
      <c r="H31" s="14" t="n">
        <f aca="false">IF(G31&gt;=1,15,IF(G31&gt;=0.9,G31*15,IF(G31&gt;=0.8,12,IF(G31&gt;=0.7,9,6))))</f>
        <v>6</v>
      </c>
      <c r="I31" s="14"/>
      <c r="J31" s="14"/>
      <c r="K31" s="14" t="n">
        <f aca="false">IF(J31=0,0,I31/J31)</f>
        <v>0</v>
      </c>
      <c r="L31" s="14" t="n">
        <f aca="false">IF(K31&gt;=0.95,10,IF(K31&gt;=0.9,8,IF(K31&gt;=0.85,6,IF(K31&gt;=0.8,4,2))))</f>
        <v>2</v>
      </c>
      <c r="M31" s="14"/>
      <c r="N31" s="14"/>
      <c r="O31" s="14" t="n">
        <f aca="false">IF(N31=0,0,M31/N31)</f>
        <v>0</v>
      </c>
      <c r="P31" s="14" t="n">
        <f aca="false">IF(O31&gt;=1,5,IF(O31&gt;=0.95,4,IF(O31&gt;=0.9,3,IF(O31&gt;=0.85,2,1))))</f>
        <v>1</v>
      </c>
      <c r="Q31" s="14"/>
      <c r="R31" s="14" t="n">
        <f aca="false">IF(Q31=0,0,(D31-Q31)/Q31)</f>
        <v>0</v>
      </c>
      <c r="S31" s="14" t="n">
        <f aca="false">IF(R31&gt;=0.1,5,IF(R31&gt;=0.05,4,IF(R31&gt;=0,3,IF(R31&gt;=-0.05,2,1))))</f>
        <v>3</v>
      </c>
      <c r="T31" s="15" t="n">
        <f aca="false">F31+H31+L31+P31+S31</f>
        <v>22</v>
      </c>
    </row>
    <row r="32" customFormat="false" ht="21.75" hidden="false" customHeight="true" outlineLevel="0" collapsed="false">
      <c r="A32" s="14" t="n">
        <f aca="false">供应商基础信息!B25</f>
        <v>0</v>
      </c>
      <c r="B32" s="14"/>
      <c r="C32" s="14"/>
      <c r="D32" s="14"/>
      <c r="E32" s="14" t="n">
        <f aca="false">IF(C32=0,0,D32/C32)</f>
        <v>0</v>
      </c>
      <c r="F32" s="14" t="n">
        <f aca="false">IF(E32&gt;=1,25,IF(E32&gt;=0.9,E32*25,IF(E32&gt;=0.8,20,IF(E32&gt;=0.7,15,10))))</f>
        <v>10</v>
      </c>
      <c r="G32" s="14"/>
      <c r="H32" s="14" t="n">
        <f aca="false">IF(G32&gt;=1,15,IF(G32&gt;=0.9,G32*15,IF(G32&gt;=0.8,12,IF(G32&gt;=0.7,9,6))))</f>
        <v>6</v>
      </c>
      <c r="I32" s="14"/>
      <c r="J32" s="14"/>
      <c r="K32" s="14" t="n">
        <f aca="false">IF(J32=0,0,I32/J32)</f>
        <v>0</v>
      </c>
      <c r="L32" s="14" t="n">
        <f aca="false">IF(K32&gt;=0.95,10,IF(K32&gt;=0.9,8,IF(K32&gt;=0.85,6,IF(K32&gt;=0.8,4,2))))</f>
        <v>2</v>
      </c>
      <c r="M32" s="14"/>
      <c r="N32" s="14"/>
      <c r="O32" s="14" t="n">
        <f aca="false">IF(N32=0,0,M32/N32)</f>
        <v>0</v>
      </c>
      <c r="P32" s="14" t="n">
        <f aca="false">IF(O32&gt;=1,5,IF(O32&gt;=0.95,4,IF(O32&gt;=0.9,3,IF(O32&gt;=0.85,2,1))))</f>
        <v>1</v>
      </c>
      <c r="Q32" s="14"/>
      <c r="R32" s="14" t="n">
        <f aca="false">IF(Q32=0,0,(D32-Q32)/Q32)</f>
        <v>0</v>
      </c>
      <c r="S32" s="14" t="n">
        <f aca="false">IF(R32&gt;=0.1,5,IF(R32&gt;=0.05,4,IF(R32&gt;=0,3,IF(R32&gt;=-0.05,2,1))))</f>
        <v>3</v>
      </c>
      <c r="T32" s="15" t="n">
        <f aca="false">F32+H32+L32+P32+S32</f>
        <v>22</v>
      </c>
    </row>
    <row r="33" customFormat="false" ht="21.75" hidden="false" customHeight="true" outlineLevel="0" collapsed="false">
      <c r="A33" s="14" t="n">
        <f aca="false">供应商基础信息!B26</f>
        <v>0</v>
      </c>
      <c r="B33" s="14"/>
      <c r="C33" s="14"/>
      <c r="D33" s="14"/>
      <c r="E33" s="14" t="n">
        <f aca="false">IF(C33=0,0,D33/C33)</f>
        <v>0</v>
      </c>
      <c r="F33" s="14" t="n">
        <f aca="false">IF(E33&gt;=1,25,IF(E33&gt;=0.9,E33*25,IF(E33&gt;=0.8,20,IF(E33&gt;=0.7,15,10))))</f>
        <v>10</v>
      </c>
      <c r="G33" s="14"/>
      <c r="H33" s="14" t="n">
        <f aca="false">IF(G33&gt;=1,15,IF(G33&gt;=0.9,G33*15,IF(G33&gt;=0.8,12,IF(G33&gt;=0.7,9,6))))</f>
        <v>6</v>
      </c>
      <c r="I33" s="14"/>
      <c r="J33" s="14"/>
      <c r="K33" s="14" t="n">
        <f aca="false">IF(J33=0,0,I33/J33)</f>
        <v>0</v>
      </c>
      <c r="L33" s="14" t="n">
        <f aca="false">IF(K33&gt;=0.95,10,IF(K33&gt;=0.9,8,IF(K33&gt;=0.85,6,IF(K33&gt;=0.8,4,2))))</f>
        <v>2</v>
      </c>
      <c r="M33" s="14"/>
      <c r="N33" s="14"/>
      <c r="O33" s="14" t="n">
        <f aca="false">IF(N33=0,0,M33/N33)</f>
        <v>0</v>
      </c>
      <c r="P33" s="14" t="n">
        <f aca="false">IF(O33&gt;=1,5,IF(O33&gt;=0.95,4,IF(O33&gt;=0.9,3,IF(O33&gt;=0.85,2,1))))</f>
        <v>1</v>
      </c>
      <c r="Q33" s="14"/>
      <c r="R33" s="14" t="n">
        <f aca="false">IF(Q33=0,0,(D33-Q33)/Q33)</f>
        <v>0</v>
      </c>
      <c r="S33" s="14" t="n">
        <f aca="false">IF(R33&gt;=0.1,5,IF(R33&gt;=0.05,4,IF(R33&gt;=0,3,IF(R33&gt;=-0.05,2,1))))</f>
        <v>3</v>
      </c>
      <c r="T33" s="15" t="n">
        <f aca="false">F33+H33+L33+P33+S33</f>
        <v>22</v>
      </c>
    </row>
    <row r="34" customFormat="false" ht="21.75" hidden="false" customHeight="true" outlineLevel="0" collapsed="false">
      <c r="A34" s="14" t="n">
        <f aca="false">供应商基础信息!B27</f>
        <v>0</v>
      </c>
      <c r="B34" s="14"/>
      <c r="C34" s="14"/>
      <c r="D34" s="14"/>
      <c r="E34" s="14" t="n">
        <f aca="false">IF(C34=0,0,D34/C34)</f>
        <v>0</v>
      </c>
      <c r="F34" s="14" t="n">
        <f aca="false">IF(E34&gt;=1,25,IF(E34&gt;=0.9,E34*25,IF(E34&gt;=0.8,20,IF(E34&gt;=0.7,15,10))))</f>
        <v>10</v>
      </c>
      <c r="G34" s="14"/>
      <c r="H34" s="14" t="n">
        <f aca="false">IF(G34&gt;=1,15,IF(G34&gt;=0.9,G34*15,IF(G34&gt;=0.8,12,IF(G34&gt;=0.7,9,6))))</f>
        <v>6</v>
      </c>
      <c r="I34" s="14"/>
      <c r="J34" s="14"/>
      <c r="K34" s="14" t="n">
        <f aca="false">IF(J34=0,0,I34/J34)</f>
        <v>0</v>
      </c>
      <c r="L34" s="14" t="n">
        <f aca="false">IF(K34&gt;=0.95,10,IF(K34&gt;=0.9,8,IF(K34&gt;=0.85,6,IF(K34&gt;=0.8,4,2))))</f>
        <v>2</v>
      </c>
      <c r="M34" s="14"/>
      <c r="N34" s="14"/>
      <c r="O34" s="14" t="n">
        <f aca="false">IF(N34=0,0,M34/N34)</f>
        <v>0</v>
      </c>
      <c r="P34" s="14" t="n">
        <f aca="false">IF(O34&gt;=1,5,IF(O34&gt;=0.95,4,IF(O34&gt;=0.9,3,IF(O34&gt;=0.85,2,1))))</f>
        <v>1</v>
      </c>
      <c r="Q34" s="14"/>
      <c r="R34" s="14" t="n">
        <f aca="false">IF(Q34=0,0,(D34-Q34)/Q34)</f>
        <v>0</v>
      </c>
      <c r="S34" s="14" t="n">
        <f aca="false">IF(R34&gt;=0.1,5,IF(R34&gt;=0.05,4,IF(R34&gt;=0,3,IF(R34&gt;=-0.05,2,1))))</f>
        <v>3</v>
      </c>
      <c r="T34" s="15" t="n">
        <f aca="false">F34+H34+L34+P34+S34</f>
        <v>22</v>
      </c>
    </row>
    <row r="35" customFormat="false" ht="21.75" hidden="false" customHeight="true" outlineLevel="0" collapsed="false">
      <c r="A35" s="14" t="n">
        <f aca="false">供应商基础信息!B28</f>
        <v>0</v>
      </c>
      <c r="B35" s="14"/>
      <c r="C35" s="14"/>
      <c r="D35" s="14"/>
      <c r="E35" s="14" t="n">
        <f aca="false">IF(C35=0,0,D35/C35)</f>
        <v>0</v>
      </c>
      <c r="F35" s="14" t="n">
        <f aca="false">IF(E35&gt;=1,25,IF(E35&gt;=0.9,E35*25,IF(E35&gt;=0.8,20,IF(E35&gt;=0.7,15,10))))</f>
        <v>10</v>
      </c>
      <c r="G35" s="14"/>
      <c r="H35" s="14" t="n">
        <f aca="false">IF(G35&gt;=1,15,IF(G35&gt;=0.9,G35*15,IF(G35&gt;=0.8,12,IF(G35&gt;=0.7,9,6))))</f>
        <v>6</v>
      </c>
      <c r="I35" s="14"/>
      <c r="J35" s="14"/>
      <c r="K35" s="14" t="n">
        <f aca="false">IF(J35=0,0,I35/J35)</f>
        <v>0</v>
      </c>
      <c r="L35" s="14" t="n">
        <f aca="false">IF(K35&gt;=0.95,10,IF(K35&gt;=0.9,8,IF(K35&gt;=0.85,6,IF(K35&gt;=0.8,4,2))))</f>
        <v>2</v>
      </c>
      <c r="M35" s="14"/>
      <c r="N35" s="14"/>
      <c r="O35" s="14" t="n">
        <f aca="false">IF(N35=0,0,M35/N35)</f>
        <v>0</v>
      </c>
      <c r="P35" s="14" t="n">
        <f aca="false">IF(O35&gt;=1,5,IF(O35&gt;=0.95,4,IF(O35&gt;=0.9,3,IF(O35&gt;=0.85,2,1))))</f>
        <v>1</v>
      </c>
      <c r="Q35" s="14"/>
      <c r="R35" s="14" t="n">
        <f aca="false">IF(Q35=0,0,(D35-Q35)/Q35)</f>
        <v>0</v>
      </c>
      <c r="S35" s="14" t="n">
        <f aca="false">IF(R35&gt;=0.1,5,IF(R35&gt;=0.05,4,IF(R35&gt;=0,3,IF(R35&gt;=-0.05,2,1))))</f>
        <v>3</v>
      </c>
      <c r="T35" s="15" t="n">
        <f aca="false">F35+H35+L35+P35+S35</f>
        <v>22</v>
      </c>
    </row>
    <row r="36" customFormat="false" ht="21.75" hidden="false" customHeight="true" outlineLevel="0" collapsed="false">
      <c r="A36" s="14" t="n">
        <f aca="false">供应商基础信息!B29</f>
        <v>0</v>
      </c>
      <c r="B36" s="14"/>
      <c r="C36" s="14"/>
      <c r="D36" s="14"/>
      <c r="E36" s="14" t="n">
        <f aca="false">IF(C36=0,0,D36/C36)</f>
        <v>0</v>
      </c>
      <c r="F36" s="14" t="n">
        <f aca="false">IF(E36&gt;=1,25,IF(E36&gt;=0.9,E36*25,IF(E36&gt;=0.8,20,IF(E36&gt;=0.7,15,10))))</f>
        <v>10</v>
      </c>
      <c r="G36" s="14"/>
      <c r="H36" s="14" t="n">
        <f aca="false">IF(G36&gt;=1,15,IF(G36&gt;=0.9,G36*15,IF(G36&gt;=0.8,12,IF(G36&gt;=0.7,9,6))))</f>
        <v>6</v>
      </c>
      <c r="I36" s="14"/>
      <c r="J36" s="14"/>
      <c r="K36" s="14" t="n">
        <f aca="false">IF(J36=0,0,I36/J36)</f>
        <v>0</v>
      </c>
      <c r="L36" s="14" t="n">
        <f aca="false">IF(K36&gt;=0.95,10,IF(K36&gt;=0.9,8,IF(K36&gt;=0.85,6,IF(K36&gt;=0.8,4,2))))</f>
        <v>2</v>
      </c>
      <c r="M36" s="14"/>
      <c r="N36" s="14"/>
      <c r="O36" s="14" t="n">
        <f aca="false">IF(N36=0,0,M36/N36)</f>
        <v>0</v>
      </c>
      <c r="P36" s="14" t="n">
        <f aca="false">IF(O36&gt;=1,5,IF(O36&gt;=0.95,4,IF(O36&gt;=0.9,3,IF(O36&gt;=0.85,2,1))))</f>
        <v>1</v>
      </c>
      <c r="Q36" s="14"/>
      <c r="R36" s="14" t="n">
        <f aca="false">IF(Q36=0,0,(D36-Q36)/Q36)</f>
        <v>0</v>
      </c>
      <c r="S36" s="14" t="n">
        <f aca="false">IF(R36&gt;=0.1,5,IF(R36&gt;=0.05,4,IF(R36&gt;=0,3,IF(R36&gt;=-0.05,2,1))))</f>
        <v>3</v>
      </c>
      <c r="T36" s="15" t="n">
        <f aca="false">F36+H36+L36+P36+S36</f>
        <v>22</v>
      </c>
    </row>
  </sheetData>
  <mergeCells count="7">
    <mergeCell ref="A1:H1"/>
    <mergeCell ref="A3:H3"/>
    <mergeCell ref="B4:H4"/>
    <mergeCell ref="B5:H5"/>
    <mergeCell ref="B6:H6"/>
    <mergeCell ref="B7:H7"/>
    <mergeCell ref="B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3" min="2" style="0" width="13.65"/>
    <col collapsed="false" customWidth="true" hidden="false" outlineLevel="0" max="4" min="4" style="0" width="10.92"/>
    <col collapsed="false" customWidth="true" hidden="false" outlineLevel="0" max="5" min="5" style="0" width="13.65"/>
    <col collapsed="false" customWidth="true" hidden="false" outlineLevel="0" max="6" min="6" style="0" width="10.92"/>
    <col collapsed="false" customWidth="true" hidden="false" outlineLevel="0" max="7" min="7" style="0" width="13.65"/>
    <col collapsed="false" customWidth="true" hidden="false" outlineLevel="0" max="8" min="8" style="0" width="10.92"/>
    <col collapsed="false" customWidth="true" hidden="false" outlineLevel="0" max="9" min="9" style="0" width="13.65"/>
    <col collapsed="false" customWidth="true" hidden="false" outlineLevel="0" max="10" min="10" style="0" width="10.92"/>
    <col collapsed="false" customWidth="true" hidden="false" outlineLevel="0" max="11" min="11" style="0" width="16.38"/>
    <col collapsed="false" customWidth="true" hidden="false" outlineLevel="0" max="12" min="12" style="0" width="10.92"/>
    <col collapsed="false" customWidth="true" hidden="false" outlineLevel="0" max="13" min="13" style="0" width="13.65"/>
  </cols>
  <sheetData>
    <row r="1" customFormat="false" ht="30" hidden="false" customHeight="true" outlineLevel="0" collapsed="false">
      <c r="A1" s="6" t="s">
        <v>63</v>
      </c>
      <c r="B1" s="6"/>
      <c r="C1" s="6"/>
      <c r="D1" s="6"/>
      <c r="E1" s="6"/>
      <c r="F1" s="6"/>
      <c r="G1" s="6"/>
    </row>
    <row r="3" customFormat="false" ht="15" hidden="false" customHeight="false" outlineLevel="0" collapsed="false">
      <c r="A3" s="7" t="s">
        <v>32</v>
      </c>
      <c r="B3" s="7"/>
      <c r="C3" s="7"/>
      <c r="D3" s="7"/>
      <c r="E3" s="7"/>
      <c r="F3" s="7"/>
      <c r="G3" s="7"/>
    </row>
    <row r="4" customFormat="false" ht="15" hidden="false" customHeight="false" outlineLevel="0" collapsed="false">
      <c r="A4" s="8" t="s">
        <v>64</v>
      </c>
      <c r="B4" s="9" t="s">
        <v>65</v>
      </c>
      <c r="C4" s="9"/>
      <c r="D4" s="9"/>
      <c r="E4" s="9"/>
      <c r="F4" s="9"/>
      <c r="G4" s="9"/>
    </row>
    <row r="5" customFormat="false" ht="15" hidden="false" customHeight="false" outlineLevel="0" collapsed="false">
      <c r="A5" s="8" t="s">
        <v>66</v>
      </c>
      <c r="B5" s="9" t="s">
        <v>65</v>
      </c>
      <c r="C5" s="9"/>
      <c r="D5" s="9"/>
      <c r="E5" s="9"/>
      <c r="F5" s="9"/>
      <c r="G5" s="9"/>
    </row>
    <row r="6" customFormat="false" ht="15" hidden="false" customHeight="false" outlineLevel="0" collapsed="false">
      <c r="A6" s="8" t="s">
        <v>67</v>
      </c>
      <c r="B6" s="10" t="s">
        <v>68</v>
      </c>
      <c r="C6" s="10"/>
      <c r="D6" s="10"/>
      <c r="E6" s="10"/>
      <c r="F6" s="10"/>
      <c r="G6" s="10"/>
    </row>
    <row r="7" customFormat="false" ht="15" hidden="false" customHeight="false" outlineLevel="0" collapsed="false">
      <c r="A7" s="8" t="s">
        <v>69</v>
      </c>
      <c r="B7" s="10" t="s">
        <v>70</v>
      </c>
      <c r="C7" s="10"/>
      <c r="D7" s="10"/>
      <c r="E7" s="10"/>
      <c r="F7" s="10"/>
      <c r="G7" s="10"/>
    </row>
    <row r="8" customFormat="false" ht="15" hidden="false" customHeight="false" outlineLevel="0" collapsed="false">
      <c r="A8" s="8" t="s">
        <v>71</v>
      </c>
      <c r="B8" s="10" t="s">
        <v>72</v>
      </c>
      <c r="C8" s="10"/>
      <c r="D8" s="10"/>
      <c r="E8" s="10"/>
      <c r="F8" s="10"/>
      <c r="G8" s="10"/>
    </row>
    <row r="10" customFormat="false" ht="31.3" hidden="false" customHeight="false" outlineLevel="0" collapsed="false">
      <c r="A10" s="2" t="s">
        <v>2</v>
      </c>
      <c r="B10" s="2" t="s">
        <v>43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83</v>
      </c>
    </row>
    <row r="11" customFormat="false" ht="21.75" hidden="false" customHeight="true" outlineLevel="0" collapsed="false">
      <c r="A11" s="14" t="str">
        <f aca="false">供应商基础信息!B4</f>
        <v>毅航</v>
      </c>
      <c r="B11" s="16" t="s">
        <v>62</v>
      </c>
      <c r="C11" s="16"/>
      <c r="D11" s="14" t="n">
        <f aca="false">IF(C11&gt;=5,8,IF(C11&gt;=4,6,IF(C11&gt;=3,4,IF(C11&gt;=2,2,0))))</f>
        <v>0</v>
      </c>
      <c r="E11" s="16"/>
      <c r="F11" s="14" t="n">
        <f aca="false">IF(E11&gt;=5,8,IF(E11&gt;=4,6,IF(E11&gt;=3,4,IF(E11&gt;=2,2,0))))</f>
        <v>0</v>
      </c>
      <c r="G11" s="17"/>
      <c r="H11" s="14" t="n">
        <f aca="false">IF(G11&lt;0.05,6,IF(G11&lt;0.1,4,IF(G11&lt;0.15,3,1)))</f>
        <v>6</v>
      </c>
      <c r="I11" s="17"/>
      <c r="J11" s="14" t="n">
        <f aca="false">IF(I11&gt;=1,5,IF(I11&gt;=0.9,4,IF(I11&gt;=0.8,3,1)))</f>
        <v>1</v>
      </c>
      <c r="K11" s="16"/>
      <c r="L11" s="14" t="n">
        <f aca="false">IF(K11&gt;=5,3,IF(K11&gt;=4,2,IF(K11&gt;=3,1,0)))</f>
        <v>0</v>
      </c>
      <c r="M11" s="15" t="n">
        <f aca="false">D11+F11+H11+J11+L11</f>
        <v>7</v>
      </c>
    </row>
    <row r="12" customFormat="false" ht="21.75" hidden="false" customHeight="true" outlineLevel="0" collapsed="false">
      <c r="A12" s="14" t="str">
        <f aca="false">供应商基础信息!B5</f>
        <v>毛毛虫</v>
      </c>
      <c r="B12" s="14"/>
      <c r="C12" s="14"/>
      <c r="D12" s="14" t="n">
        <f aca="false">IF(C12&gt;=5,8,IF(C12&gt;=4,6,IF(C12&gt;=3,4,IF(C12&gt;=2,2,0))))</f>
        <v>0</v>
      </c>
      <c r="E12" s="14"/>
      <c r="F12" s="14" t="n">
        <f aca="false">IF(E12&gt;=5,8,IF(E12&gt;=4,6,IF(E12&gt;=3,4,IF(E12&gt;=2,2,0))))</f>
        <v>0</v>
      </c>
      <c r="G12" s="14"/>
      <c r="H12" s="14" t="n">
        <f aca="false">IF(G12&lt;0.05,6,IF(G12&lt;0.1,4,IF(G12&lt;0.15,3,1)))</f>
        <v>6</v>
      </c>
      <c r="I12" s="14"/>
      <c r="J12" s="14" t="n">
        <f aca="false">IF(I12&gt;=1,5,IF(I12&gt;=0.9,4,IF(I12&gt;=0.8,3,1)))</f>
        <v>1</v>
      </c>
      <c r="K12" s="14"/>
      <c r="L12" s="14" t="n">
        <f aca="false">IF(K12&gt;=5,3,IF(K12&gt;=4,2,IF(K12&gt;=3,1,0)))</f>
        <v>0</v>
      </c>
      <c r="M12" s="15" t="n">
        <f aca="false">D12+F12+H12+J12+L12</f>
        <v>7</v>
      </c>
    </row>
    <row r="13" customFormat="false" ht="21.75" hidden="false" customHeight="true" outlineLevel="0" collapsed="false">
      <c r="A13" s="14" t="str">
        <f aca="false">供应商基础信息!B6</f>
        <v>伽玛</v>
      </c>
      <c r="B13" s="14"/>
      <c r="C13" s="14"/>
      <c r="D13" s="14" t="n">
        <f aca="false">IF(C13&gt;=5,8,IF(C13&gt;=4,6,IF(C13&gt;=3,4,IF(C13&gt;=2,2,0))))</f>
        <v>0</v>
      </c>
      <c r="E13" s="14"/>
      <c r="F13" s="14" t="n">
        <f aca="false">IF(E13&gt;=5,8,IF(E13&gt;=4,6,IF(E13&gt;=3,4,IF(E13&gt;=2,2,0))))</f>
        <v>0</v>
      </c>
      <c r="G13" s="14"/>
      <c r="H13" s="14" t="n">
        <f aca="false">IF(G13&lt;0.05,6,IF(G13&lt;0.1,4,IF(G13&lt;0.15,3,1)))</f>
        <v>6</v>
      </c>
      <c r="I13" s="14"/>
      <c r="J13" s="14" t="n">
        <f aca="false">IF(I13&gt;=1,5,IF(I13&gt;=0.9,4,IF(I13&gt;=0.8,3,1)))</f>
        <v>1</v>
      </c>
      <c r="K13" s="14"/>
      <c r="L13" s="14" t="n">
        <f aca="false">IF(K13&gt;=5,3,IF(K13&gt;=4,2,IF(K13&gt;=3,1,0)))</f>
        <v>0</v>
      </c>
      <c r="M13" s="15" t="n">
        <f aca="false">D13+F13+H13+J13+L13</f>
        <v>7</v>
      </c>
    </row>
    <row r="14" customFormat="false" ht="21.75" hidden="false" customHeight="true" outlineLevel="0" collapsed="false">
      <c r="A14" s="14" t="str">
        <f aca="false">供应商基础信息!B7</f>
        <v>赛维斯</v>
      </c>
      <c r="B14" s="14"/>
      <c r="C14" s="14"/>
      <c r="D14" s="14" t="n">
        <f aca="false">IF(C14&gt;=5,8,IF(C14&gt;=4,6,IF(C14&gt;=3,4,IF(C14&gt;=2,2,0))))</f>
        <v>0</v>
      </c>
      <c r="E14" s="14"/>
      <c r="F14" s="14" t="n">
        <f aca="false">IF(E14&gt;=5,8,IF(E14&gt;=4,6,IF(E14&gt;=3,4,IF(E14&gt;=2,2,0))))</f>
        <v>0</v>
      </c>
      <c r="G14" s="14"/>
      <c r="H14" s="14" t="n">
        <f aca="false">IF(G14&lt;0.05,6,IF(G14&lt;0.1,4,IF(G14&lt;0.15,3,1)))</f>
        <v>6</v>
      </c>
      <c r="I14" s="14"/>
      <c r="J14" s="14" t="n">
        <f aca="false">IF(I14&gt;=1,5,IF(I14&gt;=0.9,4,IF(I14&gt;=0.8,3,1)))</f>
        <v>1</v>
      </c>
      <c r="K14" s="14"/>
      <c r="L14" s="14" t="n">
        <f aca="false">IF(K14&gt;=5,3,IF(K14&gt;=4,2,IF(K14&gt;=3,1,0)))</f>
        <v>0</v>
      </c>
      <c r="M14" s="15" t="n">
        <f aca="false">D14+F14+H14+J14+L14</f>
        <v>7</v>
      </c>
    </row>
    <row r="15" customFormat="false" ht="21.75" hidden="false" customHeight="true" outlineLevel="0" collapsed="false">
      <c r="A15" s="14" t="str">
        <f aca="false">供应商基础信息!B8</f>
        <v>岐力</v>
      </c>
      <c r="B15" s="14"/>
      <c r="C15" s="14"/>
      <c r="D15" s="14" t="n">
        <f aca="false">IF(C15&gt;=5,8,IF(C15&gt;=4,6,IF(C15&gt;=3,4,IF(C15&gt;=2,2,0))))</f>
        <v>0</v>
      </c>
      <c r="E15" s="14"/>
      <c r="F15" s="14" t="n">
        <f aca="false">IF(E15&gt;=5,8,IF(E15&gt;=4,6,IF(E15&gt;=3,4,IF(E15&gt;=2,2,0))))</f>
        <v>0</v>
      </c>
      <c r="G15" s="14"/>
      <c r="H15" s="14" t="n">
        <f aca="false">IF(G15&lt;0.05,6,IF(G15&lt;0.1,4,IF(G15&lt;0.15,3,1)))</f>
        <v>6</v>
      </c>
      <c r="I15" s="14"/>
      <c r="J15" s="14" t="n">
        <f aca="false">IF(I15&gt;=1,5,IF(I15&gt;=0.9,4,IF(I15&gt;=0.8,3,1)))</f>
        <v>1</v>
      </c>
      <c r="K15" s="14"/>
      <c r="L15" s="14" t="n">
        <f aca="false">IF(K15&gt;=5,3,IF(K15&gt;=4,2,IF(K15&gt;=3,1,0)))</f>
        <v>0</v>
      </c>
      <c r="M15" s="15" t="n">
        <f aca="false">D15+F15+H15+J15+L15</f>
        <v>7</v>
      </c>
    </row>
    <row r="16" customFormat="false" ht="21.75" hidden="false" customHeight="true" outlineLevel="0" collapsed="false">
      <c r="A16" s="14" t="str">
        <f aca="false">供应商基础信息!B9</f>
        <v>翰锐</v>
      </c>
      <c r="B16" s="14"/>
      <c r="C16" s="14"/>
      <c r="D16" s="14" t="n">
        <f aca="false">IF(C16&gt;=5,8,IF(C16&gt;=4,6,IF(C16&gt;=3,4,IF(C16&gt;=2,2,0))))</f>
        <v>0</v>
      </c>
      <c r="E16" s="14"/>
      <c r="F16" s="14" t="n">
        <f aca="false">IF(E16&gt;=5,8,IF(E16&gt;=4,6,IF(E16&gt;=3,4,IF(E16&gt;=2,2,0))))</f>
        <v>0</v>
      </c>
      <c r="G16" s="14"/>
      <c r="H16" s="14" t="n">
        <f aca="false">IF(G16&lt;0.05,6,IF(G16&lt;0.1,4,IF(G16&lt;0.15,3,1)))</f>
        <v>6</v>
      </c>
      <c r="I16" s="14"/>
      <c r="J16" s="14" t="n">
        <f aca="false">IF(I16&gt;=1,5,IF(I16&gt;=0.9,4,IF(I16&gt;=0.8,3,1)))</f>
        <v>1</v>
      </c>
      <c r="K16" s="14"/>
      <c r="L16" s="14" t="n">
        <f aca="false">IF(K16&gt;=5,3,IF(K16&gt;=4,2,IF(K16&gt;=3,1,0)))</f>
        <v>0</v>
      </c>
      <c r="M16" s="15" t="n">
        <f aca="false">D16+F16+H16+J16+L16</f>
        <v>7</v>
      </c>
    </row>
    <row r="17" customFormat="false" ht="21.75" hidden="false" customHeight="true" outlineLevel="0" collapsed="false">
      <c r="A17" s="14" t="str">
        <f aca="false">供应商基础信息!B10</f>
        <v>供应商G</v>
      </c>
      <c r="B17" s="14"/>
      <c r="C17" s="14"/>
      <c r="D17" s="14" t="n">
        <f aca="false">IF(C17&gt;=5,8,IF(C17&gt;=4,6,IF(C17&gt;=3,4,IF(C17&gt;=2,2,0))))</f>
        <v>0</v>
      </c>
      <c r="E17" s="14"/>
      <c r="F17" s="14" t="n">
        <f aca="false">IF(E17&gt;=5,8,IF(E17&gt;=4,6,IF(E17&gt;=3,4,IF(E17&gt;=2,2,0))))</f>
        <v>0</v>
      </c>
      <c r="G17" s="14"/>
      <c r="H17" s="14" t="n">
        <f aca="false">IF(G17&lt;0.05,6,IF(G17&lt;0.1,4,IF(G17&lt;0.15,3,1)))</f>
        <v>6</v>
      </c>
      <c r="I17" s="14"/>
      <c r="J17" s="14" t="n">
        <f aca="false">IF(I17&gt;=1,5,IF(I17&gt;=0.9,4,IF(I17&gt;=0.8,3,1)))</f>
        <v>1</v>
      </c>
      <c r="K17" s="14"/>
      <c r="L17" s="14" t="n">
        <f aca="false">IF(K17&gt;=5,3,IF(K17&gt;=4,2,IF(K17&gt;=3,1,0)))</f>
        <v>0</v>
      </c>
      <c r="M17" s="15" t="n">
        <f aca="false">D17+F17+H17+J17+L17</f>
        <v>7</v>
      </c>
    </row>
    <row r="18" customFormat="false" ht="21.75" hidden="false" customHeight="true" outlineLevel="0" collapsed="false">
      <c r="A18" s="14" t="str">
        <f aca="false">供应商基础信息!B11</f>
        <v>供应商H</v>
      </c>
      <c r="B18" s="14"/>
      <c r="C18" s="14"/>
      <c r="D18" s="14" t="n">
        <f aca="false">IF(C18&gt;=5,8,IF(C18&gt;=4,6,IF(C18&gt;=3,4,IF(C18&gt;=2,2,0))))</f>
        <v>0</v>
      </c>
      <c r="E18" s="14"/>
      <c r="F18" s="14" t="n">
        <f aca="false">IF(E18&gt;=5,8,IF(E18&gt;=4,6,IF(E18&gt;=3,4,IF(E18&gt;=2,2,0))))</f>
        <v>0</v>
      </c>
      <c r="G18" s="14"/>
      <c r="H18" s="14" t="n">
        <f aca="false">IF(G18&lt;0.05,6,IF(G18&lt;0.1,4,IF(G18&lt;0.15,3,1)))</f>
        <v>6</v>
      </c>
      <c r="I18" s="14"/>
      <c r="J18" s="14" t="n">
        <f aca="false">IF(I18&gt;=1,5,IF(I18&gt;=0.9,4,IF(I18&gt;=0.8,3,1)))</f>
        <v>1</v>
      </c>
      <c r="K18" s="14"/>
      <c r="L18" s="14" t="n">
        <f aca="false">IF(K18&gt;=5,3,IF(K18&gt;=4,2,IF(K18&gt;=3,1,0)))</f>
        <v>0</v>
      </c>
      <c r="M18" s="15" t="n">
        <f aca="false">D18+F18+H18+J18+L18</f>
        <v>7</v>
      </c>
    </row>
    <row r="19" customFormat="false" ht="21.75" hidden="false" customHeight="true" outlineLevel="0" collapsed="false">
      <c r="A19" s="14" t="str">
        <f aca="false">供应商基础信息!B12</f>
        <v>供应商I</v>
      </c>
      <c r="B19" s="14"/>
      <c r="C19" s="14"/>
      <c r="D19" s="14" t="n">
        <f aca="false">IF(C19&gt;=5,8,IF(C19&gt;=4,6,IF(C19&gt;=3,4,IF(C19&gt;=2,2,0))))</f>
        <v>0</v>
      </c>
      <c r="E19" s="14"/>
      <c r="F19" s="14" t="n">
        <f aca="false">IF(E19&gt;=5,8,IF(E19&gt;=4,6,IF(E19&gt;=3,4,IF(E19&gt;=2,2,0))))</f>
        <v>0</v>
      </c>
      <c r="G19" s="14"/>
      <c r="H19" s="14" t="n">
        <f aca="false">IF(G19&lt;0.05,6,IF(G19&lt;0.1,4,IF(G19&lt;0.15,3,1)))</f>
        <v>6</v>
      </c>
      <c r="I19" s="14"/>
      <c r="J19" s="14" t="n">
        <f aca="false">IF(I19&gt;=1,5,IF(I19&gt;=0.9,4,IF(I19&gt;=0.8,3,1)))</f>
        <v>1</v>
      </c>
      <c r="K19" s="14"/>
      <c r="L19" s="14" t="n">
        <f aca="false">IF(K19&gt;=5,3,IF(K19&gt;=4,2,IF(K19&gt;=3,1,0)))</f>
        <v>0</v>
      </c>
      <c r="M19" s="15" t="n">
        <f aca="false">D19+F19+H19+J19+L19</f>
        <v>7</v>
      </c>
    </row>
    <row r="20" customFormat="false" ht="21.75" hidden="false" customHeight="true" outlineLevel="0" collapsed="false">
      <c r="A20" s="14" t="n">
        <f aca="false">供应商基础信息!B13</f>
        <v>0</v>
      </c>
      <c r="B20" s="14"/>
      <c r="C20" s="14"/>
      <c r="D20" s="14" t="n">
        <f aca="false">IF(C20&gt;=5,8,IF(C20&gt;=4,6,IF(C20&gt;=3,4,IF(C20&gt;=2,2,0))))</f>
        <v>0</v>
      </c>
      <c r="E20" s="14"/>
      <c r="F20" s="14" t="n">
        <f aca="false">IF(E20&gt;=5,8,IF(E20&gt;=4,6,IF(E20&gt;=3,4,IF(E20&gt;=2,2,0))))</f>
        <v>0</v>
      </c>
      <c r="G20" s="14"/>
      <c r="H20" s="14" t="n">
        <f aca="false">IF(G20&lt;0.05,6,IF(G20&lt;0.1,4,IF(G20&lt;0.15,3,1)))</f>
        <v>6</v>
      </c>
      <c r="I20" s="14"/>
      <c r="J20" s="14" t="n">
        <f aca="false">IF(I20&gt;=1,5,IF(I20&gt;=0.9,4,IF(I20&gt;=0.8,3,1)))</f>
        <v>1</v>
      </c>
      <c r="K20" s="14"/>
      <c r="L20" s="14" t="n">
        <f aca="false">IF(K20&gt;=5,3,IF(K20&gt;=4,2,IF(K20&gt;=3,1,0)))</f>
        <v>0</v>
      </c>
      <c r="M20" s="15" t="n">
        <f aca="false">D20+F20+H20+J20+L20</f>
        <v>7</v>
      </c>
    </row>
    <row r="21" customFormat="false" ht="21.75" hidden="false" customHeight="true" outlineLevel="0" collapsed="false">
      <c r="A21" s="14" t="n">
        <f aca="false">供应商基础信息!B14</f>
        <v>0</v>
      </c>
      <c r="B21" s="14"/>
      <c r="C21" s="14"/>
      <c r="D21" s="14" t="n">
        <f aca="false">IF(C21&gt;=5,8,IF(C21&gt;=4,6,IF(C21&gt;=3,4,IF(C21&gt;=2,2,0))))</f>
        <v>0</v>
      </c>
      <c r="E21" s="14"/>
      <c r="F21" s="14" t="n">
        <f aca="false">IF(E21&gt;=5,8,IF(E21&gt;=4,6,IF(E21&gt;=3,4,IF(E21&gt;=2,2,0))))</f>
        <v>0</v>
      </c>
      <c r="G21" s="14"/>
      <c r="H21" s="14" t="n">
        <f aca="false">IF(G21&lt;0.05,6,IF(G21&lt;0.1,4,IF(G21&lt;0.15,3,1)))</f>
        <v>6</v>
      </c>
      <c r="I21" s="14"/>
      <c r="J21" s="14" t="n">
        <f aca="false">IF(I21&gt;=1,5,IF(I21&gt;=0.9,4,IF(I21&gt;=0.8,3,1)))</f>
        <v>1</v>
      </c>
      <c r="K21" s="14"/>
      <c r="L21" s="14" t="n">
        <f aca="false">IF(K21&gt;=5,3,IF(K21&gt;=4,2,IF(K21&gt;=3,1,0)))</f>
        <v>0</v>
      </c>
      <c r="M21" s="15" t="n">
        <f aca="false">D21+F21+H21+J21+L21</f>
        <v>7</v>
      </c>
    </row>
    <row r="22" customFormat="false" ht="21.75" hidden="false" customHeight="true" outlineLevel="0" collapsed="false">
      <c r="A22" s="14" t="n">
        <f aca="false">供应商基础信息!B15</f>
        <v>0</v>
      </c>
      <c r="B22" s="14"/>
      <c r="C22" s="14"/>
      <c r="D22" s="14" t="n">
        <f aca="false">IF(C22&gt;=5,8,IF(C22&gt;=4,6,IF(C22&gt;=3,4,IF(C22&gt;=2,2,0))))</f>
        <v>0</v>
      </c>
      <c r="E22" s="14"/>
      <c r="F22" s="14" t="n">
        <f aca="false">IF(E22&gt;=5,8,IF(E22&gt;=4,6,IF(E22&gt;=3,4,IF(E22&gt;=2,2,0))))</f>
        <v>0</v>
      </c>
      <c r="G22" s="14"/>
      <c r="H22" s="14" t="n">
        <f aca="false">IF(G22&lt;0.05,6,IF(G22&lt;0.1,4,IF(G22&lt;0.15,3,1)))</f>
        <v>6</v>
      </c>
      <c r="I22" s="14"/>
      <c r="J22" s="14" t="n">
        <f aca="false">IF(I22&gt;=1,5,IF(I22&gt;=0.9,4,IF(I22&gt;=0.8,3,1)))</f>
        <v>1</v>
      </c>
      <c r="K22" s="14"/>
      <c r="L22" s="14" t="n">
        <f aca="false">IF(K22&gt;=5,3,IF(K22&gt;=4,2,IF(K22&gt;=3,1,0)))</f>
        <v>0</v>
      </c>
      <c r="M22" s="15" t="n">
        <f aca="false">D22+F22+H22+J22+L22</f>
        <v>7</v>
      </c>
    </row>
    <row r="23" customFormat="false" ht="21.75" hidden="false" customHeight="true" outlineLevel="0" collapsed="false">
      <c r="A23" s="14" t="n">
        <f aca="false">供应商基础信息!B16</f>
        <v>0</v>
      </c>
      <c r="B23" s="14"/>
      <c r="C23" s="14"/>
      <c r="D23" s="14" t="n">
        <f aca="false">IF(C23&gt;=5,8,IF(C23&gt;=4,6,IF(C23&gt;=3,4,IF(C23&gt;=2,2,0))))</f>
        <v>0</v>
      </c>
      <c r="E23" s="14"/>
      <c r="F23" s="14" t="n">
        <f aca="false">IF(E23&gt;=5,8,IF(E23&gt;=4,6,IF(E23&gt;=3,4,IF(E23&gt;=2,2,0))))</f>
        <v>0</v>
      </c>
      <c r="G23" s="14"/>
      <c r="H23" s="14" t="n">
        <f aca="false">IF(G23&lt;0.05,6,IF(G23&lt;0.1,4,IF(G23&lt;0.15,3,1)))</f>
        <v>6</v>
      </c>
      <c r="I23" s="14"/>
      <c r="J23" s="14" t="n">
        <f aca="false">IF(I23&gt;=1,5,IF(I23&gt;=0.9,4,IF(I23&gt;=0.8,3,1)))</f>
        <v>1</v>
      </c>
      <c r="K23" s="14"/>
      <c r="L23" s="14" t="n">
        <f aca="false">IF(K23&gt;=5,3,IF(K23&gt;=4,2,IF(K23&gt;=3,1,0)))</f>
        <v>0</v>
      </c>
      <c r="M23" s="15" t="n">
        <f aca="false">D23+F23+H23+J23+L23</f>
        <v>7</v>
      </c>
    </row>
    <row r="24" customFormat="false" ht="21.75" hidden="false" customHeight="true" outlineLevel="0" collapsed="false">
      <c r="A24" s="14" t="n">
        <f aca="false">供应商基础信息!B17</f>
        <v>0</v>
      </c>
      <c r="B24" s="14"/>
      <c r="C24" s="14"/>
      <c r="D24" s="14" t="n">
        <f aca="false">IF(C24&gt;=5,8,IF(C24&gt;=4,6,IF(C24&gt;=3,4,IF(C24&gt;=2,2,0))))</f>
        <v>0</v>
      </c>
      <c r="E24" s="14"/>
      <c r="F24" s="14" t="n">
        <f aca="false">IF(E24&gt;=5,8,IF(E24&gt;=4,6,IF(E24&gt;=3,4,IF(E24&gt;=2,2,0))))</f>
        <v>0</v>
      </c>
      <c r="G24" s="14"/>
      <c r="H24" s="14" t="n">
        <f aca="false">IF(G24&lt;0.05,6,IF(G24&lt;0.1,4,IF(G24&lt;0.15,3,1)))</f>
        <v>6</v>
      </c>
      <c r="I24" s="14"/>
      <c r="J24" s="14" t="n">
        <f aca="false">IF(I24&gt;=1,5,IF(I24&gt;=0.9,4,IF(I24&gt;=0.8,3,1)))</f>
        <v>1</v>
      </c>
      <c r="K24" s="14"/>
      <c r="L24" s="14" t="n">
        <f aca="false">IF(K24&gt;=5,3,IF(K24&gt;=4,2,IF(K24&gt;=3,1,0)))</f>
        <v>0</v>
      </c>
      <c r="M24" s="15" t="n">
        <f aca="false">D24+F24+H24+J24+L24</f>
        <v>7</v>
      </c>
    </row>
    <row r="25" customFormat="false" ht="21.75" hidden="false" customHeight="true" outlineLevel="0" collapsed="false">
      <c r="A25" s="14" t="n">
        <f aca="false">供应商基础信息!B18</f>
        <v>0</v>
      </c>
      <c r="B25" s="14"/>
      <c r="C25" s="14"/>
      <c r="D25" s="14" t="n">
        <f aca="false">IF(C25&gt;=5,8,IF(C25&gt;=4,6,IF(C25&gt;=3,4,IF(C25&gt;=2,2,0))))</f>
        <v>0</v>
      </c>
      <c r="E25" s="14"/>
      <c r="F25" s="14" t="n">
        <f aca="false">IF(E25&gt;=5,8,IF(E25&gt;=4,6,IF(E25&gt;=3,4,IF(E25&gt;=2,2,0))))</f>
        <v>0</v>
      </c>
      <c r="G25" s="14"/>
      <c r="H25" s="14" t="n">
        <f aca="false">IF(G25&lt;0.05,6,IF(G25&lt;0.1,4,IF(G25&lt;0.15,3,1)))</f>
        <v>6</v>
      </c>
      <c r="I25" s="14"/>
      <c r="J25" s="14" t="n">
        <f aca="false">IF(I25&gt;=1,5,IF(I25&gt;=0.9,4,IF(I25&gt;=0.8,3,1)))</f>
        <v>1</v>
      </c>
      <c r="K25" s="14"/>
      <c r="L25" s="14" t="n">
        <f aca="false">IF(K25&gt;=5,3,IF(K25&gt;=4,2,IF(K25&gt;=3,1,0)))</f>
        <v>0</v>
      </c>
      <c r="M25" s="15" t="n">
        <f aca="false">D25+F25+H25+J25+L25</f>
        <v>7</v>
      </c>
    </row>
    <row r="26" customFormat="false" ht="21.75" hidden="false" customHeight="true" outlineLevel="0" collapsed="false">
      <c r="A26" s="14" t="n">
        <f aca="false">供应商基础信息!B19</f>
        <v>0</v>
      </c>
      <c r="B26" s="14"/>
      <c r="C26" s="14"/>
      <c r="D26" s="14" t="n">
        <f aca="false">IF(C26&gt;=5,8,IF(C26&gt;=4,6,IF(C26&gt;=3,4,IF(C26&gt;=2,2,0))))</f>
        <v>0</v>
      </c>
      <c r="E26" s="14"/>
      <c r="F26" s="14" t="n">
        <f aca="false">IF(E26&gt;=5,8,IF(E26&gt;=4,6,IF(E26&gt;=3,4,IF(E26&gt;=2,2,0))))</f>
        <v>0</v>
      </c>
      <c r="G26" s="14"/>
      <c r="H26" s="14" t="n">
        <f aca="false">IF(G26&lt;0.05,6,IF(G26&lt;0.1,4,IF(G26&lt;0.15,3,1)))</f>
        <v>6</v>
      </c>
      <c r="I26" s="14"/>
      <c r="J26" s="14" t="n">
        <f aca="false">IF(I26&gt;=1,5,IF(I26&gt;=0.9,4,IF(I26&gt;=0.8,3,1)))</f>
        <v>1</v>
      </c>
      <c r="K26" s="14"/>
      <c r="L26" s="14" t="n">
        <f aca="false">IF(K26&gt;=5,3,IF(K26&gt;=4,2,IF(K26&gt;=3,1,0)))</f>
        <v>0</v>
      </c>
      <c r="M26" s="15" t="n">
        <f aca="false">D26+F26+H26+J26+L26</f>
        <v>7</v>
      </c>
    </row>
    <row r="27" customFormat="false" ht="21.75" hidden="false" customHeight="true" outlineLevel="0" collapsed="false">
      <c r="A27" s="14" t="n">
        <f aca="false">供应商基础信息!B20</f>
        <v>0</v>
      </c>
      <c r="B27" s="14"/>
      <c r="C27" s="14"/>
      <c r="D27" s="14" t="n">
        <f aca="false">IF(C27&gt;=5,8,IF(C27&gt;=4,6,IF(C27&gt;=3,4,IF(C27&gt;=2,2,0))))</f>
        <v>0</v>
      </c>
      <c r="E27" s="14"/>
      <c r="F27" s="14" t="n">
        <f aca="false">IF(E27&gt;=5,8,IF(E27&gt;=4,6,IF(E27&gt;=3,4,IF(E27&gt;=2,2,0))))</f>
        <v>0</v>
      </c>
      <c r="G27" s="14"/>
      <c r="H27" s="14" t="n">
        <f aca="false">IF(G27&lt;0.05,6,IF(G27&lt;0.1,4,IF(G27&lt;0.15,3,1)))</f>
        <v>6</v>
      </c>
      <c r="I27" s="14"/>
      <c r="J27" s="14" t="n">
        <f aca="false">IF(I27&gt;=1,5,IF(I27&gt;=0.9,4,IF(I27&gt;=0.8,3,1)))</f>
        <v>1</v>
      </c>
      <c r="K27" s="14"/>
      <c r="L27" s="14" t="n">
        <f aca="false">IF(K27&gt;=5,3,IF(K27&gt;=4,2,IF(K27&gt;=3,1,0)))</f>
        <v>0</v>
      </c>
      <c r="M27" s="15" t="n">
        <f aca="false">D27+F27+H27+J27+L27</f>
        <v>7</v>
      </c>
    </row>
    <row r="28" customFormat="false" ht="21.75" hidden="false" customHeight="true" outlineLevel="0" collapsed="false">
      <c r="A28" s="14" t="n">
        <f aca="false">供应商基础信息!B21</f>
        <v>0</v>
      </c>
      <c r="B28" s="14"/>
      <c r="C28" s="14"/>
      <c r="D28" s="14" t="n">
        <f aca="false">IF(C28&gt;=5,8,IF(C28&gt;=4,6,IF(C28&gt;=3,4,IF(C28&gt;=2,2,0))))</f>
        <v>0</v>
      </c>
      <c r="E28" s="14"/>
      <c r="F28" s="14" t="n">
        <f aca="false">IF(E28&gt;=5,8,IF(E28&gt;=4,6,IF(E28&gt;=3,4,IF(E28&gt;=2,2,0))))</f>
        <v>0</v>
      </c>
      <c r="G28" s="14"/>
      <c r="H28" s="14" t="n">
        <f aca="false">IF(G28&lt;0.05,6,IF(G28&lt;0.1,4,IF(G28&lt;0.15,3,1)))</f>
        <v>6</v>
      </c>
      <c r="I28" s="14"/>
      <c r="J28" s="14" t="n">
        <f aca="false">IF(I28&gt;=1,5,IF(I28&gt;=0.9,4,IF(I28&gt;=0.8,3,1)))</f>
        <v>1</v>
      </c>
      <c r="K28" s="14"/>
      <c r="L28" s="14" t="n">
        <f aca="false">IF(K28&gt;=5,3,IF(K28&gt;=4,2,IF(K28&gt;=3,1,0)))</f>
        <v>0</v>
      </c>
      <c r="M28" s="15" t="n">
        <f aca="false">D28+F28+H28+J28+L28</f>
        <v>7</v>
      </c>
    </row>
    <row r="29" customFormat="false" ht="21.75" hidden="false" customHeight="true" outlineLevel="0" collapsed="false">
      <c r="A29" s="14" t="n">
        <f aca="false">供应商基础信息!B22</f>
        <v>0</v>
      </c>
      <c r="B29" s="14"/>
      <c r="C29" s="14"/>
      <c r="D29" s="14" t="n">
        <f aca="false">IF(C29&gt;=5,8,IF(C29&gt;=4,6,IF(C29&gt;=3,4,IF(C29&gt;=2,2,0))))</f>
        <v>0</v>
      </c>
      <c r="E29" s="14"/>
      <c r="F29" s="14" t="n">
        <f aca="false">IF(E29&gt;=5,8,IF(E29&gt;=4,6,IF(E29&gt;=3,4,IF(E29&gt;=2,2,0))))</f>
        <v>0</v>
      </c>
      <c r="G29" s="14"/>
      <c r="H29" s="14" t="n">
        <f aca="false">IF(G29&lt;0.05,6,IF(G29&lt;0.1,4,IF(G29&lt;0.15,3,1)))</f>
        <v>6</v>
      </c>
      <c r="I29" s="14"/>
      <c r="J29" s="14" t="n">
        <f aca="false">IF(I29&gt;=1,5,IF(I29&gt;=0.9,4,IF(I29&gt;=0.8,3,1)))</f>
        <v>1</v>
      </c>
      <c r="K29" s="14"/>
      <c r="L29" s="14" t="n">
        <f aca="false">IF(K29&gt;=5,3,IF(K29&gt;=4,2,IF(K29&gt;=3,1,0)))</f>
        <v>0</v>
      </c>
      <c r="M29" s="15" t="n">
        <f aca="false">D29+F29+H29+J29+L29</f>
        <v>7</v>
      </c>
    </row>
    <row r="30" customFormat="false" ht="21.75" hidden="false" customHeight="true" outlineLevel="0" collapsed="false">
      <c r="A30" s="14" t="n">
        <f aca="false">供应商基础信息!B23</f>
        <v>0</v>
      </c>
      <c r="B30" s="14"/>
      <c r="C30" s="14"/>
      <c r="D30" s="14" t="n">
        <f aca="false">IF(C30&gt;=5,8,IF(C30&gt;=4,6,IF(C30&gt;=3,4,IF(C30&gt;=2,2,0))))</f>
        <v>0</v>
      </c>
      <c r="E30" s="14"/>
      <c r="F30" s="14" t="n">
        <f aca="false">IF(E30&gt;=5,8,IF(E30&gt;=4,6,IF(E30&gt;=3,4,IF(E30&gt;=2,2,0))))</f>
        <v>0</v>
      </c>
      <c r="G30" s="14"/>
      <c r="H30" s="14" t="n">
        <f aca="false">IF(G30&lt;0.05,6,IF(G30&lt;0.1,4,IF(G30&lt;0.15,3,1)))</f>
        <v>6</v>
      </c>
      <c r="I30" s="14"/>
      <c r="J30" s="14" t="n">
        <f aca="false">IF(I30&gt;=1,5,IF(I30&gt;=0.9,4,IF(I30&gt;=0.8,3,1)))</f>
        <v>1</v>
      </c>
      <c r="K30" s="14"/>
      <c r="L30" s="14" t="n">
        <f aca="false">IF(K30&gt;=5,3,IF(K30&gt;=4,2,IF(K30&gt;=3,1,0)))</f>
        <v>0</v>
      </c>
      <c r="M30" s="15" t="n">
        <f aca="false">D30+F30+H30+J30+L30</f>
        <v>7</v>
      </c>
    </row>
    <row r="31" customFormat="false" ht="21.75" hidden="false" customHeight="true" outlineLevel="0" collapsed="false">
      <c r="A31" s="14" t="n">
        <f aca="false">供应商基础信息!B24</f>
        <v>0</v>
      </c>
      <c r="B31" s="14"/>
      <c r="C31" s="14"/>
      <c r="D31" s="14" t="n">
        <f aca="false">IF(C31&gt;=5,8,IF(C31&gt;=4,6,IF(C31&gt;=3,4,IF(C31&gt;=2,2,0))))</f>
        <v>0</v>
      </c>
      <c r="E31" s="14"/>
      <c r="F31" s="14" t="n">
        <f aca="false">IF(E31&gt;=5,8,IF(E31&gt;=4,6,IF(E31&gt;=3,4,IF(E31&gt;=2,2,0))))</f>
        <v>0</v>
      </c>
      <c r="G31" s="14"/>
      <c r="H31" s="14" t="n">
        <f aca="false">IF(G31&lt;0.05,6,IF(G31&lt;0.1,4,IF(G31&lt;0.15,3,1)))</f>
        <v>6</v>
      </c>
      <c r="I31" s="14"/>
      <c r="J31" s="14" t="n">
        <f aca="false">IF(I31&gt;=1,5,IF(I31&gt;=0.9,4,IF(I31&gt;=0.8,3,1)))</f>
        <v>1</v>
      </c>
      <c r="K31" s="14"/>
      <c r="L31" s="14" t="n">
        <f aca="false">IF(K31&gt;=5,3,IF(K31&gt;=4,2,IF(K31&gt;=3,1,0)))</f>
        <v>0</v>
      </c>
      <c r="M31" s="15" t="n">
        <f aca="false">D31+F31+H31+J31+L31</f>
        <v>7</v>
      </c>
    </row>
    <row r="32" customFormat="false" ht="21.75" hidden="false" customHeight="true" outlineLevel="0" collapsed="false">
      <c r="A32" s="14" t="n">
        <f aca="false">供应商基础信息!B25</f>
        <v>0</v>
      </c>
      <c r="B32" s="14"/>
      <c r="C32" s="14"/>
      <c r="D32" s="14" t="n">
        <f aca="false">IF(C32&gt;=5,8,IF(C32&gt;=4,6,IF(C32&gt;=3,4,IF(C32&gt;=2,2,0))))</f>
        <v>0</v>
      </c>
      <c r="E32" s="14"/>
      <c r="F32" s="14" t="n">
        <f aca="false">IF(E32&gt;=5,8,IF(E32&gt;=4,6,IF(E32&gt;=3,4,IF(E32&gt;=2,2,0))))</f>
        <v>0</v>
      </c>
      <c r="G32" s="14"/>
      <c r="H32" s="14" t="n">
        <f aca="false">IF(G32&lt;0.05,6,IF(G32&lt;0.1,4,IF(G32&lt;0.15,3,1)))</f>
        <v>6</v>
      </c>
      <c r="I32" s="14"/>
      <c r="J32" s="14" t="n">
        <f aca="false">IF(I32&gt;=1,5,IF(I32&gt;=0.9,4,IF(I32&gt;=0.8,3,1)))</f>
        <v>1</v>
      </c>
      <c r="K32" s="14"/>
      <c r="L32" s="14" t="n">
        <f aca="false">IF(K32&gt;=5,3,IF(K32&gt;=4,2,IF(K32&gt;=3,1,0)))</f>
        <v>0</v>
      </c>
      <c r="M32" s="15" t="n">
        <f aca="false">D32+F32+H32+J32+L32</f>
        <v>7</v>
      </c>
    </row>
    <row r="33" customFormat="false" ht="21.75" hidden="false" customHeight="true" outlineLevel="0" collapsed="false">
      <c r="A33" s="14" t="n">
        <f aca="false">供应商基础信息!B26</f>
        <v>0</v>
      </c>
      <c r="B33" s="14"/>
      <c r="C33" s="14"/>
      <c r="D33" s="14" t="n">
        <f aca="false">IF(C33&gt;=5,8,IF(C33&gt;=4,6,IF(C33&gt;=3,4,IF(C33&gt;=2,2,0))))</f>
        <v>0</v>
      </c>
      <c r="E33" s="14"/>
      <c r="F33" s="14" t="n">
        <f aca="false">IF(E33&gt;=5,8,IF(E33&gt;=4,6,IF(E33&gt;=3,4,IF(E33&gt;=2,2,0))))</f>
        <v>0</v>
      </c>
      <c r="G33" s="14"/>
      <c r="H33" s="14" t="n">
        <f aca="false">IF(G33&lt;0.05,6,IF(G33&lt;0.1,4,IF(G33&lt;0.15,3,1)))</f>
        <v>6</v>
      </c>
      <c r="I33" s="14"/>
      <c r="J33" s="14" t="n">
        <f aca="false">IF(I33&gt;=1,5,IF(I33&gt;=0.9,4,IF(I33&gt;=0.8,3,1)))</f>
        <v>1</v>
      </c>
      <c r="K33" s="14"/>
      <c r="L33" s="14" t="n">
        <f aca="false">IF(K33&gt;=5,3,IF(K33&gt;=4,2,IF(K33&gt;=3,1,0)))</f>
        <v>0</v>
      </c>
      <c r="M33" s="15" t="n">
        <f aca="false">D33+F33+H33+J33+L33</f>
        <v>7</v>
      </c>
    </row>
    <row r="34" customFormat="false" ht="21.75" hidden="false" customHeight="true" outlineLevel="0" collapsed="false">
      <c r="A34" s="14" t="n">
        <f aca="false">供应商基础信息!B27</f>
        <v>0</v>
      </c>
      <c r="B34" s="14"/>
      <c r="C34" s="14"/>
      <c r="D34" s="14" t="n">
        <f aca="false">IF(C34&gt;=5,8,IF(C34&gt;=4,6,IF(C34&gt;=3,4,IF(C34&gt;=2,2,0))))</f>
        <v>0</v>
      </c>
      <c r="E34" s="14"/>
      <c r="F34" s="14" t="n">
        <f aca="false">IF(E34&gt;=5,8,IF(E34&gt;=4,6,IF(E34&gt;=3,4,IF(E34&gt;=2,2,0))))</f>
        <v>0</v>
      </c>
      <c r="G34" s="14"/>
      <c r="H34" s="14" t="n">
        <f aca="false">IF(G34&lt;0.05,6,IF(G34&lt;0.1,4,IF(G34&lt;0.15,3,1)))</f>
        <v>6</v>
      </c>
      <c r="I34" s="14"/>
      <c r="J34" s="14" t="n">
        <f aca="false">IF(I34&gt;=1,5,IF(I34&gt;=0.9,4,IF(I34&gt;=0.8,3,1)))</f>
        <v>1</v>
      </c>
      <c r="K34" s="14"/>
      <c r="L34" s="14" t="n">
        <f aca="false">IF(K34&gt;=5,3,IF(K34&gt;=4,2,IF(K34&gt;=3,1,0)))</f>
        <v>0</v>
      </c>
      <c r="M34" s="15" t="n">
        <f aca="false">D34+F34+H34+J34+L34</f>
        <v>7</v>
      </c>
    </row>
    <row r="35" customFormat="false" ht="21.75" hidden="false" customHeight="true" outlineLevel="0" collapsed="false">
      <c r="A35" s="14" t="n">
        <f aca="false">供应商基础信息!B28</f>
        <v>0</v>
      </c>
      <c r="B35" s="14"/>
      <c r="C35" s="14"/>
      <c r="D35" s="14" t="n">
        <f aca="false">IF(C35&gt;=5,8,IF(C35&gt;=4,6,IF(C35&gt;=3,4,IF(C35&gt;=2,2,0))))</f>
        <v>0</v>
      </c>
      <c r="E35" s="14"/>
      <c r="F35" s="14" t="n">
        <f aca="false">IF(E35&gt;=5,8,IF(E35&gt;=4,6,IF(E35&gt;=3,4,IF(E35&gt;=2,2,0))))</f>
        <v>0</v>
      </c>
      <c r="G35" s="14"/>
      <c r="H35" s="14" t="n">
        <f aca="false">IF(G35&lt;0.05,6,IF(G35&lt;0.1,4,IF(G35&lt;0.15,3,1)))</f>
        <v>6</v>
      </c>
      <c r="I35" s="14"/>
      <c r="J35" s="14" t="n">
        <f aca="false">IF(I35&gt;=1,5,IF(I35&gt;=0.9,4,IF(I35&gt;=0.8,3,1)))</f>
        <v>1</v>
      </c>
      <c r="K35" s="14"/>
      <c r="L35" s="14" t="n">
        <f aca="false">IF(K35&gt;=5,3,IF(K35&gt;=4,2,IF(K35&gt;=3,1,0)))</f>
        <v>0</v>
      </c>
      <c r="M35" s="15" t="n">
        <f aca="false">D35+F35+H35+J35+L35</f>
        <v>7</v>
      </c>
    </row>
    <row r="36" customFormat="false" ht="21.75" hidden="false" customHeight="true" outlineLevel="0" collapsed="false">
      <c r="A36" s="14" t="n">
        <f aca="false">供应商基础信息!B29</f>
        <v>0</v>
      </c>
      <c r="B36" s="14"/>
      <c r="C36" s="14"/>
      <c r="D36" s="14" t="n">
        <f aca="false">IF(C36&gt;=5,8,IF(C36&gt;=4,6,IF(C36&gt;=3,4,IF(C36&gt;=2,2,0))))</f>
        <v>0</v>
      </c>
      <c r="E36" s="14"/>
      <c r="F36" s="14" t="n">
        <f aca="false">IF(E36&gt;=5,8,IF(E36&gt;=4,6,IF(E36&gt;=3,4,IF(E36&gt;=2,2,0))))</f>
        <v>0</v>
      </c>
      <c r="G36" s="14"/>
      <c r="H36" s="14" t="n">
        <f aca="false">IF(G36&lt;0.05,6,IF(G36&lt;0.1,4,IF(G36&lt;0.15,3,1)))</f>
        <v>6</v>
      </c>
      <c r="I36" s="14"/>
      <c r="J36" s="14" t="n">
        <f aca="false">IF(I36&gt;=1,5,IF(I36&gt;=0.9,4,IF(I36&gt;=0.8,3,1)))</f>
        <v>1</v>
      </c>
      <c r="K36" s="14"/>
      <c r="L36" s="14" t="n">
        <f aca="false">IF(K36&gt;=5,3,IF(K36&gt;=4,2,IF(K36&gt;=3,1,0)))</f>
        <v>0</v>
      </c>
      <c r="M36" s="15" t="n">
        <f aca="false">D36+F36+H36+J36+L36</f>
        <v>7</v>
      </c>
    </row>
  </sheetData>
  <mergeCells count="7">
    <mergeCell ref="A1:G1"/>
    <mergeCell ref="A3:G3"/>
    <mergeCell ref="B4:G4"/>
    <mergeCell ref="B5:G5"/>
    <mergeCell ref="B6:G6"/>
    <mergeCell ref="B7:G7"/>
    <mergeCell ref="B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4" min="2" style="0" width="13.65"/>
    <col collapsed="false" customWidth="true" hidden="false" outlineLevel="0" max="8" min="5" style="0" width="10.92"/>
    <col collapsed="false" customWidth="true" hidden="false" outlineLevel="0" max="9" min="9" style="0" width="13.65"/>
    <col collapsed="false" customWidth="true" hidden="false" outlineLevel="0" max="11" min="10" style="0" width="10.92"/>
  </cols>
  <sheetData>
    <row r="1" customFormat="false" ht="30" hidden="false" customHeight="true" outlineLevel="0" collapsed="false">
      <c r="A1" s="6" t="s">
        <v>84</v>
      </c>
      <c r="B1" s="6"/>
      <c r="C1" s="6"/>
      <c r="D1" s="6"/>
      <c r="E1" s="6"/>
    </row>
    <row r="3" customFormat="false" ht="15" hidden="false" customHeight="false" outlineLevel="0" collapsed="false">
      <c r="A3" s="7" t="s">
        <v>32</v>
      </c>
      <c r="B3" s="7"/>
      <c r="C3" s="7"/>
      <c r="D3" s="7"/>
      <c r="E3" s="7"/>
    </row>
    <row r="4" customFormat="false" ht="15" hidden="false" customHeight="false" outlineLevel="0" collapsed="false">
      <c r="A4" s="8" t="s">
        <v>85</v>
      </c>
      <c r="B4" s="9" t="s">
        <v>86</v>
      </c>
      <c r="C4" s="9"/>
      <c r="D4" s="9"/>
      <c r="E4" s="9"/>
    </row>
    <row r="5" customFormat="false" ht="15" hidden="false" customHeight="false" outlineLevel="0" collapsed="false">
      <c r="A5" s="8" t="s">
        <v>87</v>
      </c>
      <c r="B5" s="9" t="s">
        <v>88</v>
      </c>
      <c r="C5" s="9"/>
      <c r="D5" s="9"/>
      <c r="E5" s="9"/>
    </row>
    <row r="6" customFormat="false" ht="15" hidden="false" customHeight="false" outlineLevel="0" collapsed="false">
      <c r="A6" s="8" t="s">
        <v>89</v>
      </c>
      <c r="B6" s="9" t="s">
        <v>90</v>
      </c>
      <c r="C6" s="9"/>
      <c r="D6" s="9"/>
      <c r="E6" s="9"/>
    </row>
    <row r="8" customFormat="false" ht="31.3" hidden="false" customHeight="false" outlineLevel="0" collapsed="false">
      <c r="A8" s="2" t="s">
        <v>2</v>
      </c>
      <c r="B8" s="2" t="s">
        <v>43</v>
      </c>
      <c r="C8" s="2" t="s">
        <v>91</v>
      </c>
      <c r="D8" s="2" t="s">
        <v>92</v>
      </c>
      <c r="E8" s="2" t="s">
        <v>93</v>
      </c>
      <c r="F8" s="2" t="s">
        <v>51</v>
      </c>
      <c r="G8" s="2" t="s">
        <v>94</v>
      </c>
      <c r="H8" s="2" t="s">
        <v>95</v>
      </c>
      <c r="I8" s="2" t="s">
        <v>96</v>
      </c>
      <c r="J8" s="2" t="s">
        <v>97</v>
      </c>
      <c r="K8" s="2" t="s">
        <v>98</v>
      </c>
    </row>
    <row r="9" customFormat="false" ht="21.75" hidden="false" customHeight="true" outlineLevel="0" collapsed="false">
      <c r="A9" s="14" t="str">
        <f aca="false">供应商基础信息!B4</f>
        <v>毅航</v>
      </c>
      <c r="B9" s="16" t="s">
        <v>62</v>
      </c>
      <c r="C9" s="17"/>
      <c r="D9" s="14" t="n">
        <f aca="false">IF(C9&gt;=0.98,5,IF(C9&gt;=0.95,4,IF(C9&gt;=0.9,3,IF(C9&gt;=0.85,2,1))))</f>
        <v>1</v>
      </c>
      <c r="E9" s="16"/>
      <c r="F9" s="16"/>
      <c r="G9" s="18" t="n">
        <f aca="false">IF(F9=0,0,E9/F9)</f>
        <v>0</v>
      </c>
      <c r="H9" s="14" t="n">
        <f aca="false">IF(G9&lt;=0.001,3,IF(G9&lt;=0.003,2,IF(G9&lt;=0.005,1,0)))</f>
        <v>3</v>
      </c>
      <c r="I9" s="16"/>
      <c r="J9" s="14" t="n">
        <f aca="false">IF(I9=0,2,0)</f>
        <v>2</v>
      </c>
      <c r="K9" s="15" t="n">
        <f aca="false">D9+H9+J9</f>
        <v>6</v>
      </c>
    </row>
    <row r="10" customFormat="false" ht="21.75" hidden="false" customHeight="true" outlineLevel="0" collapsed="false">
      <c r="A10" s="14" t="str">
        <f aca="false">供应商基础信息!B5</f>
        <v>毛毛虫</v>
      </c>
      <c r="B10" s="14"/>
      <c r="C10" s="14"/>
      <c r="D10" s="14" t="n">
        <f aca="false">IF(C10&gt;=0.98,5,IF(C10&gt;=0.95,4,IF(C10&gt;=0.9,3,IF(C10&gt;=0.85,2,1))))</f>
        <v>1</v>
      </c>
      <c r="E10" s="14"/>
      <c r="F10" s="14"/>
      <c r="G10" s="14" t="n">
        <f aca="false">IF(F10=0,0,E10/F10)</f>
        <v>0</v>
      </c>
      <c r="H10" s="14" t="n">
        <f aca="false">IF(G10&lt;=0.001,3,IF(G10&lt;=0.003,2,IF(G10&lt;=0.005,1,0)))</f>
        <v>3</v>
      </c>
      <c r="I10" s="14"/>
      <c r="J10" s="14" t="n">
        <f aca="false">IF(I10=0,2,0)</f>
        <v>2</v>
      </c>
      <c r="K10" s="15" t="n">
        <f aca="false">D10+H10+J10</f>
        <v>6</v>
      </c>
    </row>
    <row r="11" customFormat="false" ht="21.75" hidden="false" customHeight="true" outlineLevel="0" collapsed="false">
      <c r="A11" s="14" t="str">
        <f aca="false">供应商基础信息!B6</f>
        <v>伽玛</v>
      </c>
      <c r="B11" s="14"/>
      <c r="C11" s="14"/>
      <c r="D11" s="14" t="n">
        <f aca="false">IF(C11&gt;=0.98,5,IF(C11&gt;=0.95,4,IF(C11&gt;=0.9,3,IF(C11&gt;=0.85,2,1))))</f>
        <v>1</v>
      </c>
      <c r="E11" s="14"/>
      <c r="F11" s="14"/>
      <c r="G11" s="14" t="n">
        <f aca="false">IF(F11=0,0,E11/F11)</f>
        <v>0</v>
      </c>
      <c r="H11" s="14" t="n">
        <f aca="false">IF(G11&lt;=0.001,3,IF(G11&lt;=0.003,2,IF(G11&lt;=0.005,1,0)))</f>
        <v>3</v>
      </c>
      <c r="I11" s="14"/>
      <c r="J11" s="14" t="n">
        <f aca="false">IF(I11=0,2,0)</f>
        <v>2</v>
      </c>
      <c r="K11" s="15" t="n">
        <f aca="false">D11+H11+J11</f>
        <v>6</v>
      </c>
    </row>
    <row r="12" customFormat="false" ht="21.75" hidden="false" customHeight="true" outlineLevel="0" collapsed="false">
      <c r="A12" s="14" t="str">
        <f aca="false">供应商基础信息!B7</f>
        <v>赛维斯</v>
      </c>
      <c r="B12" s="14"/>
      <c r="C12" s="14"/>
      <c r="D12" s="14" t="n">
        <f aca="false">IF(C12&gt;=0.98,5,IF(C12&gt;=0.95,4,IF(C12&gt;=0.9,3,IF(C12&gt;=0.85,2,1))))</f>
        <v>1</v>
      </c>
      <c r="E12" s="14"/>
      <c r="F12" s="14"/>
      <c r="G12" s="14" t="n">
        <f aca="false">IF(F12=0,0,E12/F12)</f>
        <v>0</v>
      </c>
      <c r="H12" s="14" t="n">
        <f aca="false">IF(G12&lt;=0.001,3,IF(G12&lt;=0.003,2,IF(G12&lt;=0.005,1,0)))</f>
        <v>3</v>
      </c>
      <c r="I12" s="14"/>
      <c r="J12" s="14" t="n">
        <f aca="false">IF(I12=0,2,0)</f>
        <v>2</v>
      </c>
      <c r="K12" s="15" t="n">
        <f aca="false">D12+H12+J12</f>
        <v>6</v>
      </c>
    </row>
    <row r="13" customFormat="false" ht="21.75" hidden="false" customHeight="true" outlineLevel="0" collapsed="false">
      <c r="A13" s="14" t="str">
        <f aca="false">供应商基础信息!B8</f>
        <v>岐力</v>
      </c>
      <c r="B13" s="14"/>
      <c r="C13" s="14"/>
      <c r="D13" s="14" t="n">
        <f aca="false">IF(C13&gt;=0.98,5,IF(C13&gt;=0.95,4,IF(C13&gt;=0.9,3,IF(C13&gt;=0.85,2,1))))</f>
        <v>1</v>
      </c>
      <c r="E13" s="14"/>
      <c r="F13" s="14"/>
      <c r="G13" s="14" t="n">
        <f aca="false">IF(F13=0,0,E13/F13)</f>
        <v>0</v>
      </c>
      <c r="H13" s="14" t="n">
        <f aca="false">IF(G13&lt;=0.001,3,IF(G13&lt;=0.003,2,IF(G13&lt;=0.005,1,0)))</f>
        <v>3</v>
      </c>
      <c r="I13" s="14"/>
      <c r="J13" s="14" t="n">
        <f aca="false">IF(I13=0,2,0)</f>
        <v>2</v>
      </c>
      <c r="K13" s="15" t="n">
        <f aca="false">D13+H13+J13</f>
        <v>6</v>
      </c>
    </row>
    <row r="14" customFormat="false" ht="21.75" hidden="false" customHeight="true" outlineLevel="0" collapsed="false">
      <c r="A14" s="14" t="str">
        <f aca="false">供应商基础信息!B9</f>
        <v>翰锐</v>
      </c>
      <c r="B14" s="14"/>
      <c r="C14" s="14"/>
      <c r="D14" s="14" t="n">
        <f aca="false">IF(C14&gt;=0.98,5,IF(C14&gt;=0.95,4,IF(C14&gt;=0.9,3,IF(C14&gt;=0.85,2,1))))</f>
        <v>1</v>
      </c>
      <c r="E14" s="14"/>
      <c r="F14" s="14"/>
      <c r="G14" s="14" t="n">
        <f aca="false">IF(F14=0,0,E14/F14)</f>
        <v>0</v>
      </c>
      <c r="H14" s="14" t="n">
        <f aca="false">IF(G14&lt;=0.001,3,IF(G14&lt;=0.003,2,IF(G14&lt;=0.005,1,0)))</f>
        <v>3</v>
      </c>
      <c r="I14" s="14"/>
      <c r="J14" s="14" t="n">
        <f aca="false">IF(I14=0,2,0)</f>
        <v>2</v>
      </c>
      <c r="K14" s="15" t="n">
        <f aca="false">D14+H14+J14</f>
        <v>6</v>
      </c>
    </row>
    <row r="15" customFormat="false" ht="21.75" hidden="false" customHeight="true" outlineLevel="0" collapsed="false">
      <c r="A15" s="14" t="str">
        <f aca="false">供应商基础信息!B10</f>
        <v>供应商G</v>
      </c>
      <c r="B15" s="14"/>
      <c r="C15" s="14"/>
      <c r="D15" s="14" t="n">
        <f aca="false">IF(C15&gt;=0.98,5,IF(C15&gt;=0.95,4,IF(C15&gt;=0.9,3,IF(C15&gt;=0.85,2,1))))</f>
        <v>1</v>
      </c>
      <c r="E15" s="14"/>
      <c r="F15" s="14"/>
      <c r="G15" s="14" t="n">
        <f aca="false">IF(F15=0,0,E15/F15)</f>
        <v>0</v>
      </c>
      <c r="H15" s="14" t="n">
        <f aca="false">IF(G15&lt;=0.001,3,IF(G15&lt;=0.003,2,IF(G15&lt;=0.005,1,0)))</f>
        <v>3</v>
      </c>
      <c r="I15" s="14"/>
      <c r="J15" s="14" t="n">
        <f aca="false">IF(I15=0,2,0)</f>
        <v>2</v>
      </c>
      <c r="K15" s="15" t="n">
        <f aca="false">D15+H15+J15</f>
        <v>6</v>
      </c>
    </row>
    <row r="16" customFormat="false" ht="21.75" hidden="false" customHeight="true" outlineLevel="0" collapsed="false">
      <c r="A16" s="14" t="str">
        <f aca="false">供应商基础信息!B11</f>
        <v>供应商H</v>
      </c>
      <c r="B16" s="14"/>
      <c r="C16" s="14"/>
      <c r="D16" s="14" t="n">
        <f aca="false">IF(C16&gt;=0.98,5,IF(C16&gt;=0.95,4,IF(C16&gt;=0.9,3,IF(C16&gt;=0.85,2,1))))</f>
        <v>1</v>
      </c>
      <c r="E16" s="14"/>
      <c r="F16" s="14"/>
      <c r="G16" s="14" t="n">
        <f aca="false">IF(F16=0,0,E16/F16)</f>
        <v>0</v>
      </c>
      <c r="H16" s="14" t="n">
        <f aca="false">IF(G16&lt;=0.001,3,IF(G16&lt;=0.003,2,IF(G16&lt;=0.005,1,0)))</f>
        <v>3</v>
      </c>
      <c r="I16" s="14"/>
      <c r="J16" s="14" t="n">
        <f aca="false">IF(I16=0,2,0)</f>
        <v>2</v>
      </c>
      <c r="K16" s="15" t="n">
        <f aca="false">D16+H16+J16</f>
        <v>6</v>
      </c>
    </row>
    <row r="17" customFormat="false" ht="21.75" hidden="false" customHeight="true" outlineLevel="0" collapsed="false">
      <c r="A17" s="14" t="str">
        <f aca="false">供应商基础信息!B12</f>
        <v>供应商I</v>
      </c>
      <c r="B17" s="14"/>
      <c r="C17" s="14"/>
      <c r="D17" s="14" t="n">
        <f aca="false">IF(C17&gt;=0.98,5,IF(C17&gt;=0.95,4,IF(C17&gt;=0.9,3,IF(C17&gt;=0.85,2,1))))</f>
        <v>1</v>
      </c>
      <c r="E17" s="14"/>
      <c r="F17" s="14"/>
      <c r="G17" s="14" t="n">
        <f aca="false">IF(F17=0,0,E17/F17)</f>
        <v>0</v>
      </c>
      <c r="H17" s="14" t="n">
        <f aca="false">IF(G17&lt;=0.001,3,IF(G17&lt;=0.003,2,IF(G17&lt;=0.005,1,0)))</f>
        <v>3</v>
      </c>
      <c r="I17" s="14"/>
      <c r="J17" s="14" t="n">
        <f aca="false">IF(I17=0,2,0)</f>
        <v>2</v>
      </c>
      <c r="K17" s="15" t="n">
        <f aca="false">D17+H17+J17</f>
        <v>6</v>
      </c>
    </row>
    <row r="18" customFormat="false" ht="21.75" hidden="false" customHeight="true" outlineLevel="0" collapsed="false">
      <c r="A18" s="14" t="n">
        <f aca="false">供应商基础信息!B13</f>
        <v>0</v>
      </c>
      <c r="B18" s="14"/>
      <c r="C18" s="14"/>
      <c r="D18" s="14" t="n">
        <f aca="false">IF(C18&gt;=0.98,5,IF(C18&gt;=0.95,4,IF(C18&gt;=0.9,3,IF(C18&gt;=0.85,2,1))))</f>
        <v>1</v>
      </c>
      <c r="E18" s="14"/>
      <c r="F18" s="14"/>
      <c r="G18" s="14" t="n">
        <f aca="false">IF(F18=0,0,E18/F18)</f>
        <v>0</v>
      </c>
      <c r="H18" s="14" t="n">
        <f aca="false">IF(G18&lt;=0.001,3,IF(G18&lt;=0.003,2,IF(G18&lt;=0.005,1,0)))</f>
        <v>3</v>
      </c>
      <c r="I18" s="14"/>
      <c r="J18" s="14" t="n">
        <f aca="false">IF(I18=0,2,0)</f>
        <v>2</v>
      </c>
      <c r="K18" s="15" t="n">
        <f aca="false">D18+H18+J18</f>
        <v>6</v>
      </c>
    </row>
    <row r="19" customFormat="false" ht="21.75" hidden="false" customHeight="true" outlineLevel="0" collapsed="false">
      <c r="A19" s="14" t="n">
        <f aca="false">供应商基础信息!B14</f>
        <v>0</v>
      </c>
      <c r="B19" s="14"/>
      <c r="C19" s="14"/>
      <c r="D19" s="14" t="n">
        <f aca="false">IF(C19&gt;=0.98,5,IF(C19&gt;=0.95,4,IF(C19&gt;=0.9,3,IF(C19&gt;=0.85,2,1))))</f>
        <v>1</v>
      </c>
      <c r="E19" s="14"/>
      <c r="F19" s="14"/>
      <c r="G19" s="14" t="n">
        <f aca="false">IF(F19=0,0,E19/F19)</f>
        <v>0</v>
      </c>
      <c r="H19" s="14" t="n">
        <f aca="false">IF(G19&lt;=0.001,3,IF(G19&lt;=0.003,2,IF(G19&lt;=0.005,1,0)))</f>
        <v>3</v>
      </c>
      <c r="I19" s="14"/>
      <c r="J19" s="14" t="n">
        <f aca="false">IF(I19=0,2,0)</f>
        <v>2</v>
      </c>
      <c r="K19" s="15" t="n">
        <f aca="false">D19+H19+J19</f>
        <v>6</v>
      </c>
    </row>
    <row r="20" customFormat="false" ht="21.75" hidden="false" customHeight="true" outlineLevel="0" collapsed="false">
      <c r="A20" s="14" t="n">
        <f aca="false">供应商基础信息!B15</f>
        <v>0</v>
      </c>
      <c r="B20" s="14"/>
      <c r="C20" s="14"/>
      <c r="D20" s="14" t="n">
        <f aca="false">IF(C20&gt;=0.98,5,IF(C20&gt;=0.95,4,IF(C20&gt;=0.9,3,IF(C20&gt;=0.85,2,1))))</f>
        <v>1</v>
      </c>
      <c r="E20" s="14"/>
      <c r="F20" s="14"/>
      <c r="G20" s="14" t="n">
        <f aca="false">IF(F20=0,0,E20/F20)</f>
        <v>0</v>
      </c>
      <c r="H20" s="14" t="n">
        <f aca="false">IF(G20&lt;=0.001,3,IF(G20&lt;=0.003,2,IF(G20&lt;=0.005,1,0)))</f>
        <v>3</v>
      </c>
      <c r="I20" s="14"/>
      <c r="J20" s="14" t="n">
        <f aca="false">IF(I20=0,2,0)</f>
        <v>2</v>
      </c>
      <c r="K20" s="15" t="n">
        <f aca="false">D20+H20+J20</f>
        <v>6</v>
      </c>
    </row>
    <row r="21" customFormat="false" ht="21.75" hidden="false" customHeight="true" outlineLevel="0" collapsed="false">
      <c r="A21" s="14" t="n">
        <f aca="false">供应商基础信息!B16</f>
        <v>0</v>
      </c>
      <c r="B21" s="14"/>
      <c r="C21" s="14"/>
      <c r="D21" s="14" t="n">
        <f aca="false">IF(C21&gt;=0.98,5,IF(C21&gt;=0.95,4,IF(C21&gt;=0.9,3,IF(C21&gt;=0.85,2,1))))</f>
        <v>1</v>
      </c>
      <c r="E21" s="14"/>
      <c r="F21" s="14"/>
      <c r="G21" s="14" t="n">
        <f aca="false">IF(F21=0,0,E21/F21)</f>
        <v>0</v>
      </c>
      <c r="H21" s="14" t="n">
        <f aca="false">IF(G21&lt;=0.001,3,IF(G21&lt;=0.003,2,IF(G21&lt;=0.005,1,0)))</f>
        <v>3</v>
      </c>
      <c r="I21" s="14"/>
      <c r="J21" s="14" t="n">
        <f aca="false">IF(I21=0,2,0)</f>
        <v>2</v>
      </c>
      <c r="K21" s="15" t="n">
        <f aca="false">D21+H21+J21</f>
        <v>6</v>
      </c>
    </row>
    <row r="22" customFormat="false" ht="21.75" hidden="false" customHeight="true" outlineLevel="0" collapsed="false">
      <c r="A22" s="14" t="n">
        <f aca="false">供应商基础信息!B17</f>
        <v>0</v>
      </c>
      <c r="B22" s="14"/>
      <c r="C22" s="14"/>
      <c r="D22" s="14" t="n">
        <f aca="false">IF(C22&gt;=0.98,5,IF(C22&gt;=0.95,4,IF(C22&gt;=0.9,3,IF(C22&gt;=0.85,2,1))))</f>
        <v>1</v>
      </c>
      <c r="E22" s="14"/>
      <c r="F22" s="14"/>
      <c r="G22" s="14" t="n">
        <f aca="false">IF(F22=0,0,E22/F22)</f>
        <v>0</v>
      </c>
      <c r="H22" s="14" t="n">
        <f aca="false">IF(G22&lt;=0.001,3,IF(G22&lt;=0.003,2,IF(G22&lt;=0.005,1,0)))</f>
        <v>3</v>
      </c>
      <c r="I22" s="14"/>
      <c r="J22" s="14" t="n">
        <f aca="false">IF(I22=0,2,0)</f>
        <v>2</v>
      </c>
      <c r="K22" s="15" t="n">
        <f aca="false">D22+H22+J22</f>
        <v>6</v>
      </c>
    </row>
    <row r="23" customFormat="false" ht="21.75" hidden="false" customHeight="true" outlineLevel="0" collapsed="false">
      <c r="A23" s="14" t="n">
        <f aca="false">供应商基础信息!B18</f>
        <v>0</v>
      </c>
      <c r="B23" s="14"/>
      <c r="C23" s="14"/>
      <c r="D23" s="14" t="n">
        <f aca="false">IF(C23&gt;=0.98,5,IF(C23&gt;=0.95,4,IF(C23&gt;=0.9,3,IF(C23&gt;=0.85,2,1))))</f>
        <v>1</v>
      </c>
      <c r="E23" s="14"/>
      <c r="F23" s="14"/>
      <c r="G23" s="14" t="n">
        <f aca="false">IF(F23=0,0,E23/F23)</f>
        <v>0</v>
      </c>
      <c r="H23" s="14" t="n">
        <f aca="false">IF(G23&lt;=0.001,3,IF(G23&lt;=0.003,2,IF(G23&lt;=0.005,1,0)))</f>
        <v>3</v>
      </c>
      <c r="I23" s="14"/>
      <c r="J23" s="14" t="n">
        <f aca="false">IF(I23=0,2,0)</f>
        <v>2</v>
      </c>
      <c r="K23" s="15" t="n">
        <f aca="false">D23+H23+J23</f>
        <v>6</v>
      </c>
    </row>
    <row r="24" customFormat="false" ht="21.75" hidden="false" customHeight="true" outlineLevel="0" collapsed="false">
      <c r="A24" s="14" t="n">
        <f aca="false">供应商基础信息!B19</f>
        <v>0</v>
      </c>
      <c r="B24" s="14"/>
      <c r="C24" s="14"/>
      <c r="D24" s="14" t="n">
        <f aca="false">IF(C24&gt;=0.98,5,IF(C24&gt;=0.95,4,IF(C24&gt;=0.9,3,IF(C24&gt;=0.85,2,1))))</f>
        <v>1</v>
      </c>
      <c r="E24" s="14"/>
      <c r="F24" s="14"/>
      <c r="G24" s="14" t="n">
        <f aca="false">IF(F24=0,0,E24/F24)</f>
        <v>0</v>
      </c>
      <c r="H24" s="14" t="n">
        <f aca="false">IF(G24&lt;=0.001,3,IF(G24&lt;=0.003,2,IF(G24&lt;=0.005,1,0)))</f>
        <v>3</v>
      </c>
      <c r="I24" s="14"/>
      <c r="J24" s="14" t="n">
        <f aca="false">IF(I24=0,2,0)</f>
        <v>2</v>
      </c>
      <c r="K24" s="15" t="n">
        <f aca="false">D24+H24+J24</f>
        <v>6</v>
      </c>
    </row>
    <row r="25" customFormat="false" ht="21.75" hidden="false" customHeight="true" outlineLevel="0" collapsed="false">
      <c r="A25" s="14" t="n">
        <f aca="false">供应商基础信息!B20</f>
        <v>0</v>
      </c>
      <c r="B25" s="14"/>
      <c r="C25" s="14"/>
      <c r="D25" s="14" t="n">
        <f aca="false">IF(C25&gt;=0.98,5,IF(C25&gt;=0.95,4,IF(C25&gt;=0.9,3,IF(C25&gt;=0.85,2,1))))</f>
        <v>1</v>
      </c>
      <c r="E25" s="14"/>
      <c r="F25" s="14"/>
      <c r="G25" s="14" t="n">
        <f aca="false">IF(F25=0,0,E25/F25)</f>
        <v>0</v>
      </c>
      <c r="H25" s="14" t="n">
        <f aca="false">IF(G25&lt;=0.001,3,IF(G25&lt;=0.003,2,IF(G25&lt;=0.005,1,0)))</f>
        <v>3</v>
      </c>
      <c r="I25" s="14"/>
      <c r="J25" s="14" t="n">
        <f aca="false">IF(I25=0,2,0)</f>
        <v>2</v>
      </c>
      <c r="K25" s="15" t="n">
        <f aca="false">D25+H25+J25</f>
        <v>6</v>
      </c>
    </row>
    <row r="26" customFormat="false" ht="21.75" hidden="false" customHeight="true" outlineLevel="0" collapsed="false">
      <c r="A26" s="14" t="n">
        <f aca="false">供应商基础信息!B21</f>
        <v>0</v>
      </c>
      <c r="B26" s="14"/>
      <c r="C26" s="14"/>
      <c r="D26" s="14" t="n">
        <f aca="false">IF(C26&gt;=0.98,5,IF(C26&gt;=0.95,4,IF(C26&gt;=0.9,3,IF(C26&gt;=0.85,2,1))))</f>
        <v>1</v>
      </c>
      <c r="E26" s="14"/>
      <c r="F26" s="14"/>
      <c r="G26" s="14" t="n">
        <f aca="false">IF(F26=0,0,E26/F26)</f>
        <v>0</v>
      </c>
      <c r="H26" s="14" t="n">
        <f aca="false">IF(G26&lt;=0.001,3,IF(G26&lt;=0.003,2,IF(G26&lt;=0.005,1,0)))</f>
        <v>3</v>
      </c>
      <c r="I26" s="14"/>
      <c r="J26" s="14" t="n">
        <f aca="false">IF(I26=0,2,0)</f>
        <v>2</v>
      </c>
      <c r="K26" s="15" t="n">
        <f aca="false">D26+H26+J26</f>
        <v>6</v>
      </c>
    </row>
    <row r="27" customFormat="false" ht="21.75" hidden="false" customHeight="true" outlineLevel="0" collapsed="false">
      <c r="A27" s="14" t="n">
        <f aca="false">供应商基础信息!B22</f>
        <v>0</v>
      </c>
      <c r="B27" s="14"/>
      <c r="C27" s="14"/>
      <c r="D27" s="14" t="n">
        <f aca="false">IF(C27&gt;=0.98,5,IF(C27&gt;=0.95,4,IF(C27&gt;=0.9,3,IF(C27&gt;=0.85,2,1))))</f>
        <v>1</v>
      </c>
      <c r="E27" s="14"/>
      <c r="F27" s="14"/>
      <c r="G27" s="14" t="n">
        <f aca="false">IF(F27=0,0,E27/F27)</f>
        <v>0</v>
      </c>
      <c r="H27" s="14" t="n">
        <f aca="false">IF(G27&lt;=0.001,3,IF(G27&lt;=0.003,2,IF(G27&lt;=0.005,1,0)))</f>
        <v>3</v>
      </c>
      <c r="I27" s="14"/>
      <c r="J27" s="14" t="n">
        <f aca="false">IF(I27=0,2,0)</f>
        <v>2</v>
      </c>
      <c r="K27" s="15" t="n">
        <f aca="false">D27+H27+J27</f>
        <v>6</v>
      </c>
    </row>
    <row r="28" customFormat="false" ht="21.75" hidden="false" customHeight="true" outlineLevel="0" collapsed="false">
      <c r="A28" s="14" t="n">
        <f aca="false">供应商基础信息!B23</f>
        <v>0</v>
      </c>
      <c r="B28" s="14"/>
      <c r="C28" s="14"/>
      <c r="D28" s="14" t="n">
        <f aca="false">IF(C28&gt;=0.98,5,IF(C28&gt;=0.95,4,IF(C28&gt;=0.9,3,IF(C28&gt;=0.85,2,1))))</f>
        <v>1</v>
      </c>
      <c r="E28" s="14"/>
      <c r="F28" s="14"/>
      <c r="G28" s="14" t="n">
        <f aca="false">IF(F28=0,0,E28/F28)</f>
        <v>0</v>
      </c>
      <c r="H28" s="14" t="n">
        <f aca="false">IF(G28&lt;=0.001,3,IF(G28&lt;=0.003,2,IF(G28&lt;=0.005,1,0)))</f>
        <v>3</v>
      </c>
      <c r="I28" s="14"/>
      <c r="J28" s="14" t="n">
        <f aca="false">IF(I28=0,2,0)</f>
        <v>2</v>
      </c>
      <c r="K28" s="15" t="n">
        <f aca="false">D28+H28+J28</f>
        <v>6</v>
      </c>
    </row>
    <row r="29" customFormat="false" ht="21.75" hidden="false" customHeight="true" outlineLevel="0" collapsed="false">
      <c r="A29" s="14" t="n">
        <f aca="false">供应商基础信息!B24</f>
        <v>0</v>
      </c>
      <c r="B29" s="14"/>
      <c r="C29" s="14"/>
      <c r="D29" s="14" t="n">
        <f aca="false">IF(C29&gt;=0.98,5,IF(C29&gt;=0.95,4,IF(C29&gt;=0.9,3,IF(C29&gt;=0.85,2,1))))</f>
        <v>1</v>
      </c>
      <c r="E29" s="14"/>
      <c r="F29" s="14"/>
      <c r="G29" s="14" t="n">
        <f aca="false">IF(F29=0,0,E29/F29)</f>
        <v>0</v>
      </c>
      <c r="H29" s="14" t="n">
        <f aca="false">IF(G29&lt;=0.001,3,IF(G29&lt;=0.003,2,IF(G29&lt;=0.005,1,0)))</f>
        <v>3</v>
      </c>
      <c r="I29" s="14"/>
      <c r="J29" s="14" t="n">
        <f aca="false">IF(I29=0,2,0)</f>
        <v>2</v>
      </c>
      <c r="K29" s="15" t="n">
        <f aca="false">D29+H29+J29</f>
        <v>6</v>
      </c>
    </row>
    <row r="30" customFormat="false" ht="21.75" hidden="false" customHeight="true" outlineLevel="0" collapsed="false">
      <c r="A30" s="14" t="n">
        <f aca="false">供应商基础信息!B25</f>
        <v>0</v>
      </c>
      <c r="B30" s="14"/>
      <c r="C30" s="14"/>
      <c r="D30" s="14" t="n">
        <f aca="false">IF(C30&gt;=0.98,5,IF(C30&gt;=0.95,4,IF(C30&gt;=0.9,3,IF(C30&gt;=0.85,2,1))))</f>
        <v>1</v>
      </c>
      <c r="E30" s="14"/>
      <c r="F30" s="14"/>
      <c r="G30" s="14" t="n">
        <f aca="false">IF(F30=0,0,E30/F30)</f>
        <v>0</v>
      </c>
      <c r="H30" s="14" t="n">
        <f aca="false">IF(G30&lt;=0.001,3,IF(G30&lt;=0.003,2,IF(G30&lt;=0.005,1,0)))</f>
        <v>3</v>
      </c>
      <c r="I30" s="14"/>
      <c r="J30" s="14" t="n">
        <f aca="false">IF(I30=0,2,0)</f>
        <v>2</v>
      </c>
      <c r="K30" s="15" t="n">
        <f aca="false">D30+H30+J30</f>
        <v>6</v>
      </c>
    </row>
    <row r="31" customFormat="false" ht="21.75" hidden="false" customHeight="true" outlineLevel="0" collapsed="false">
      <c r="A31" s="14" t="n">
        <f aca="false">供应商基础信息!B26</f>
        <v>0</v>
      </c>
      <c r="B31" s="14"/>
      <c r="C31" s="14"/>
      <c r="D31" s="14" t="n">
        <f aca="false">IF(C31&gt;=0.98,5,IF(C31&gt;=0.95,4,IF(C31&gt;=0.9,3,IF(C31&gt;=0.85,2,1))))</f>
        <v>1</v>
      </c>
      <c r="E31" s="14"/>
      <c r="F31" s="14"/>
      <c r="G31" s="14" t="n">
        <f aca="false">IF(F31=0,0,E31/F31)</f>
        <v>0</v>
      </c>
      <c r="H31" s="14" t="n">
        <f aca="false">IF(G31&lt;=0.001,3,IF(G31&lt;=0.003,2,IF(G31&lt;=0.005,1,0)))</f>
        <v>3</v>
      </c>
      <c r="I31" s="14"/>
      <c r="J31" s="14" t="n">
        <f aca="false">IF(I31=0,2,0)</f>
        <v>2</v>
      </c>
      <c r="K31" s="15" t="n">
        <f aca="false">D31+H31+J31</f>
        <v>6</v>
      </c>
    </row>
    <row r="32" customFormat="false" ht="21.75" hidden="false" customHeight="true" outlineLevel="0" collapsed="false">
      <c r="A32" s="14" t="n">
        <f aca="false">供应商基础信息!B27</f>
        <v>0</v>
      </c>
      <c r="B32" s="14"/>
      <c r="C32" s="14"/>
      <c r="D32" s="14" t="n">
        <f aca="false">IF(C32&gt;=0.98,5,IF(C32&gt;=0.95,4,IF(C32&gt;=0.9,3,IF(C32&gt;=0.85,2,1))))</f>
        <v>1</v>
      </c>
      <c r="E32" s="14"/>
      <c r="F32" s="14"/>
      <c r="G32" s="14" t="n">
        <f aca="false">IF(F32=0,0,E32/F32)</f>
        <v>0</v>
      </c>
      <c r="H32" s="14" t="n">
        <f aca="false">IF(G32&lt;=0.001,3,IF(G32&lt;=0.003,2,IF(G32&lt;=0.005,1,0)))</f>
        <v>3</v>
      </c>
      <c r="I32" s="14"/>
      <c r="J32" s="14" t="n">
        <f aca="false">IF(I32=0,2,0)</f>
        <v>2</v>
      </c>
      <c r="K32" s="15" t="n">
        <f aca="false">D32+H32+J32</f>
        <v>6</v>
      </c>
    </row>
    <row r="33" customFormat="false" ht="21.75" hidden="false" customHeight="true" outlineLevel="0" collapsed="false">
      <c r="A33" s="14" t="n">
        <f aca="false">供应商基础信息!B28</f>
        <v>0</v>
      </c>
      <c r="B33" s="14"/>
      <c r="C33" s="14"/>
      <c r="D33" s="14" t="n">
        <f aca="false">IF(C33&gt;=0.98,5,IF(C33&gt;=0.95,4,IF(C33&gt;=0.9,3,IF(C33&gt;=0.85,2,1))))</f>
        <v>1</v>
      </c>
      <c r="E33" s="14"/>
      <c r="F33" s="14"/>
      <c r="G33" s="14" t="n">
        <f aca="false">IF(F33=0,0,E33/F33)</f>
        <v>0</v>
      </c>
      <c r="H33" s="14" t="n">
        <f aca="false">IF(G33&lt;=0.001,3,IF(G33&lt;=0.003,2,IF(G33&lt;=0.005,1,0)))</f>
        <v>3</v>
      </c>
      <c r="I33" s="14"/>
      <c r="J33" s="14" t="n">
        <f aca="false">IF(I33=0,2,0)</f>
        <v>2</v>
      </c>
      <c r="K33" s="15" t="n">
        <f aca="false">D33+H33+J33</f>
        <v>6</v>
      </c>
    </row>
    <row r="34" customFormat="false" ht="21.75" hidden="false" customHeight="true" outlineLevel="0" collapsed="false">
      <c r="A34" s="14" t="n">
        <f aca="false">供应商基础信息!B29</f>
        <v>0</v>
      </c>
      <c r="B34" s="14"/>
      <c r="C34" s="14"/>
      <c r="D34" s="14" t="n">
        <f aca="false">IF(C34&gt;=0.98,5,IF(C34&gt;=0.95,4,IF(C34&gt;=0.9,3,IF(C34&gt;=0.85,2,1))))</f>
        <v>1</v>
      </c>
      <c r="E34" s="14"/>
      <c r="F34" s="14"/>
      <c r="G34" s="14" t="n">
        <f aca="false">IF(F34=0,0,E34/F34)</f>
        <v>0</v>
      </c>
      <c r="H34" s="14" t="n">
        <f aca="false">IF(G34&lt;=0.001,3,IF(G34&lt;=0.003,2,IF(G34&lt;=0.005,1,0)))</f>
        <v>3</v>
      </c>
      <c r="I34" s="14"/>
      <c r="J34" s="14" t="n">
        <f aca="false">IF(I34=0,2,0)</f>
        <v>2</v>
      </c>
      <c r="K34" s="15" t="n">
        <f aca="false">D34+H34+J34</f>
        <v>6</v>
      </c>
    </row>
    <row r="35" customFormat="false" ht="21.75" hidden="false" customHeight="true" outlineLevel="0" collapsed="false">
      <c r="A35" s="14" t="n">
        <f aca="false">供应商基础信息!B30</f>
        <v>0</v>
      </c>
      <c r="B35" s="14"/>
      <c r="C35" s="14"/>
      <c r="D35" s="14" t="n">
        <f aca="false">IF(C35&gt;=0.98,5,IF(C35&gt;=0.95,4,IF(C35&gt;=0.9,3,IF(C35&gt;=0.85,2,1))))</f>
        <v>1</v>
      </c>
      <c r="E35" s="14"/>
      <c r="F35" s="14"/>
      <c r="G35" s="14" t="n">
        <f aca="false">IF(F35=0,0,E35/F35)</f>
        <v>0</v>
      </c>
      <c r="H35" s="14" t="n">
        <f aca="false">IF(G35&lt;=0.001,3,IF(G35&lt;=0.003,2,IF(G35&lt;=0.005,1,0)))</f>
        <v>3</v>
      </c>
      <c r="I35" s="14"/>
      <c r="J35" s="14" t="n">
        <f aca="false">IF(I35=0,2,0)</f>
        <v>2</v>
      </c>
      <c r="K35" s="15" t="n">
        <f aca="false">D35+H35+J35</f>
        <v>6</v>
      </c>
    </row>
  </sheetData>
  <mergeCells count="5">
    <mergeCell ref="A1:E1"/>
    <mergeCell ref="A3:E3"/>
    <mergeCell ref="B4:E4"/>
    <mergeCell ref="B5:E5"/>
    <mergeCell ref="B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3" min="1" style="0" width="16.38"/>
    <col collapsed="false" customWidth="true" hidden="false" outlineLevel="0" max="5" min="4" style="0" width="10.92"/>
    <col collapsed="false" customWidth="true" hidden="false" outlineLevel="0" max="7" min="6" style="0" width="9.1"/>
    <col collapsed="false" customWidth="true" hidden="false" outlineLevel="0" max="8" min="8" style="0" width="12.74"/>
    <col collapsed="false" customWidth="true" hidden="false" outlineLevel="0" max="9" min="9" style="0" width="9.1"/>
    <col collapsed="false" customWidth="true" hidden="false" outlineLevel="0" max="10" min="10" style="0" width="12.74"/>
    <col collapsed="false" customWidth="true" hidden="false" outlineLevel="0" max="12" min="11" style="0" width="10.92"/>
  </cols>
  <sheetData>
    <row r="1" customFormat="false" ht="30" hidden="false" customHeight="true" outlineLevel="0" collapsed="false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customFormat="false" ht="15" hidden="false" customHeight="true" outlineLevel="0" collapsed="false">
      <c r="A3" s="19" t="s">
        <v>100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5" customFormat="false" ht="31.3" hidden="false" customHeight="false" outlineLevel="0" collapsed="false">
      <c r="A5" s="2" t="s">
        <v>2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108</v>
      </c>
      <c r="J5" s="2" t="s">
        <v>109</v>
      </c>
      <c r="K5" s="2" t="s">
        <v>110</v>
      </c>
      <c r="L5" s="2" t="s">
        <v>111</v>
      </c>
    </row>
    <row r="6" customFormat="false" ht="15" hidden="false" customHeight="false" outlineLevel="0" collapsed="false">
      <c r="A6" s="20" t="str">
        <f aca="false">供应商基础信息!B4</f>
        <v>毅航</v>
      </c>
      <c r="B6" s="20" t="n">
        <f aca="false">'业务督导评分(60分)'!T11</f>
        <v>22</v>
      </c>
      <c r="C6" s="20" t="n">
        <f aca="false">'供应商管理评分(30分)'!M11</f>
        <v>7</v>
      </c>
      <c r="D6" s="20" t="n">
        <f aca="false">'质检评分(10分)'!K11</f>
        <v>6</v>
      </c>
      <c r="E6" s="21" t="n">
        <f aca="false">B6+C6+D6</f>
        <v>35</v>
      </c>
      <c r="F6" s="20" t="n">
        <f aca="false">RANK(E6,$E$6:$E$38,0)</f>
        <v>1</v>
      </c>
      <c r="G6" s="20" t="str">
        <f aca="false">IF(E6&gt;=85,"A",IF(E6&gt;=70,"B","C"))</f>
        <v>C</v>
      </c>
      <c r="H6" s="20" t="str">
        <f aca="false">IF(F6&gt;23,"是","否")</f>
        <v>否</v>
      </c>
      <c r="I6" s="20" t="str">
        <f aca="false">IF(H6="是",IF(G6="A","B",IF(G6="B","C","C")),G6)</f>
        <v>C</v>
      </c>
      <c r="J6" s="4" t="n">
        <v>0</v>
      </c>
      <c r="K6" s="20" t="str">
        <f aca="false">IF(I6="C","是","否")</f>
        <v>是</v>
      </c>
      <c r="L6" s="20" t="str">
        <f aca="false">IF(OR(I6="C",J6&gt;=2),"是","否")</f>
        <v>是</v>
      </c>
    </row>
    <row r="7" customFormat="false" ht="15" hidden="false" customHeight="false" outlineLevel="0" collapsed="false">
      <c r="A7" s="20" t="str">
        <f aca="false">供应商基础信息!B5</f>
        <v>毛毛虫</v>
      </c>
      <c r="B7" s="20" t="n">
        <f aca="false">'业务督导评分(60分)'!T12</f>
        <v>22</v>
      </c>
      <c r="C7" s="20" t="n">
        <f aca="false">'供应商管理评分(30分)'!M12</f>
        <v>7</v>
      </c>
      <c r="D7" s="20" t="n">
        <f aca="false">'质检评分(10分)'!K12</f>
        <v>6</v>
      </c>
      <c r="E7" s="21" t="n">
        <f aca="false">B7+C7+D7</f>
        <v>35</v>
      </c>
      <c r="F7" s="20" t="n">
        <f aca="false">RANK(E7,$E$6:$E$38,0)</f>
        <v>1</v>
      </c>
      <c r="G7" s="20" t="str">
        <f aca="false">IF(E7&gt;=85,"A",IF(E7&gt;=70,"B","C"))</f>
        <v>C</v>
      </c>
      <c r="H7" s="20" t="str">
        <f aca="false">IF(F7&gt;23,"是","否")</f>
        <v>否</v>
      </c>
      <c r="I7" s="20" t="str">
        <f aca="false">IF(H7="是",IF(G7="A","B",IF(G7="B","C","C")),G7)</f>
        <v>C</v>
      </c>
      <c r="J7" s="20"/>
      <c r="K7" s="20" t="str">
        <f aca="false">IF(I7="C","是","否")</f>
        <v>是</v>
      </c>
      <c r="L7" s="20" t="str">
        <f aca="false">IF(OR(I7="C",J7&gt;=2),"是","否")</f>
        <v>是</v>
      </c>
    </row>
    <row r="8" customFormat="false" ht="15" hidden="false" customHeight="false" outlineLevel="0" collapsed="false">
      <c r="A8" s="20" t="str">
        <f aca="false">供应商基础信息!B6</f>
        <v>伽玛</v>
      </c>
      <c r="B8" s="20" t="n">
        <f aca="false">'业务督导评分(60分)'!T13</f>
        <v>22</v>
      </c>
      <c r="C8" s="20" t="n">
        <f aca="false">'供应商管理评分(30分)'!M13</f>
        <v>7</v>
      </c>
      <c r="D8" s="20" t="n">
        <f aca="false">'质检评分(10分)'!K13</f>
        <v>6</v>
      </c>
      <c r="E8" s="21" t="n">
        <f aca="false">B8+C8+D8</f>
        <v>35</v>
      </c>
      <c r="F8" s="20" t="n">
        <f aca="false">RANK(E8,$E$6:$E$38,0)</f>
        <v>1</v>
      </c>
      <c r="G8" s="20" t="str">
        <f aca="false">IF(E8&gt;=85,"A",IF(E8&gt;=70,"B","C"))</f>
        <v>C</v>
      </c>
      <c r="H8" s="20" t="str">
        <f aca="false">IF(F8&gt;23,"是","否")</f>
        <v>否</v>
      </c>
      <c r="I8" s="20" t="str">
        <f aca="false">IF(H8="是",IF(G8="A","B",IF(G8="B","C","C")),G8)</f>
        <v>C</v>
      </c>
      <c r="J8" s="20"/>
      <c r="K8" s="20" t="str">
        <f aca="false">IF(I8="C","是","否")</f>
        <v>是</v>
      </c>
      <c r="L8" s="20" t="str">
        <f aca="false">IF(OR(I8="C",J8&gt;=2),"是","否")</f>
        <v>是</v>
      </c>
    </row>
    <row r="9" customFormat="false" ht="15" hidden="false" customHeight="false" outlineLevel="0" collapsed="false">
      <c r="A9" s="20" t="str">
        <f aca="false">供应商基础信息!B7</f>
        <v>赛维斯</v>
      </c>
      <c r="B9" s="20" t="n">
        <f aca="false">'业务督导评分(60分)'!T14</f>
        <v>22</v>
      </c>
      <c r="C9" s="20" t="n">
        <f aca="false">'供应商管理评分(30分)'!M14</f>
        <v>7</v>
      </c>
      <c r="D9" s="20" t="n">
        <f aca="false">'质检评分(10分)'!K14</f>
        <v>6</v>
      </c>
      <c r="E9" s="21" t="n">
        <f aca="false">B9+C9+D9</f>
        <v>35</v>
      </c>
      <c r="F9" s="20" t="n">
        <f aca="false">RANK(E9,$E$6:$E$38,0)</f>
        <v>1</v>
      </c>
      <c r="G9" s="20" t="str">
        <f aca="false">IF(E9&gt;=85,"A",IF(E9&gt;=70,"B","C"))</f>
        <v>C</v>
      </c>
      <c r="H9" s="20" t="str">
        <f aca="false">IF(F9&gt;23,"是","否")</f>
        <v>否</v>
      </c>
      <c r="I9" s="20" t="str">
        <f aca="false">IF(H9="是",IF(G9="A","B",IF(G9="B","C","C")),G9)</f>
        <v>C</v>
      </c>
      <c r="J9" s="20"/>
      <c r="K9" s="20" t="str">
        <f aca="false">IF(I9="C","是","否")</f>
        <v>是</v>
      </c>
      <c r="L9" s="20" t="str">
        <f aca="false">IF(OR(I9="C",J9&gt;=2),"是","否")</f>
        <v>是</v>
      </c>
    </row>
    <row r="10" customFormat="false" ht="15" hidden="false" customHeight="false" outlineLevel="0" collapsed="false">
      <c r="A10" s="20" t="str">
        <f aca="false">供应商基础信息!B8</f>
        <v>岐力</v>
      </c>
      <c r="B10" s="20" t="n">
        <f aca="false">'业务督导评分(60分)'!T15</f>
        <v>22</v>
      </c>
      <c r="C10" s="20" t="n">
        <f aca="false">'供应商管理评分(30分)'!M15</f>
        <v>7</v>
      </c>
      <c r="D10" s="20" t="n">
        <f aca="false">'质检评分(10分)'!K15</f>
        <v>6</v>
      </c>
      <c r="E10" s="21" t="n">
        <f aca="false">B10+C10+D10</f>
        <v>35</v>
      </c>
      <c r="F10" s="20" t="n">
        <f aca="false">RANK(E10,$E$6:$E$38,0)</f>
        <v>1</v>
      </c>
      <c r="G10" s="20" t="str">
        <f aca="false">IF(E10&gt;=85,"A",IF(E10&gt;=70,"B","C"))</f>
        <v>C</v>
      </c>
      <c r="H10" s="20" t="str">
        <f aca="false">IF(F10&gt;23,"是","否")</f>
        <v>否</v>
      </c>
      <c r="I10" s="20" t="str">
        <f aca="false">IF(H10="是",IF(G10="A","B",IF(G10="B","C","C")),G10)</f>
        <v>C</v>
      </c>
      <c r="J10" s="20"/>
      <c r="K10" s="20" t="str">
        <f aca="false">IF(I10="C","是","否")</f>
        <v>是</v>
      </c>
      <c r="L10" s="20" t="str">
        <f aca="false">IF(OR(I10="C",J10&gt;=2),"是","否")</f>
        <v>是</v>
      </c>
    </row>
    <row r="11" customFormat="false" ht="15" hidden="false" customHeight="false" outlineLevel="0" collapsed="false">
      <c r="A11" s="20" t="str">
        <f aca="false">供应商基础信息!B9</f>
        <v>翰锐</v>
      </c>
      <c r="B11" s="20" t="n">
        <f aca="false">'业务督导评分(60分)'!T16</f>
        <v>22</v>
      </c>
      <c r="C11" s="20" t="n">
        <f aca="false">'供应商管理评分(30分)'!M16</f>
        <v>7</v>
      </c>
      <c r="D11" s="20" t="n">
        <f aca="false">'质检评分(10分)'!K16</f>
        <v>6</v>
      </c>
      <c r="E11" s="21" t="n">
        <f aca="false">B11+C11+D11</f>
        <v>35</v>
      </c>
      <c r="F11" s="20" t="n">
        <f aca="false">RANK(E11,$E$6:$E$38,0)</f>
        <v>1</v>
      </c>
      <c r="G11" s="20" t="str">
        <f aca="false">IF(E11&gt;=85,"A",IF(E11&gt;=70,"B","C"))</f>
        <v>C</v>
      </c>
      <c r="H11" s="20" t="str">
        <f aca="false">IF(F11&gt;23,"是","否")</f>
        <v>否</v>
      </c>
      <c r="I11" s="20" t="str">
        <f aca="false">IF(H11="是",IF(G11="A","B",IF(G11="B","C","C")),G11)</f>
        <v>C</v>
      </c>
      <c r="J11" s="20"/>
      <c r="K11" s="20" t="str">
        <f aca="false">IF(I11="C","是","否")</f>
        <v>是</v>
      </c>
      <c r="L11" s="20" t="str">
        <f aca="false">IF(OR(I11="C",J11&gt;=2),"是","否")</f>
        <v>是</v>
      </c>
    </row>
    <row r="12" customFormat="false" ht="16.4" hidden="false" customHeight="false" outlineLevel="0" collapsed="false">
      <c r="A12" s="20" t="str">
        <f aca="false">供应商基础信息!B10</f>
        <v>供应商G</v>
      </c>
      <c r="B12" s="20" t="n">
        <f aca="false">'业务督导评分(60分)'!T17</f>
        <v>22</v>
      </c>
      <c r="C12" s="20" t="n">
        <f aca="false">'供应商管理评分(30分)'!M17</f>
        <v>7</v>
      </c>
      <c r="D12" s="20" t="n">
        <f aca="false">'质检评分(10分)'!K17</f>
        <v>6</v>
      </c>
      <c r="E12" s="21" t="n">
        <f aca="false">B12+C12+D12</f>
        <v>35</v>
      </c>
      <c r="F12" s="20" t="n">
        <f aca="false">RANK(E12,$E$6:$E$38,0)</f>
        <v>1</v>
      </c>
      <c r="G12" s="20" t="str">
        <f aca="false">IF(E12&gt;=85,"A",IF(E12&gt;=70,"B","C"))</f>
        <v>C</v>
      </c>
      <c r="H12" s="20" t="str">
        <f aca="false">IF(F12&gt;23,"是","否")</f>
        <v>否</v>
      </c>
      <c r="I12" s="20" t="str">
        <f aca="false">IF(H12="是",IF(G12="A","B",IF(G12="B","C","C")),G12)</f>
        <v>C</v>
      </c>
      <c r="J12" s="20"/>
      <c r="K12" s="20" t="str">
        <f aca="false">IF(I12="C","是","否")</f>
        <v>是</v>
      </c>
      <c r="L12" s="20" t="str">
        <f aca="false">IF(OR(I12="C",J12&gt;=2),"是","否")</f>
        <v>是</v>
      </c>
    </row>
    <row r="13" customFormat="false" ht="16.4" hidden="false" customHeight="false" outlineLevel="0" collapsed="false">
      <c r="A13" s="20" t="str">
        <f aca="false">供应商基础信息!B11</f>
        <v>供应商H</v>
      </c>
      <c r="B13" s="20" t="n">
        <f aca="false">'业务督导评分(60分)'!T18</f>
        <v>22</v>
      </c>
      <c r="C13" s="20" t="n">
        <f aca="false">'供应商管理评分(30分)'!M18</f>
        <v>7</v>
      </c>
      <c r="D13" s="20" t="n">
        <f aca="false">'质检评分(10分)'!K18</f>
        <v>6</v>
      </c>
      <c r="E13" s="21" t="n">
        <f aca="false">B13+C13+D13</f>
        <v>35</v>
      </c>
      <c r="F13" s="20" t="n">
        <f aca="false">RANK(E13,$E$6:$E$38,0)</f>
        <v>1</v>
      </c>
      <c r="G13" s="20" t="str">
        <f aca="false">IF(E13&gt;=85,"A",IF(E13&gt;=70,"B","C"))</f>
        <v>C</v>
      </c>
      <c r="H13" s="20" t="str">
        <f aca="false">IF(F13&gt;23,"是","否")</f>
        <v>否</v>
      </c>
      <c r="I13" s="20" t="str">
        <f aca="false">IF(H13="是",IF(G13="A","B",IF(G13="B","C","C")),G13)</f>
        <v>C</v>
      </c>
      <c r="J13" s="20"/>
      <c r="K13" s="20" t="str">
        <f aca="false">IF(I13="C","是","否")</f>
        <v>是</v>
      </c>
      <c r="L13" s="20" t="str">
        <f aca="false">IF(OR(I13="C",J13&gt;=2),"是","否")</f>
        <v>是</v>
      </c>
    </row>
    <row r="14" customFormat="false" ht="16.4" hidden="false" customHeight="false" outlineLevel="0" collapsed="false">
      <c r="A14" s="20" t="str">
        <f aca="false">供应商基础信息!B12</f>
        <v>供应商I</v>
      </c>
      <c r="B14" s="20" t="n">
        <f aca="false">'业务督导评分(60分)'!T19</f>
        <v>22</v>
      </c>
      <c r="C14" s="20" t="n">
        <f aca="false">'供应商管理评分(30分)'!M19</f>
        <v>7</v>
      </c>
      <c r="D14" s="20" t="n">
        <f aca="false">'质检评分(10分)'!K19</f>
        <v>6</v>
      </c>
      <c r="E14" s="21" t="n">
        <f aca="false">B14+C14+D14</f>
        <v>35</v>
      </c>
      <c r="F14" s="20" t="n">
        <f aca="false">RANK(E14,$E$6:$E$38,0)</f>
        <v>1</v>
      </c>
      <c r="G14" s="20" t="str">
        <f aca="false">IF(E14&gt;=85,"A",IF(E14&gt;=70,"B","C"))</f>
        <v>C</v>
      </c>
      <c r="H14" s="20" t="str">
        <f aca="false">IF(F14&gt;23,"是","否")</f>
        <v>否</v>
      </c>
      <c r="I14" s="20" t="str">
        <f aca="false">IF(H14="是",IF(G14="A","B",IF(G14="B","C","C")),G14)</f>
        <v>C</v>
      </c>
      <c r="J14" s="20"/>
      <c r="K14" s="20" t="str">
        <f aca="false">IF(I14="C","是","否")</f>
        <v>是</v>
      </c>
      <c r="L14" s="20" t="str">
        <f aca="false">IF(OR(I14="C",J14&gt;=2),"是","否")</f>
        <v>是</v>
      </c>
    </row>
    <row r="15" customFormat="false" ht="15" hidden="false" customHeight="false" outlineLevel="0" collapsed="false">
      <c r="A15" s="20" t="n">
        <f aca="false">供应商基础信息!B13</f>
        <v>0</v>
      </c>
      <c r="B15" s="20" t="n">
        <f aca="false">'业务督导评分(60分)'!T20</f>
        <v>22</v>
      </c>
      <c r="C15" s="20" t="n">
        <f aca="false">'供应商管理评分(30分)'!M20</f>
        <v>7</v>
      </c>
      <c r="D15" s="20" t="n">
        <f aca="false">'质检评分(10分)'!K20</f>
        <v>6</v>
      </c>
      <c r="E15" s="21" t="n">
        <f aca="false">B15+C15+D15</f>
        <v>35</v>
      </c>
      <c r="F15" s="20" t="n">
        <f aca="false">RANK(E15,$E$6:$E$38,0)</f>
        <v>1</v>
      </c>
      <c r="G15" s="20" t="str">
        <f aca="false">IF(E15&gt;=85,"A",IF(E15&gt;=70,"B","C"))</f>
        <v>C</v>
      </c>
      <c r="H15" s="20" t="str">
        <f aca="false">IF(F15&gt;23,"是","否")</f>
        <v>否</v>
      </c>
      <c r="I15" s="20" t="str">
        <f aca="false">IF(H15="是",IF(G15="A","B",IF(G15="B","C","C")),G15)</f>
        <v>C</v>
      </c>
      <c r="J15" s="20"/>
      <c r="K15" s="20" t="str">
        <f aca="false">IF(I15="C","是","否")</f>
        <v>是</v>
      </c>
      <c r="L15" s="20" t="str">
        <f aca="false">IF(OR(I15="C",J15&gt;=2),"是","否")</f>
        <v>是</v>
      </c>
    </row>
    <row r="16" customFormat="false" ht="15" hidden="false" customHeight="false" outlineLevel="0" collapsed="false">
      <c r="A16" s="20" t="n">
        <f aca="false">供应商基础信息!B14</f>
        <v>0</v>
      </c>
      <c r="B16" s="20" t="n">
        <f aca="false">'业务督导评分(60分)'!T21</f>
        <v>22</v>
      </c>
      <c r="C16" s="20" t="n">
        <f aca="false">'供应商管理评分(30分)'!M21</f>
        <v>7</v>
      </c>
      <c r="D16" s="20" t="n">
        <f aca="false">'质检评分(10分)'!K21</f>
        <v>6</v>
      </c>
      <c r="E16" s="21" t="n">
        <f aca="false">B16+C16+D16</f>
        <v>35</v>
      </c>
      <c r="F16" s="20" t="n">
        <f aca="false">RANK(E16,$E$6:$E$38,0)</f>
        <v>1</v>
      </c>
      <c r="G16" s="20" t="str">
        <f aca="false">IF(E16&gt;=85,"A",IF(E16&gt;=70,"B","C"))</f>
        <v>C</v>
      </c>
      <c r="H16" s="20" t="str">
        <f aca="false">IF(F16&gt;23,"是","否")</f>
        <v>否</v>
      </c>
      <c r="I16" s="20" t="str">
        <f aca="false">IF(H16="是",IF(G16="A","B",IF(G16="B","C","C")),G16)</f>
        <v>C</v>
      </c>
      <c r="J16" s="20"/>
      <c r="K16" s="20" t="str">
        <f aca="false">IF(I16="C","是","否")</f>
        <v>是</v>
      </c>
      <c r="L16" s="20" t="str">
        <f aca="false">IF(OR(I16="C",J16&gt;=2),"是","否")</f>
        <v>是</v>
      </c>
    </row>
    <row r="17" customFormat="false" ht="15" hidden="false" customHeight="false" outlineLevel="0" collapsed="false">
      <c r="A17" s="20" t="n">
        <f aca="false">供应商基础信息!B15</f>
        <v>0</v>
      </c>
      <c r="B17" s="20" t="n">
        <f aca="false">'业务督导评分(60分)'!T22</f>
        <v>22</v>
      </c>
      <c r="C17" s="20" t="n">
        <f aca="false">'供应商管理评分(30分)'!M22</f>
        <v>7</v>
      </c>
      <c r="D17" s="20" t="n">
        <f aca="false">'质检评分(10分)'!K22</f>
        <v>6</v>
      </c>
      <c r="E17" s="21" t="n">
        <f aca="false">B17+C17+D17</f>
        <v>35</v>
      </c>
      <c r="F17" s="20" t="n">
        <f aca="false">RANK(E17,$E$6:$E$38,0)</f>
        <v>1</v>
      </c>
      <c r="G17" s="20" t="str">
        <f aca="false">IF(E17&gt;=85,"A",IF(E17&gt;=70,"B","C"))</f>
        <v>C</v>
      </c>
      <c r="H17" s="20" t="str">
        <f aca="false">IF(F17&gt;23,"是","否")</f>
        <v>否</v>
      </c>
      <c r="I17" s="20" t="str">
        <f aca="false">IF(H17="是",IF(G17="A","B",IF(G17="B","C","C")),G17)</f>
        <v>C</v>
      </c>
      <c r="J17" s="20"/>
      <c r="K17" s="20" t="str">
        <f aca="false">IF(I17="C","是","否")</f>
        <v>是</v>
      </c>
      <c r="L17" s="20" t="str">
        <f aca="false">IF(OR(I17="C",J17&gt;=2),"是","否")</f>
        <v>是</v>
      </c>
    </row>
    <row r="18" customFormat="false" ht="15" hidden="false" customHeight="false" outlineLevel="0" collapsed="false">
      <c r="A18" s="20" t="n">
        <f aca="false">供应商基础信息!B16</f>
        <v>0</v>
      </c>
      <c r="B18" s="20" t="n">
        <f aca="false">'业务督导评分(60分)'!T23</f>
        <v>22</v>
      </c>
      <c r="C18" s="20" t="n">
        <f aca="false">'供应商管理评分(30分)'!M23</f>
        <v>7</v>
      </c>
      <c r="D18" s="20" t="n">
        <f aca="false">'质检评分(10分)'!K23</f>
        <v>6</v>
      </c>
      <c r="E18" s="21" t="n">
        <f aca="false">B18+C18+D18</f>
        <v>35</v>
      </c>
      <c r="F18" s="20" t="n">
        <f aca="false">RANK(E18,$E$6:$E$38,0)</f>
        <v>1</v>
      </c>
      <c r="G18" s="20" t="str">
        <f aca="false">IF(E18&gt;=85,"A",IF(E18&gt;=70,"B","C"))</f>
        <v>C</v>
      </c>
      <c r="H18" s="20" t="str">
        <f aca="false">IF(F18&gt;23,"是","否")</f>
        <v>否</v>
      </c>
      <c r="I18" s="20" t="str">
        <f aca="false">IF(H18="是",IF(G18="A","B",IF(G18="B","C","C")),G18)</f>
        <v>C</v>
      </c>
      <c r="J18" s="20"/>
      <c r="K18" s="20" t="str">
        <f aca="false">IF(I18="C","是","否")</f>
        <v>是</v>
      </c>
      <c r="L18" s="20" t="str">
        <f aca="false">IF(OR(I18="C",J18&gt;=2),"是","否")</f>
        <v>是</v>
      </c>
    </row>
    <row r="19" customFormat="false" ht="15" hidden="false" customHeight="false" outlineLevel="0" collapsed="false">
      <c r="A19" s="20" t="n">
        <f aca="false">供应商基础信息!B17</f>
        <v>0</v>
      </c>
      <c r="B19" s="20" t="n">
        <f aca="false">'业务督导评分(60分)'!T24</f>
        <v>22</v>
      </c>
      <c r="C19" s="20" t="n">
        <f aca="false">'供应商管理评分(30分)'!M24</f>
        <v>7</v>
      </c>
      <c r="D19" s="20" t="n">
        <f aca="false">'质检评分(10分)'!K24</f>
        <v>6</v>
      </c>
      <c r="E19" s="21" t="n">
        <f aca="false">B19+C19+D19</f>
        <v>35</v>
      </c>
      <c r="F19" s="20" t="n">
        <f aca="false">RANK(E19,$E$6:$E$38,0)</f>
        <v>1</v>
      </c>
      <c r="G19" s="20" t="str">
        <f aca="false">IF(E19&gt;=85,"A",IF(E19&gt;=70,"B","C"))</f>
        <v>C</v>
      </c>
      <c r="H19" s="20" t="str">
        <f aca="false">IF(F19&gt;23,"是","否")</f>
        <v>否</v>
      </c>
      <c r="I19" s="20" t="str">
        <f aca="false">IF(H19="是",IF(G19="A","B",IF(G19="B","C","C")),G19)</f>
        <v>C</v>
      </c>
      <c r="J19" s="20"/>
      <c r="K19" s="20" t="str">
        <f aca="false">IF(I19="C","是","否")</f>
        <v>是</v>
      </c>
      <c r="L19" s="20" t="str">
        <f aca="false">IF(OR(I19="C",J19&gt;=2),"是","否")</f>
        <v>是</v>
      </c>
    </row>
    <row r="20" customFormat="false" ht="15" hidden="false" customHeight="false" outlineLevel="0" collapsed="false">
      <c r="A20" s="20" t="n">
        <f aca="false">供应商基础信息!B18</f>
        <v>0</v>
      </c>
      <c r="B20" s="20" t="n">
        <f aca="false">'业务督导评分(60分)'!T25</f>
        <v>22</v>
      </c>
      <c r="C20" s="20" t="n">
        <f aca="false">'供应商管理评分(30分)'!M25</f>
        <v>7</v>
      </c>
      <c r="D20" s="20" t="n">
        <f aca="false">'质检评分(10分)'!K25</f>
        <v>6</v>
      </c>
      <c r="E20" s="21" t="n">
        <f aca="false">B20+C20+D20</f>
        <v>35</v>
      </c>
      <c r="F20" s="20" t="n">
        <f aca="false">RANK(E20,$E$6:$E$38,0)</f>
        <v>1</v>
      </c>
      <c r="G20" s="20" t="str">
        <f aca="false">IF(E20&gt;=85,"A",IF(E20&gt;=70,"B","C"))</f>
        <v>C</v>
      </c>
      <c r="H20" s="20" t="str">
        <f aca="false">IF(F20&gt;23,"是","否")</f>
        <v>否</v>
      </c>
      <c r="I20" s="20" t="str">
        <f aca="false">IF(H20="是",IF(G20="A","B",IF(G20="B","C","C")),G20)</f>
        <v>C</v>
      </c>
      <c r="J20" s="20"/>
      <c r="K20" s="20" t="str">
        <f aca="false">IF(I20="C","是","否")</f>
        <v>是</v>
      </c>
      <c r="L20" s="20" t="str">
        <f aca="false">IF(OR(I20="C",J20&gt;=2),"是","否")</f>
        <v>是</v>
      </c>
    </row>
    <row r="21" customFormat="false" ht="15" hidden="false" customHeight="false" outlineLevel="0" collapsed="false">
      <c r="A21" s="20" t="n">
        <f aca="false">供应商基础信息!B19</f>
        <v>0</v>
      </c>
      <c r="B21" s="20" t="n">
        <f aca="false">'业务督导评分(60分)'!T26</f>
        <v>22</v>
      </c>
      <c r="C21" s="20" t="n">
        <f aca="false">'供应商管理评分(30分)'!M26</f>
        <v>7</v>
      </c>
      <c r="D21" s="20" t="n">
        <f aca="false">'质检评分(10分)'!K26</f>
        <v>6</v>
      </c>
      <c r="E21" s="21" t="n">
        <f aca="false">B21+C21+D21</f>
        <v>35</v>
      </c>
      <c r="F21" s="20" t="n">
        <f aca="false">RANK(E21,$E$6:$E$38,0)</f>
        <v>1</v>
      </c>
      <c r="G21" s="20" t="str">
        <f aca="false">IF(E21&gt;=85,"A",IF(E21&gt;=70,"B","C"))</f>
        <v>C</v>
      </c>
      <c r="H21" s="20" t="str">
        <f aca="false">IF(F21&gt;23,"是","否")</f>
        <v>否</v>
      </c>
      <c r="I21" s="20" t="str">
        <f aca="false">IF(H21="是",IF(G21="A","B",IF(G21="B","C","C")),G21)</f>
        <v>C</v>
      </c>
      <c r="J21" s="20"/>
      <c r="K21" s="20" t="str">
        <f aca="false">IF(I21="C","是","否")</f>
        <v>是</v>
      </c>
      <c r="L21" s="20" t="str">
        <f aca="false">IF(OR(I21="C",J21&gt;=2),"是","否")</f>
        <v>是</v>
      </c>
    </row>
    <row r="22" customFormat="false" ht="15" hidden="false" customHeight="false" outlineLevel="0" collapsed="false">
      <c r="A22" s="20" t="n">
        <f aca="false">供应商基础信息!B20</f>
        <v>0</v>
      </c>
      <c r="B22" s="20" t="n">
        <f aca="false">'业务督导评分(60分)'!T27</f>
        <v>22</v>
      </c>
      <c r="C22" s="20" t="n">
        <f aca="false">'供应商管理评分(30分)'!M27</f>
        <v>7</v>
      </c>
      <c r="D22" s="20" t="n">
        <f aca="false">'质检评分(10分)'!K27</f>
        <v>6</v>
      </c>
      <c r="E22" s="21" t="n">
        <f aca="false">B22+C22+D22</f>
        <v>35</v>
      </c>
      <c r="F22" s="20" t="n">
        <f aca="false">RANK(E22,$E$6:$E$38,0)</f>
        <v>1</v>
      </c>
      <c r="G22" s="20" t="str">
        <f aca="false">IF(E22&gt;=85,"A",IF(E22&gt;=70,"B","C"))</f>
        <v>C</v>
      </c>
      <c r="H22" s="20" t="str">
        <f aca="false">IF(F22&gt;23,"是","否")</f>
        <v>否</v>
      </c>
      <c r="I22" s="20" t="str">
        <f aca="false">IF(H22="是",IF(G22="A","B",IF(G22="B","C","C")),G22)</f>
        <v>C</v>
      </c>
      <c r="J22" s="20"/>
      <c r="K22" s="20" t="str">
        <f aca="false">IF(I22="C","是","否")</f>
        <v>是</v>
      </c>
      <c r="L22" s="20" t="str">
        <f aca="false">IF(OR(I22="C",J22&gt;=2),"是","否")</f>
        <v>是</v>
      </c>
    </row>
    <row r="23" customFormat="false" ht="15" hidden="false" customHeight="false" outlineLevel="0" collapsed="false">
      <c r="A23" s="20" t="n">
        <f aca="false">供应商基础信息!B21</f>
        <v>0</v>
      </c>
      <c r="B23" s="20" t="n">
        <f aca="false">'业务督导评分(60分)'!T28</f>
        <v>22</v>
      </c>
      <c r="C23" s="20" t="n">
        <f aca="false">'供应商管理评分(30分)'!M28</f>
        <v>7</v>
      </c>
      <c r="D23" s="20" t="n">
        <f aca="false">'质检评分(10分)'!K28</f>
        <v>6</v>
      </c>
      <c r="E23" s="21" t="n">
        <f aca="false">B23+C23+D23</f>
        <v>35</v>
      </c>
      <c r="F23" s="20" t="n">
        <f aca="false">RANK(E23,$E$6:$E$38,0)</f>
        <v>1</v>
      </c>
      <c r="G23" s="20" t="str">
        <f aca="false">IF(E23&gt;=85,"A",IF(E23&gt;=70,"B","C"))</f>
        <v>C</v>
      </c>
      <c r="H23" s="20" t="str">
        <f aca="false">IF(F23&gt;23,"是","否")</f>
        <v>否</v>
      </c>
      <c r="I23" s="20" t="str">
        <f aca="false">IF(H23="是",IF(G23="A","B",IF(G23="B","C","C")),G23)</f>
        <v>C</v>
      </c>
      <c r="J23" s="20"/>
      <c r="K23" s="20" t="str">
        <f aca="false">IF(I23="C","是","否")</f>
        <v>是</v>
      </c>
      <c r="L23" s="20" t="str">
        <f aca="false">IF(OR(I23="C",J23&gt;=2),"是","否")</f>
        <v>是</v>
      </c>
    </row>
    <row r="24" customFormat="false" ht="15" hidden="false" customHeight="false" outlineLevel="0" collapsed="false">
      <c r="A24" s="20" t="n">
        <f aca="false">供应商基础信息!B22</f>
        <v>0</v>
      </c>
      <c r="B24" s="20" t="n">
        <f aca="false">'业务督导评分(60分)'!T29</f>
        <v>22</v>
      </c>
      <c r="C24" s="20" t="n">
        <f aca="false">'供应商管理评分(30分)'!M29</f>
        <v>7</v>
      </c>
      <c r="D24" s="20" t="n">
        <f aca="false">'质检评分(10分)'!K29</f>
        <v>6</v>
      </c>
      <c r="E24" s="21" t="n">
        <f aca="false">B24+C24+D24</f>
        <v>35</v>
      </c>
      <c r="F24" s="20" t="n">
        <f aca="false">RANK(E24,$E$6:$E$38,0)</f>
        <v>1</v>
      </c>
      <c r="G24" s="20" t="str">
        <f aca="false">IF(E24&gt;=85,"A",IF(E24&gt;=70,"B","C"))</f>
        <v>C</v>
      </c>
      <c r="H24" s="20" t="str">
        <f aca="false">IF(F24&gt;23,"是","否")</f>
        <v>否</v>
      </c>
      <c r="I24" s="20" t="str">
        <f aca="false">IF(H24="是",IF(G24="A","B",IF(G24="B","C","C")),G24)</f>
        <v>C</v>
      </c>
      <c r="J24" s="20"/>
      <c r="K24" s="20" t="str">
        <f aca="false">IF(I24="C","是","否")</f>
        <v>是</v>
      </c>
      <c r="L24" s="20" t="str">
        <f aca="false">IF(OR(I24="C",J24&gt;=2),"是","否")</f>
        <v>是</v>
      </c>
    </row>
    <row r="25" customFormat="false" ht="15" hidden="false" customHeight="false" outlineLevel="0" collapsed="false">
      <c r="A25" s="20" t="n">
        <f aca="false">供应商基础信息!B23</f>
        <v>0</v>
      </c>
      <c r="B25" s="20" t="n">
        <f aca="false">'业务督导评分(60分)'!T30</f>
        <v>22</v>
      </c>
      <c r="C25" s="20" t="n">
        <f aca="false">'供应商管理评分(30分)'!M30</f>
        <v>7</v>
      </c>
      <c r="D25" s="20" t="n">
        <f aca="false">'质检评分(10分)'!K30</f>
        <v>6</v>
      </c>
      <c r="E25" s="21" t="n">
        <f aca="false">B25+C25+D25</f>
        <v>35</v>
      </c>
      <c r="F25" s="20" t="n">
        <f aca="false">RANK(E25,$E$6:$E$38,0)</f>
        <v>1</v>
      </c>
      <c r="G25" s="20" t="str">
        <f aca="false">IF(E25&gt;=85,"A",IF(E25&gt;=70,"B","C"))</f>
        <v>C</v>
      </c>
      <c r="H25" s="20" t="str">
        <f aca="false">IF(F25&gt;23,"是","否")</f>
        <v>否</v>
      </c>
      <c r="I25" s="20" t="str">
        <f aca="false">IF(H25="是",IF(G25="A","B",IF(G25="B","C","C")),G25)</f>
        <v>C</v>
      </c>
      <c r="J25" s="20"/>
      <c r="K25" s="20" t="str">
        <f aca="false">IF(I25="C","是","否")</f>
        <v>是</v>
      </c>
      <c r="L25" s="20" t="str">
        <f aca="false">IF(OR(I25="C",J25&gt;=2),"是","否")</f>
        <v>是</v>
      </c>
    </row>
    <row r="26" customFormat="false" ht="15" hidden="false" customHeight="false" outlineLevel="0" collapsed="false">
      <c r="A26" s="20" t="n">
        <f aca="false">供应商基础信息!B24</f>
        <v>0</v>
      </c>
      <c r="B26" s="20" t="n">
        <f aca="false">'业务督导评分(60分)'!T31</f>
        <v>22</v>
      </c>
      <c r="C26" s="20" t="n">
        <f aca="false">'供应商管理评分(30分)'!M31</f>
        <v>7</v>
      </c>
      <c r="D26" s="20" t="n">
        <f aca="false">'质检评分(10分)'!K31</f>
        <v>6</v>
      </c>
      <c r="E26" s="21" t="n">
        <f aca="false">B26+C26+D26</f>
        <v>35</v>
      </c>
      <c r="F26" s="20" t="n">
        <f aca="false">RANK(E26,$E$6:$E$38,0)</f>
        <v>1</v>
      </c>
      <c r="G26" s="20" t="str">
        <f aca="false">IF(E26&gt;=85,"A",IF(E26&gt;=70,"B","C"))</f>
        <v>C</v>
      </c>
      <c r="H26" s="20" t="str">
        <f aca="false">IF(F26&gt;23,"是","否")</f>
        <v>否</v>
      </c>
      <c r="I26" s="20" t="str">
        <f aca="false">IF(H26="是",IF(G26="A","B",IF(G26="B","C","C")),G26)</f>
        <v>C</v>
      </c>
      <c r="J26" s="20"/>
      <c r="K26" s="20" t="str">
        <f aca="false">IF(I26="C","是","否")</f>
        <v>是</v>
      </c>
      <c r="L26" s="20" t="str">
        <f aca="false">IF(OR(I26="C",J26&gt;=2),"是","否")</f>
        <v>是</v>
      </c>
    </row>
    <row r="27" customFormat="false" ht="15" hidden="false" customHeight="false" outlineLevel="0" collapsed="false">
      <c r="A27" s="20" t="n">
        <f aca="false">供应商基础信息!B25</f>
        <v>0</v>
      </c>
      <c r="B27" s="20" t="n">
        <f aca="false">'业务督导评分(60分)'!T32</f>
        <v>22</v>
      </c>
      <c r="C27" s="20" t="n">
        <f aca="false">'供应商管理评分(30分)'!M32</f>
        <v>7</v>
      </c>
      <c r="D27" s="20" t="n">
        <f aca="false">'质检评分(10分)'!K32</f>
        <v>6</v>
      </c>
      <c r="E27" s="21" t="n">
        <f aca="false">B27+C27+D27</f>
        <v>35</v>
      </c>
      <c r="F27" s="20" t="n">
        <f aca="false">RANK(E27,$E$6:$E$38,0)</f>
        <v>1</v>
      </c>
      <c r="G27" s="20" t="str">
        <f aca="false">IF(E27&gt;=85,"A",IF(E27&gt;=70,"B","C"))</f>
        <v>C</v>
      </c>
      <c r="H27" s="20" t="str">
        <f aca="false">IF(F27&gt;23,"是","否")</f>
        <v>否</v>
      </c>
      <c r="I27" s="20" t="str">
        <f aca="false">IF(H27="是",IF(G27="A","B",IF(G27="B","C","C")),G27)</f>
        <v>C</v>
      </c>
      <c r="J27" s="20"/>
      <c r="K27" s="20" t="str">
        <f aca="false">IF(I27="C","是","否")</f>
        <v>是</v>
      </c>
      <c r="L27" s="20" t="str">
        <f aca="false">IF(OR(I27="C",J27&gt;=2),"是","否")</f>
        <v>是</v>
      </c>
    </row>
    <row r="28" customFormat="false" ht="15" hidden="false" customHeight="false" outlineLevel="0" collapsed="false">
      <c r="A28" s="20" t="n">
        <f aca="false">供应商基础信息!B26</f>
        <v>0</v>
      </c>
      <c r="B28" s="20" t="n">
        <f aca="false">'业务督导评分(60分)'!T33</f>
        <v>22</v>
      </c>
      <c r="C28" s="20" t="n">
        <f aca="false">'供应商管理评分(30分)'!M33</f>
        <v>7</v>
      </c>
      <c r="D28" s="20" t="n">
        <f aca="false">'质检评分(10分)'!K33</f>
        <v>6</v>
      </c>
      <c r="E28" s="21" t="n">
        <f aca="false">B28+C28+D28</f>
        <v>35</v>
      </c>
      <c r="F28" s="20" t="n">
        <f aca="false">RANK(E28,$E$6:$E$38,0)</f>
        <v>1</v>
      </c>
      <c r="G28" s="20" t="str">
        <f aca="false">IF(E28&gt;=85,"A",IF(E28&gt;=70,"B","C"))</f>
        <v>C</v>
      </c>
      <c r="H28" s="20" t="str">
        <f aca="false">IF(F28&gt;23,"是","否")</f>
        <v>否</v>
      </c>
      <c r="I28" s="20" t="str">
        <f aca="false">IF(H28="是",IF(G28="A","B",IF(G28="B","C","C")),G28)</f>
        <v>C</v>
      </c>
      <c r="J28" s="20"/>
      <c r="K28" s="20" t="str">
        <f aca="false">IF(I28="C","是","否")</f>
        <v>是</v>
      </c>
      <c r="L28" s="20" t="str">
        <f aca="false">IF(OR(I28="C",J28&gt;=2),"是","否")</f>
        <v>是</v>
      </c>
    </row>
    <row r="29" customFormat="false" ht="15" hidden="false" customHeight="false" outlineLevel="0" collapsed="false">
      <c r="A29" s="20" t="n">
        <f aca="false">供应商基础信息!B27</f>
        <v>0</v>
      </c>
      <c r="B29" s="20" t="n">
        <f aca="false">'业务督导评分(60分)'!T34</f>
        <v>22</v>
      </c>
      <c r="C29" s="20" t="n">
        <f aca="false">'供应商管理评分(30分)'!M34</f>
        <v>7</v>
      </c>
      <c r="D29" s="20" t="n">
        <f aca="false">'质检评分(10分)'!K34</f>
        <v>6</v>
      </c>
      <c r="E29" s="21" t="n">
        <f aca="false">B29+C29+D29</f>
        <v>35</v>
      </c>
      <c r="F29" s="20" t="n">
        <f aca="false">RANK(E29,$E$6:$E$38,0)</f>
        <v>1</v>
      </c>
      <c r="G29" s="20" t="str">
        <f aca="false">IF(E29&gt;=85,"A",IF(E29&gt;=70,"B","C"))</f>
        <v>C</v>
      </c>
      <c r="H29" s="20" t="str">
        <f aca="false">IF(F29&gt;23,"是","否")</f>
        <v>否</v>
      </c>
      <c r="I29" s="20" t="str">
        <f aca="false">IF(H29="是",IF(G29="A","B",IF(G29="B","C","C")),G29)</f>
        <v>C</v>
      </c>
      <c r="J29" s="20"/>
      <c r="K29" s="20" t="str">
        <f aca="false">IF(I29="C","是","否")</f>
        <v>是</v>
      </c>
      <c r="L29" s="20" t="str">
        <f aca="false">IF(OR(I29="C",J29&gt;=2),"是","否")</f>
        <v>是</v>
      </c>
    </row>
    <row r="30" customFormat="false" ht="15" hidden="false" customHeight="false" outlineLevel="0" collapsed="false">
      <c r="A30" s="20" t="n">
        <f aca="false">供应商基础信息!B28</f>
        <v>0</v>
      </c>
      <c r="B30" s="20" t="n">
        <f aca="false">'业务督导评分(60分)'!T35</f>
        <v>22</v>
      </c>
      <c r="C30" s="20" t="n">
        <f aca="false">'供应商管理评分(30分)'!M35</f>
        <v>7</v>
      </c>
      <c r="D30" s="20" t="n">
        <f aca="false">'质检评分(10分)'!K35</f>
        <v>6</v>
      </c>
      <c r="E30" s="21" t="n">
        <f aca="false">B30+C30+D30</f>
        <v>35</v>
      </c>
      <c r="F30" s="20" t="n">
        <f aca="false">RANK(E30,$E$6:$E$38,0)</f>
        <v>1</v>
      </c>
      <c r="G30" s="20" t="str">
        <f aca="false">IF(E30&gt;=85,"A",IF(E30&gt;=70,"B","C"))</f>
        <v>C</v>
      </c>
      <c r="H30" s="20" t="str">
        <f aca="false">IF(F30&gt;23,"是","否")</f>
        <v>否</v>
      </c>
      <c r="I30" s="20" t="str">
        <f aca="false">IF(H30="是",IF(G30="A","B",IF(G30="B","C","C")),G30)</f>
        <v>C</v>
      </c>
      <c r="J30" s="20"/>
      <c r="K30" s="20" t="str">
        <f aca="false">IF(I30="C","是","否")</f>
        <v>是</v>
      </c>
      <c r="L30" s="20" t="str">
        <f aca="false">IF(OR(I30="C",J30&gt;=2),"是","否")</f>
        <v>是</v>
      </c>
    </row>
    <row r="31" customFormat="false" ht="15" hidden="false" customHeight="false" outlineLevel="0" collapsed="false">
      <c r="A31" s="20" t="n">
        <f aca="false">供应商基础信息!B29</f>
        <v>0</v>
      </c>
      <c r="B31" s="20" t="n">
        <f aca="false">'业务督导评分(60分)'!T36</f>
        <v>22</v>
      </c>
      <c r="C31" s="20" t="n">
        <f aca="false">'供应商管理评分(30分)'!M36</f>
        <v>7</v>
      </c>
      <c r="D31" s="20" t="n">
        <f aca="false">'质检评分(10分)'!K36</f>
        <v>0</v>
      </c>
      <c r="E31" s="21" t="n">
        <f aca="false">B31+C31+D31</f>
        <v>29</v>
      </c>
      <c r="F31" s="20" t="n">
        <f aca="false">RANK(E31,$E$6:$E$38,0)</f>
        <v>26</v>
      </c>
      <c r="G31" s="20" t="str">
        <f aca="false">IF(E31&gt;=85,"A",IF(E31&gt;=70,"B","C"))</f>
        <v>C</v>
      </c>
      <c r="H31" s="20" t="str">
        <f aca="false">IF(F31&gt;23,"是","否")</f>
        <v>是</v>
      </c>
      <c r="I31" s="20" t="str">
        <f aca="false">IF(H31="是",IF(G31="A","B",IF(G31="B","C","C")),G31)</f>
        <v>C</v>
      </c>
      <c r="J31" s="20"/>
      <c r="K31" s="20" t="str">
        <f aca="false">IF(I31="C","是","否")</f>
        <v>是</v>
      </c>
      <c r="L31" s="20" t="str">
        <f aca="false">IF(OR(I31="C",J31&gt;=2),"是","否")</f>
        <v>是</v>
      </c>
    </row>
    <row r="32" customFormat="false" ht="15" hidden="false" customHeight="false" outlineLevel="0" collapsed="false">
      <c r="A32" s="20" t="n">
        <f aca="false">供应商基础信息!B30</f>
        <v>0</v>
      </c>
      <c r="B32" s="20" t="n">
        <f aca="false">'业务督导评分(60分)'!T37</f>
        <v>0</v>
      </c>
      <c r="C32" s="20" t="n">
        <f aca="false">'供应商管理评分(30分)'!M37</f>
        <v>0</v>
      </c>
      <c r="D32" s="20" t="n">
        <f aca="false">'质检评分(10分)'!K37</f>
        <v>0</v>
      </c>
      <c r="E32" s="21" t="n">
        <f aca="false">B32+C32+D32</f>
        <v>0</v>
      </c>
      <c r="F32" s="20" t="n">
        <f aca="false">RANK(E32,$E$6:$E$38,0)</f>
        <v>27</v>
      </c>
      <c r="G32" s="20" t="str">
        <f aca="false">IF(E32&gt;=85,"A",IF(E32&gt;=70,"B","C"))</f>
        <v>C</v>
      </c>
      <c r="H32" s="20" t="str">
        <f aca="false">IF(F32&gt;23,"是","否")</f>
        <v>是</v>
      </c>
      <c r="I32" s="20" t="str">
        <f aca="false">IF(H32="是",IF(G32="A","B",IF(G32="B","C","C")),G32)</f>
        <v>C</v>
      </c>
      <c r="J32" s="20"/>
      <c r="K32" s="20" t="str">
        <f aca="false">IF(I32="C","是","否")</f>
        <v>是</v>
      </c>
      <c r="L32" s="20" t="str">
        <f aca="false">IF(OR(I32="C",J32&gt;=2),"是","否")</f>
        <v>是</v>
      </c>
    </row>
    <row r="33" customFormat="false" ht="15" hidden="false" customHeight="false" outlineLevel="0" collapsed="false">
      <c r="A33" s="20" t="n">
        <f aca="false">供应商基础信息!B31</f>
        <v>0</v>
      </c>
      <c r="B33" s="20" t="n">
        <f aca="false">'业务督导评分(60分)'!T38</f>
        <v>0</v>
      </c>
      <c r="C33" s="20" t="n">
        <f aca="false">'供应商管理评分(30分)'!M38</f>
        <v>0</v>
      </c>
      <c r="D33" s="20" t="n">
        <f aca="false">'质检评分(10分)'!K38</f>
        <v>0</v>
      </c>
      <c r="E33" s="21" t="n">
        <f aca="false">B33+C33+D33</f>
        <v>0</v>
      </c>
      <c r="F33" s="20" t="n">
        <f aca="false">RANK(E33,$E$6:$E$38,0)</f>
        <v>27</v>
      </c>
      <c r="G33" s="20" t="str">
        <f aca="false">IF(E33&gt;=85,"A",IF(E33&gt;=70,"B","C"))</f>
        <v>C</v>
      </c>
      <c r="H33" s="20" t="str">
        <f aca="false">IF(F33&gt;23,"是","否")</f>
        <v>是</v>
      </c>
      <c r="I33" s="20" t="str">
        <f aca="false">IF(H33="是",IF(G33="A","B",IF(G33="B","C","C")),G33)</f>
        <v>C</v>
      </c>
      <c r="J33" s="20"/>
      <c r="K33" s="20" t="str">
        <f aca="false">IF(I33="C","是","否")</f>
        <v>是</v>
      </c>
      <c r="L33" s="20" t="str">
        <f aca="false">IF(OR(I33="C",J33&gt;=2),"是","否")</f>
        <v>是</v>
      </c>
    </row>
    <row r="34" customFormat="false" ht="15" hidden="false" customHeight="false" outlineLevel="0" collapsed="false">
      <c r="A34" s="20" t="n">
        <f aca="false">供应商基础信息!B32</f>
        <v>0</v>
      </c>
      <c r="B34" s="20" t="n">
        <f aca="false">'业务督导评分(60分)'!T39</f>
        <v>0</v>
      </c>
      <c r="C34" s="20" t="n">
        <f aca="false">'供应商管理评分(30分)'!M39</f>
        <v>0</v>
      </c>
      <c r="D34" s="20" t="n">
        <f aca="false">'质检评分(10分)'!K39</f>
        <v>0</v>
      </c>
      <c r="E34" s="21" t="n">
        <f aca="false">B34+C34+D34</f>
        <v>0</v>
      </c>
      <c r="F34" s="20" t="n">
        <f aca="false">RANK(E34,$E$6:$E$38,0)</f>
        <v>27</v>
      </c>
      <c r="G34" s="20" t="str">
        <f aca="false">IF(E34&gt;=85,"A",IF(E34&gt;=70,"B","C"))</f>
        <v>C</v>
      </c>
      <c r="H34" s="20" t="str">
        <f aca="false">IF(F34&gt;23,"是","否")</f>
        <v>是</v>
      </c>
      <c r="I34" s="20" t="str">
        <f aca="false">IF(H34="是",IF(G34="A","B",IF(G34="B","C","C")),G34)</f>
        <v>C</v>
      </c>
      <c r="J34" s="20"/>
      <c r="K34" s="20" t="str">
        <f aca="false">IF(I34="C","是","否")</f>
        <v>是</v>
      </c>
      <c r="L34" s="20" t="str">
        <f aca="false">IF(OR(I34="C",J34&gt;=2),"是","否")</f>
        <v>是</v>
      </c>
    </row>
    <row r="35" customFormat="false" ht="15" hidden="false" customHeight="false" outlineLevel="0" collapsed="false">
      <c r="A35" s="20" t="n">
        <f aca="false">供应商基础信息!B33</f>
        <v>0</v>
      </c>
      <c r="B35" s="20" t="n">
        <f aca="false">'业务督导评分(60分)'!T40</f>
        <v>0</v>
      </c>
      <c r="C35" s="20" t="n">
        <f aca="false">'供应商管理评分(30分)'!M40</f>
        <v>0</v>
      </c>
      <c r="D35" s="20" t="n">
        <f aca="false">'质检评分(10分)'!K40</f>
        <v>0</v>
      </c>
      <c r="E35" s="21" t="n">
        <f aca="false">B35+C35+D35</f>
        <v>0</v>
      </c>
      <c r="F35" s="20" t="n">
        <f aca="false">RANK(E35,$E$6:$E$38,0)</f>
        <v>27</v>
      </c>
      <c r="G35" s="20" t="str">
        <f aca="false">IF(E35&gt;=85,"A",IF(E35&gt;=70,"B","C"))</f>
        <v>C</v>
      </c>
      <c r="H35" s="20" t="str">
        <f aca="false">IF(F35&gt;23,"是","否")</f>
        <v>是</v>
      </c>
      <c r="I35" s="20" t="str">
        <f aca="false">IF(H35="是",IF(G35="A","B",IF(G35="B","C","C")),G35)</f>
        <v>C</v>
      </c>
      <c r="J35" s="20"/>
      <c r="K35" s="20" t="str">
        <f aca="false">IF(I35="C","是","否")</f>
        <v>是</v>
      </c>
      <c r="L35" s="20" t="str">
        <f aca="false">IF(OR(I35="C",J35&gt;=2),"是","否")</f>
        <v>是</v>
      </c>
    </row>
    <row r="36" customFormat="false" ht="15" hidden="false" customHeight="false" outlineLevel="0" collapsed="false">
      <c r="A36" s="20" t="n">
        <f aca="false">供应商基础信息!B34</f>
        <v>0</v>
      </c>
      <c r="B36" s="20" t="n">
        <f aca="false">'业务督导评分(60分)'!T41</f>
        <v>0</v>
      </c>
      <c r="C36" s="20" t="n">
        <f aca="false">'供应商管理评分(30分)'!M41</f>
        <v>0</v>
      </c>
      <c r="D36" s="20" t="n">
        <f aca="false">'质检评分(10分)'!K41</f>
        <v>0</v>
      </c>
      <c r="E36" s="21" t="n">
        <f aca="false">B36+C36+D36</f>
        <v>0</v>
      </c>
      <c r="F36" s="20" t="n">
        <f aca="false">RANK(E36,$E$6:$E$38,0)</f>
        <v>27</v>
      </c>
      <c r="G36" s="20" t="str">
        <f aca="false">IF(E36&gt;=85,"A",IF(E36&gt;=70,"B","C"))</f>
        <v>C</v>
      </c>
      <c r="H36" s="20" t="str">
        <f aca="false">IF(F36&gt;23,"是","否")</f>
        <v>是</v>
      </c>
      <c r="I36" s="20" t="str">
        <f aca="false">IF(H36="是",IF(G36="A","B",IF(G36="B","C","C")),G36)</f>
        <v>C</v>
      </c>
      <c r="J36" s="20"/>
      <c r="K36" s="20" t="str">
        <f aca="false">IF(I36="C","是","否")</f>
        <v>是</v>
      </c>
      <c r="L36" s="20" t="str">
        <f aca="false">IF(OR(I36="C",J36&gt;=2),"是","否")</f>
        <v>是</v>
      </c>
    </row>
    <row r="37" customFormat="false" ht="15" hidden="false" customHeight="false" outlineLevel="0" collapsed="false">
      <c r="A37" s="20" t="n">
        <f aca="false">供应商基础信息!B35</f>
        <v>0</v>
      </c>
      <c r="B37" s="20" t="n">
        <f aca="false">'业务督导评分(60分)'!T42</f>
        <v>0</v>
      </c>
      <c r="C37" s="20" t="n">
        <f aca="false">'供应商管理评分(30分)'!M42</f>
        <v>0</v>
      </c>
      <c r="D37" s="20" t="n">
        <f aca="false">'质检评分(10分)'!K42</f>
        <v>0</v>
      </c>
      <c r="E37" s="21" t="n">
        <f aca="false">B37+C37+D37</f>
        <v>0</v>
      </c>
      <c r="F37" s="20" t="n">
        <f aca="false">RANK(E37,$E$6:$E$38,0)</f>
        <v>27</v>
      </c>
      <c r="G37" s="20" t="str">
        <f aca="false">IF(E37&gt;=85,"A",IF(E37&gt;=70,"B","C"))</f>
        <v>C</v>
      </c>
      <c r="H37" s="20" t="str">
        <f aca="false">IF(F37&gt;23,"是","否")</f>
        <v>是</v>
      </c>
      <c r="I37" s="20" t="str">
        <f aca="false">IF(H37="是",IF(G37="A","B",IF(G37="B","C","C")),G37)</f>
        <v>C</v>
      </c>
      <c r="J37" s="20"/>
      <c r="K37" s="20" t="str">
        <f aca="false">IF(I37="C","是","否")</f>
        <v>是</v>
      </c>
      <c r="L37" s="20" t="str">
        <f aca="false">IF(OR(I37="C",J37&gt;=2),"是","否")</f>
        <v>是</v>
      </c>
    </row>
    <row r="38" customFormat="false" ht="15" hidden="false" customHeight="false" outlineLevel="0" collapsed="false">
      <c r="A38" s="20" t="n">
        <f aca="false">供应商基础信息!B36</f>
        <v>0</v>
      </c>
      <c r="B38" s="20" t="n">
        <f aca="false">'业务督导评分(60分)'!T43</f>
        <v>0</v>
      </c>
      <c r="C38" s="20" t="n">
        <f aca="false">'供应商管理评分(30分)'!M43</f>
        <v>0</v>
      </c>
      <c r="D38" s="20" t="n">
        <f aca="false">'质检评分(10分)'!K43</f>
        <v>0</v>
      </c>
      <c r="E38" s="21" t="n">
        <f aca="false">B38+C38+D38</f>
        <v>0</v>
      </c>
      <c r="F38" s="20" t="n">
        <f aca="false">RANK(E38,$E$6:$E$38,0)</f>
        <v>27</v>
      </c>
      <c r="G38" s="20" t="str">
        <f aca="false">IF(E38&gt;=85,"A",IF(E38&gt;=70,"B","C"))</f>
        <v>C</v>
      </c>
      <c r="H38" s="20" t="str">
        <f aca="false">IF(F38&gt;23,"是","否")</f>
        <v>是</v>
      </c>
      <c r="I38" s="20" t="str">
        <f aca="false">IF(H38="是",IF(G38="A","B",IF(G38="B","C","C")),G38)</f>
        <v>C</v>
      </c>
      <c r="J38" s="20"/>
      <c r="K38" s="20" t="str">
        <f aca="false">IF(I38="C","是","否")</f>
        <v>是</v>
      </c>
      <c r="L38" s="20" t="str">
        <f aca="false">IF(OR(I38="C",J38&gt;=2),"是","否")</f>
        <v>是</v>
      </c>
    </row>
    <row r="41" customFormat="false" ht="15" hidden="false" customHeight="false" outlineLevel="0" collapsed="false">
      <c r="A41" s="22" t="s">
        <v>112</v>
      </c>
    </row>
    <row r="42" customFormat="false" ht="16.4" hidden="false" customHeight="false" outlineLevel="0" collapsed="false">
      <c r="A42" s="23" t="s">
        <v>113</v>
      </c>
      <c r="B42" s="20" t="n">
        <f aca="false">COUNTIF(I6:I38,"A")</f>
        <v>0</v>
      </c>
      <c r="C42" s="24" t="s">
        <v>114</v>
      </c>
      <c r="D42" s="25" t="n">
        <f aca="false">B42/COUNTA(I6:I38)</f>
        <v>0</v>
      </c>
    </row>
    <row r="43" customFormat="false" ht="16.4" hidden="false" customHeight="false" outlineLevel="0" collapsed="false">
      <c r="A43" s="23" t="s">
        <v>115</v>
      </c>
      <c r="B43" s="20" t="n">
        <f aca="false">COUNTIF(I6:I38,"B")</f>
        <v>0</v>
      </c>
      <c r="C43" s="24" t="s">
        <v>114</v>
      </c>
      <c r="D43" s="26" t="n">
        <f aca="false">B43/COUNTA(I6:I38)</f>
        <v>0</v>
      </c>
    </row>
    <row r="44" customFormat="false" ht="16.4" hidden="false" customHeight="false" outlineLevel="0" collapsed="false">
      <c r="A44" s="23" t="s">
        <v>116</v>
      </c>
      <c r="B44" s="20" t="n">
        <f aca="false">COUNTIF(I6:I38,"C")</f>
        <v>33</v>
      </c>
      <c r="C44" s="24" t="s">
        <v>114</v>
      </c>
      <c r="D44" s="27" t="n">
        <f aca="false">B44/COUNTA(I6:I38)</f>
        <v>1</v>
      </c>
    </row>
    <row r="46" customFormat="false" ht="16.4" hidden="false" customHeight="false" outlineLevel="0" collapsed="false">
      <c r="A46" s="28" t="s">
        <v>117</v>
      </c>
      <c r="B46" s="0" t="n">
        <f aca="false">COUNTIF(K6:K38,"是")</f>
        <v>33</v>
      </c>
    </row>
    <row r="47" customFormat="false" ht="15" hidden="false" customHeight="false" outlineLevel="0" collapsed="false">
      <c r="A47" s="28" t="s">
        <v>118</v>
      </c>
      <c r="B47" s="0" t="n">
        <f aca="false">COUNTIF(L6:L38,"是")</f>
        <v>33</v>
      </c>
    </row>
  </sheetData>
  <mergeCells count="2">
    <mergeCell ref="A1:L1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2026-04-13T12:04:36Z</dcterms:created>
  <dc:creator>openpyxl</dc:creator>
  <dc:description/>
  <dc:language>zh-CN</dc:language>
  <cp:lastModifiedBy/>
  <dcterms:modified xsi:type="dcterms:W3CDTF">2026-04-13T12:04:36Z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