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业管数据" sheetId="1" r:id="rId1"/>
    <sheet name="供管评定" sheetId="2" r:id="rId4"/>
    <sheet name="评估结果" sheetId="3" r:id="rId5"/>
  </sheets>
</workbook>
</file>

<file path=xl/sharedStrings.xml><?xml version="1.0" encoding="utf-8"?>
<sst xmlns="http://schemas.openxmlformats.org/spreadsheetml/2006/main" count="122" uniqueCount="122">
  <si>
    <t>供应商分级清退评估 — 季度数据表</t>
  </si>
  <si>
    <t>供管评定表</t>
  </si>
  <si>
    <t>评估结果与九宫格</t>
  </si>
  <si>
    <t>注：蓝色=手动输入，黑色=自动计算，绿色=跨表引用</t>
  </si>
  <si>
    <t>供应商名称</t>
  </si>
  <si>
    <t>产线</t>
  </si>
  <si>
    <t>第1月赛马成绩</t>
  </si>
  <si>
    <t>第2月赛马成绩</t>
  </si>
  <si>
    <t>第3月赛马成绩</t>
  </si>
  <si>
    <t>季度平均赛马分</t>
  </si>
  <si>
    <t>黄牌次数</t>
  </si>
  <si>
    <t>黄牌扣分</t>
  </si>
  <si>
    <t>投诉次数</t>
  </si>
  <si>
    <t>投诉扣分</t>
  </si>
  <si>
    <t>红线违规</t>
  </si>
  <si>
    <t>上季度最终得分</t>
  </si>
  <si>
    <t>供应商名称</t>
  </si>
  <si>
    <t>金条</t>
  </si>
  <si>
    <t>供应商名称</t>
  </si>
  <si>
    <t>企金</t>
  </si>
  <si>
    <t>供应商名称</t>
  </si>
  <si>
    <t>金条</t>
  </si>
  <si>
    <t>供应商名称</t>
  </si>
  <si>
    <t>信用卡</t>
  </si>
  <si>
    <t>供应商名称</t>
  </si>
  <si>
    <t>企金</t>
  </si>
  <si>
    <t>供应商名称</t>
  </si>
  <si>
    <t>金条</t>
  </si>
  <si>
    <t>供应商名称</t>
  </si>
  <si>
    <t>信用卡</t>
  </si>
  <si>
    <t>供应商名称</t>
  </si>
  <si>
    <t>财富</t>
  </si>
  <si>
    <t>供应商名称</t>
  </si>
  <si>
    <t>信用卡</t>
  </si>
  <si>
    <t>供应商名称</t>
  </si>
  <si>
    <t>财富</t>
  </si>
  <si>
    <t>人员变动</t>
  </si>
  <si>
    <t>产能波动</t>
  </si>
  <si>
    <t>SLA达成</t>
  </si>
  <si>
    <t>突发情况</t>
  </si>
  <si>
    <t>高</t>
  </si>
  <si>
    <t>中</t>
  </si>
  <si>
    <t>低</t>
  </si>
  <si>
    <t>战略协作</t>
  </si>
  <si>
    <t>响应质量</t>
  </si>
  <si>
    <t>高效执行</t>
  </si>
  <si>
    <t>共同成长</t>
  </si>
  <si>
    <t>坦诚透明</t>
  </si>
  <si>
    <t>最终得分</t>
  </si>
  <si>
    <t>赛马基础分</t>
  </si>
  <si>
    <t>合规扣分</t>
  </si>
  <si>
    <t>稳定性得分</t>
  </si>
  <si>
    <t>供管加分</t>
  </si>
  <si>
    <t>环比变化</t>
  </si>
  <si>
    <t>趋势</t>
  </si>
  <si>
    <t>X轴贡献等级</t>
  </si>
  <si>
    <t>九宫格评级</t>
  </si>
  <si>
    <t>管理动作</t>
  </si>
  <si>
    <t>上升 ↑</t>
  </si>
  <si>
    <t>持平 →</t>
  </si>
  <si>
    <t>下降 ↓</t>
  </si>
  <si>
    <t>高贡献</t>
  </si>
  <si>
    <t>中贡献</t>
  </si>
  <si>
    <t>低贡献</t>
  </si>
  <si>
    <t>优秀</t>
  </si>
  <si>
    <t>保留</t>
  </si>
  <si>
    <t>深度绑定</t>
  </si>
  <si>
    <t>合格</t>
  </si>
  <si>
    <t>培养</t>
  </si>
  <si>
    <t>需关注</t>
  </si>
  <si>
    <t>整改</t>
  </si>
  <si>
    <t>淘汰</t>
  </si>
  <si>
    <t>快车道</t>
  </si>
  <si>
    <t>资源优先倾斜，新产线试点优先入围</t>
  </si>
  <si>
    <t>纳入深度绑定计划，季度高层拜访</t>
  </si>
  <si>
    <t>维持现有合作深度，纳入保留清单</t>
  </si>
  <si>
    <t>启动保留动作：一对一沟通识别风险点</t>
  </si>
  <si>
    <t>密切监控下季度表现，防止进一步下滑</t>
  </si>
  <si>
    <t>资源适度倾斜，纳入重点培养名单</t>
  </si>
  <si>
    <t>纳入重点培养，给予成长支持</t>
  </si>
  <si>
    <t>维持现状，基础份额不变</t>
  </si>
  <si>
    <t>提交书面改善计划，月度跟踪</t>
  </si>
  <si>
    <t>专项约谈供应商负责人</t>
  </si>
  <si>
    <t>明确提升方向和时间节点</t>
  </si>
  <si>
    <t>启动整改流程，限期30天提交改善计划</t>
  </si>
  <si>
    <t>逐步缩减产能，不再新增份额</t>
  </si>
  <si>
    <t>约谈供应商负责人，书面记录</t>
  </si>
  <si>
    <t>同步启动储备库替代供应商匹配</t>
  </si>
  <si>
    <t>月度跟踪整改进度</t>
  </si>
  <si>
    <t>当季直接启动快车道清退</t>
  </si>
  <si>
    <t>不再新增任何份额</t>
  </si>
  <si>
    <t>启动交接流程，30天内完成</t>
  </si>
  <si>
    <t>产能份额分配给上一档供应商</t>
  </si>
  <si>
    <t>等级代码</t>
  </si>
  <si>
    <t>趋势代码</t>
  </si>
  <si>
    <t>动作代码</t>
  </si>
  <si>
    <t>动作描述</t>
  </si>
  <si>
    <t>高</t>
  </si>
  <si>
    <t>中</t>
  </si>
  <si>
    <t>低</t>
  </si>
  <si>
    <t>向上</t>
  </si>
  <si>
    <t>稳定</t>
  </si>
  <si>
    <t>向下</t>
  </si>
  <si>
    <t>A-Up</t>
  </si>
  <si>
    <t>A-Stable</t>
  </si>
  <si>
    <t>A-Down</t>
  </si>
  <si>
    <t>B-Up</t>
  </si>
  <si>
    <t>B-Stable</t>
  </si>
  <si>
    <t>B-Down</t>
  </si>
  <si>
    <t>C-Up</t>
  </si>
  <si>
    <t>C-Stable</t>
  </si>
  <si>
    <t>C-Down</t>
  </si>
  <si>
    <t>毅航科技</t>
  </si>
  <si>
    <t>伽玛智能</t>
  </si>
  <si>
    <t>赛维斯</t>
  </si>
  <si>
    <t>翰锐信息</t>
  </si>
  <si>
    <t>毛毛虫</t>
  </si>
  <si>
    <t>岐力技术</t>
  </si>
  <si>
    <t>中科软</t>
  </si>
  <si>
    <t>文思海辉</t>
  </si>
  <si>
    <t>博彦科技</t>
  </si>
  <si>
    <t>中软国际</t>
  </si>
</sst>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3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4" customWidth="1"/>
    <col min="2" max="2" width="10" customWidth="1"/>
    <col min="3" max="6" width="14" customWidth="1"/>
    <col min="7" max="10" width="12" customWidth="1"/>
    <col min="11" max="11" width="10" customWidth="1"/>
    <col min="12" max="12" width="14" customWidth="1"/>
  </cols>
  <sheetData>
    <row r="1" ht="24" customHeight="1">
      <c r="A1" t="s" s="4">
        <v>0</v>
      </c>
    </row>
    <row r="2" ht="16" customHeight="1">
      <c r="A2" t="s" s="13">
        <v>3</v>
      </c>
    </row>
    <row r="3" ht="20" customHeight="1">
      <c r="A3" t="s" s="4">
        <v>4</v>
      </c>
      <c r="B3" t="s" s="4">
        <v>5</v>
      </c>
      <c r="C3" t="s" s="4">
        <v>6</v>
      </c>
      <c r="D3" t="s" s="4">
        <v>7</v>
      </c>
      <c r="E3" t="s" s="4">
        <v>8</v>
      </c>
      <c r="F3" t="s" s="4">
        <v>9</v>
      </c>
      <c r="G3" t="s" s="4">
        <v>10</v>
      </c>
      <c r="H3" t="s" s="4">
        <v>11</v>
      </c>
      <c r="I3" t="s" s="4">
        <v>12</v>
      </c>
      <c r="J3" t="s" s="4">
        <v>13</v>
      </c>
      <c r="K3" t="s" s="4">
        <v>14</v>
      </c>
      <c r="L3" t="s" s="4">
        <v>15</v>
      </c>
    </row>
    <row r="4">
      <c r="A4" t="s" s="2">
        <v>112</v>
      </c>
      <c r="B4" t="s" s="2">
        <v>17</v>
      </c>
      <c r="C4" s="5">
        <v>92</v>
      </c>
      <c r="D4" s="5">
        <v>95</v>
      </c>
      <c r="E4" s="5">
        <v>90</v>
      </c>
      <c r="F4" s="6">
        <f>AVERAGE(C4:E4)</f>
        <v/>
      </c>
      <c r="G4" s="5">
        <v>0</v>
      </c>
      <c r="H4" s="6">
        <f>G4*10</f>
        <v/>
      </c>
      <c r="I4" s="5">
        <v>0</v>
      </c>
      <c r="J4" s="6">
        <f>I4*5</f>
        <v/>
      </c>
      <c r="K4" t="b" s="0">
        <v>0</v>
      </c>
      <c r="L4" s="5">
        <v>88</v>
      </c>
    </row>
    <row r="5">
      <c r="A5" t="s" s="2">
        <v>113</v>
      </c>
      <c r="B5" t="s" s="2">
        <v>19</v>
      </c>
      <c r="C5" s="5">
        <v>85</v>
      </c>
      <c r="D5" s="5">
        <v>80</v>
      </c>
      <c r="E5" s="5">
        <v>82</v>
      </c>
      <c r="F5" s="6">
        <f>AVERAGE(C5:E5)</f>
        <v/>
      </c>
      <c r="G5" s="5">
        <v>0</v>
      </c>
      <c r="H5" s="6">
        <f>G5*10</f>
        <v/>
      </c>
      <c r="I5" s="5">
        <v>0</v>
      </c>
      <c r="J5" s="6">
        <f>I5*5</f>
        <v/>
      </c>
      <c r="K5" t="b" s="0">
        <v>0</v>
      </c>
      <c r="L5" s="5">
        <v>80</v>
      </c>
    </row>
    <row r="6">
      <c r="A6" t="s" s="2">
        <v>114</v>
      </c>
      <c r="B6" t="s" s="2">
        <v>21</v>
      </c>
      <c r="C6" s="5">
        <v>78</v>
      </c>
      <c r="D6" s="5">
        <v>75</v>
      </c>
      <c r="E6" s="5">
        <v>80</v>
      </c>
      <c r="F6" s="6">
        <f>AVERAGE(C6:E6)</f>
        <v/>
      </c>
      <c r="G6" s="5">
        <v>0</v>
      </c>
      <c r="H6" s="6">
        <f>G6*10</f>
        <v/>
      </c>
      <c r="I6" s="5">
        <v>0</v>
      </c>
      <c r="J6" s="6">
        <f>I6*5</f>
        <v/>
      </c>
      <c r="K6" t="b" s="0">
        <v>0</v>
      </c>
      <c r="L6" s="5">
        <v>76</v>
      </c>
    </row>
    <row r="7">
      <c r="A7" t="s" s="2">
        <v>115</v>
      </c>
      <c r="B7" t="s" s="2">
        <v>23</v>
      </c>
      <c r="C7" s="5">
        <v>72</v>
      </c>
      <c r="D7" s="5">
        <v>70</v>
      </c>
      <c r="E7" s="5">
        <v>74</v>
      </c>
      <c r="F7" s="6">
        <f>AVERAGE(C7:E7)</f>
        <v/>
      </c>
      <c r="G7" s="5">
        <v>0</v>
      </c>
      <c r="H7" s="6">
        <f>G7*10</f>
        <v/>
      </c>
      <c r="I7" s="5">
        <v>0</v>
      </c>
      <c r="J7" s="6">
        <f>I7*5</f>
        <v/>
      </c>
      <c r="K7" t="b" s="0">
        <v>0</v>
      </c>
      <c r="L7" s="5">
        <v>70</v>
      </c>
    </row>
    <row r="8">
      <c r="A8" t="s" s="2">
        <v>116</v>
      </c>
      <c r="B8" t="s" s="2">
        <v>25</v>
      </c>
      <c r="C8" s="5">
        <v>65</v>
      </c>
      <c r="D8" s="5">
        <v>62</v>
      </c>
      <c r="E8" s="5">
        <v>68</v>
      </c>
      <c r="F8" s="6">
        <f>AVERAGE(C8:E8)</f>
        <v/>
      </c>
      <c r="G8" s="5">
        <v>0</v>
      </c>
      <c r="H8" s="6">
        <f>G8*10</f>
        <v/>
      </c>
      <c r="I8" s="5">
        <v>0</v>
      </c>
      <c r="J8" s="6">
        <f>I8*5</f>
        <v/>
      </c>
      <c r="K8" t="b" s="0">
        <v>0</v>
      </c>
      <c r="L8" s="5">
        <v>63</v>
      </c>
    </row>
    <row r="9">
      <c r="A9" t="s" s="2">
        <v>117</v>
      </c>
      <c r="B9" t="s" s="2">
        <v>27</v>
      </c>
      <c r="C9" s="5">
        <v>55</v>
      </c>
      <c r="D9" s="5">
        <v>50</v>
      </c>
      <c r="E9" s="5">
        <v>52</v>
      </c>
      <c r="F9" s="6">
        <f>AVERAGE(C9:E9)</f>
        <v/>
      </c>
      <c r="G9" s="5">
        <v>1</v>
      </c>
      <c r="H9" s="6">
        <f>G9*10</f>
        <v/>
      </c>
      <c r="I9" s="5">
        <v>1</v>
      </c>
      <c r="J9" s="6">
        <f>I9*5</f>
        <v/>
      </c>
      <c r="K9" t="b" s="0">
        <v>1</v>
      </c>
      <c r="L9" s="5">
        <v>62</v>
      </c>
    </row>
    <row r="10">
      <c r="A10" t="s" s="2">
        <v>118</v>
      </c>
      <c r="B10" t="s" s="2">
        <v>29</v>
      </c>
      <c r="C10" s="5">
        <v>80</v>
      </c>
      <c r="D10" s="5">
        <v>82</v>
      </c>
      <c r="E10" s="5">
        <v>78</v>
      </c>
      <c r="F10" s="6">
        <f>AVERAGE(C10:E10)</f>
        <v/>
      </c>
      <c r="G10" s="5">
        <v>0</v>
      </c>
      <c r="H10" s="6">
        <f>G10*10</f>
        <v/>
      </c>
      <c r="I10" s="5">
        <v>0</v>
      </c>
      <c r="J10" s="6">
        <f>I10*5</f>
        <v/>
      </c>
      <c r="K10" t="b" s="0">
        <v>0</v>
      </c>
      <c r="L10" s="5">
        <v>75</v>
      </c>
    </row>
    <row r="11">
      <c r="A11" t="s" s="2">
        <v>119</v>
      </c>
      <c r="B11" t="s" s="2">
        <v>31</v>
      </c>
      <c r="C11" s="5">
        <v>60</v>
      </c>
      <c r="D11" s="5">
        <v>58</v>
      </c>
      <c r="E11" s="5">
        <v>55</v>
      </c>
      <c r="F11" s="6">
        <f>AVERAGE(C11:E11)</f>
        <v/>
      </c>
      <c r="G11" s="5">
        <v>0</v>
      </c>
      <c r="H11" s="6">
        <f>G11*10</f>
        <v/>
      </c>
      <c r="I11" s="5">
        <v>1</v>
      </c>
      <c r="J11" s="6">
        <f>I11*5</f>
        <v/>
      </c>
      <c r="K11" t="b" s="0">
        <v>0</v>
      </c>
      <c r="L11" s="5">
        <v>60</v>
      </c>
    </row>
    <row r="12">
      <c r="A12" t="s" s="2">
        <v>120</v>
      </c>
      <c r="B12" t="s" s="2">
        <v>33</v>
      </c>
      <c r="C12" s="5">
        <v>65</v>
      </c>
      <c r="D12" s="5">
        <v>68</v>
      </c>
      <c r="E12" s="5">
        <v>62</v>
      </c>
      <c r="F12" s="6">
        <f>AVERAGE(C12:E12)</f>
        <v/>
      </c>
      <c r="G12" s="5">
        <v>0</v>
      </c>
      <c r="H12" s="6">
        <f>G12*10</f>
        <v/>
      </c>
      <c r="I12" s="5">
        <v>0</v>
      </c>
      <c r="J12" s="6">
        <f>I12*5</f>
        <v/>
      </c>
      <c r="K12" t="b" s="0">
        <v>0</v>
      </c>
      <c r="L12" s="5">
        <v>66</v>
      </c>
    </row>
    <row r="13">
      <c r="A13" t="s" s="2">
        <v>121</v>
      </c>
      <c r="B13" t="s" s="2">
        <v>35</v>
      </c>
      <c r="C13" s="5">
        <v>60</v>
      </c>
      <c r="D13" s="5">
        <v>58</v>
      </c>
      <c r="E13" s="5">
        <v>55</v>
      </c>
      <c r="F13" s="6">
        <f>AVERAGE(C13:E13)</f>
        <v/>
      </c>
      <c r="G13" s="5">
        <v>0</v>
      </c>
      <c r="H13" s="6">
        <f>G13*10</f>
        <v/>
      </c>
      <c r="I13" s="5">
        <v>0</v>
      </c>
      <c r="J13" s="6">
        <f>I13*5</f>
        <v/>
      </c>
      <c r="K13" t="b" s="0">
        <v>0</v>
      </c>
      <c r="L13" s="5">
        <v>57</v>
      </c>
    </row>
    <row r="14" ht="18" customHeight="1">
      <c r="G14" s="6">
        <f>SUM(G4:G13)</f>
        <v/>
      </c>
      <c r="H14" s="6">
        <f>SUM(H4:H13)</f>
        <v/>
      </c>
      <c r="I14" s="6">
        <f>SUM(I4:I13)</f>
        <v/>
      </c>
      <c r="J14" s="6">
        <f>SUM(J4:J13)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4" customWidth="1"/>
    <col min="2" max="5" width="13" customWidth="1"/>
    <col min="6" max="9" width="14" customWidth="1"/>
    <col min="10" max="14" width="12" customWidth="1"/>
    <col min="15" max="16" width="14" customWidth="1"/>
  </cols>
  <sheetData>
    <row r="1" ht="24" customHeight="1">
      <c r="A1" t="s" s="4">
        <v>1</v>
      </c>
    </row>
    <row r="2" ht="16" customHeight="1">
      <c r="A2" t="s" s="13">
        <v>3</v>
      </c>
    </row>
    <row r="3" ht="20" customHeight="1">
      <c r="A3" t="s" s="4">
        <v>126</v>
      </c>
      <c r="E3" t="s" s="4">
        <v>127</v>
      </c>
      <c r="J3" t="s" s="4">
        <v>128</v>
      </c>
    </row>
    <row r="4" ht="20" customHeight="1">
      <c r="A4" t="s" s="4">
        <v>129</v>
      </c>
      <c r="B4" t="s" s="4">
        <v>130</v>
      </c>
      <c r="C4" t="s" s="4">
        <v>131</v>
      </c>
      <c r="D4" t="s" s="4">
        <v>132</v>
      </c>
      <c r="E4" t="s" s="4">
        <v>133</v>
      </c>
      <c r="F4" t="s" s="4">
        <v>134</v>
      </c>
      <c r="G4" t="s" s="4">
        <v>135</v>
      </c>
      <c r="H4" t="s" s="4">
        <v>136</v>
      </c>
      <c r="I4" t="s" s="4">
        <v>137</v>
      </c>
      <c r="J4" t="s" s="4">
        <v>138</v>
      </c>
      <c r="K4" t="s" s="4">
        <v>139</v>
      </c>
      <c r="L4" t="s" s="4">
        <v>140</v>
      </c>
      <c r="M4" t="s" s="4">
        <v>141</v>
      </c>
      <c r="N4" t="s" s="4">
        <v>142</v>
      </c>
      <c r="O4" t="s" s="4">
        <v>143</v>
      </c>
      <c r="P4" t="s" s="4">
        <v>144</v>
      </c>
    </row>
    <row r="5">
      <c r="A5" t="s" s="2">
        <v>112</v>
      </c>
      <c r="B5" s="1">
        <v>1</v>
      </c>
      <c r="C5" s="1">
        <v>1</v>
      </c>
      <c r="D5" s="1">
        <v>1</v>
      </c>
      <c r="E5" s="1">
        <v>1</v>
      </c>
      <c r="F5" s="6">
        <f>IF(B5=1,1.25,IF(B5=3,-2.5,0))</f>
        <v/>
      </c>
      <c r="G5" s="6">
        <f>IF(C5=1,1.25,IF(C5=3,-2.5,0))</f>
        <v/>
      </c>
      <c r="H5" s="6">
        <f>IF(D5=1,1.25,IF(D5=3,-2.5,0))</f>
        <v/>
      </c>
      <c r="I5" s="6">
        <f>IF(E5=1,1.25,IF(E5=3,-2.5,0))</f>
        <v/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6">
        <f>SUM(F5:I5)</f>
        <v/>
      </c>
      <c r="P5" s="6">
        <f>SUM(J5:N5)</f>
        <v/>
      </c>
    </row>
    <row r="6">
      <c r="A6" t="s" s="2">
        <v>113</v>
      </c>
      <c r="B6" s="1">
        <v>1</v>
      </c>
      <c r="C6" s="1">
        <v>2</v>
      </c>
      <c r="D6" s="1">
        <v>1</v>
      </c>
      <c r="E6" s="1">
        <v>2</v>
      </c>
      <c r="F6" s="6">
        <f>IF(B6=1,1.25,IF(B6=3,-2.5,0))</f>
        <v/>
      </c>
      <c r="G6" s="6">
        <f>IF(C6=1,1.25,IF(C6=3,-2.5,0))</f>
        <v/>
      </c>
      <c r="H6" s="6">
        <f>IF(D6=1,1.25,IF(D6=3,-2.5,0))</f>
        <v/>
      </c>
      <c r="I6" s="6">
        <f>IF(E6=1,1.25,IF(E6=3,-2.5,0))</f>
        <v/>
      </c>
      <c r="J6" s="1">
        <v>1</v>
      </c>
      <c r="K6" s="1">
        <v>1</v>
      </c>
      <c r="L6" s="1">
        <v>1</v>
      </c>
      <c r="M6" s="1">
        <v>0</v>
      </c>
      <c r="N6" s="1">
        <v>0</v>
      </c>
      <c r="O6" s="6">
        <f>SUM(F6:I6)</f>
        <v/>
      </c>
      <c r="P6" s="6">
        <f>SUM(J6:N6)</f>
        <v/>
      </c>
    </row>
    <row r="7">
      <c r="A7" t="s" s="2">
        <v>114</v>
      </c>
      <c r="B7" s="1">
        <v>1</v>
      </c>
      <c r="C7" s="1">
        <v>1</v>
      </c>
      <c r="D7" s="1">
        <v>2</v>
      </c>
      <c r="E7" s="1">
        <v>2</v>
      </c>
      <c r="F7" s="6">
        <f>IF(B7=1,1.25,IF(B7=3,-2.5,0))</f>
        <v/>
      </c>
      <c r="G7" s="6">
        <f>IF(C7=1,1.25,IF(C7=3,-2.5,0))</f>
        <v/>
      </c>
      <c r="H7" s="6">
        <f>IF(D7=1,1.25,IF(D7=3,-2.5,0))</f>
        <v/>
      </c>
      <c r="I7" s="6">
        <f>IF(E7=1,1.25,IF(E7=3,-2.5,0))</f>
        <v/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6">
        <f>SUM(F7:I7)</f>
        <v/>
      </c>
      <c r="P7" s="6">
        <f>SUM(J7:N7)</f>
        <v/>
      </c>
    </row>
    <row r="8">
      <c r="A8" t="s" s="2">
        <v>115</v>
      </c>
      <c r="B8" s="1">
        <v>2</v>
      </c>
      <c r="C8" s="1">
        <v>2</v>
      </c>
      <c r="D8" s="1">
        <v>1</v>
      </c>
      <c r="E8" s="1">
        <v>2</v>
      </c>
      <c r="F8" s="6">
        <f>IF(B8=1,1.25,IF(B8=3,-2.5,0))</f>
        <v/>
      </c>
      <c r="G8" s="6">
        <f>IF(C8=1,1.25,IF(C8=3,-2.5,0))</f>
        <v/>
      </c>
      <c r="H8" s="6">
        <f>IF(D8=1,1.25,IF(D8=3,-2.5,0))</f>
        <v/>
      </c>
      <c r="I8" s="6">
        <f>IF(E8=1,1.25,IF(E8=3,-2.5,0))</f>
        <v/>
      </c>
      <c r="J8" s="1">
        <v>0</v>
      </c>
      <c r="K8" s="1">
        <v>1</v>
      </c>
      <c r="L8" s="1">
        <v>0</v>
      </c>
      <c r="M8" s="1">
        <v>1</v>
      </c>
      <c r="N8" s="1">
        <v>0</v>
      </c>
      <c r="O8" s="6">
        <f>SUM(F8:I8)</f>
        <v/>
      </c>
      <c r="P8" s="6">
        <f>SUM(J8:N8)</f>
        <v/>
      </c>
    </row>
    <row r="9">
      <c r="A9" t="s" s="2">
        <v>116</v>
      </c>
      <c r="B9" s="1">
        <v>2</v>
      </c>
      <c r="C9" s="1">
        <v>2</v>
      </c>
      <c r="D9" s="1">
        <v>3</v>
      </c>
      <c r="E9" s="1">
        <v>2</v>
      </c>
      <c r="F9" s="6">
        <f>IF(B9=1,1.25,IF(B9=3,-2.5,0))</f>
        <v/>
      </c>
      <c r="G9" s="6">
        <f>IF(C9=1,1.25,IF(C9=3,-2.5,0))</f>
        <v/>
      </c>
      <c r="H9" s="6">
        <f>IF(D9=1,1.25,IF(D9=3,-2.5,0))</f>
        <v/>
      </c>
      <c r="I9" s="6">
        <f>IF(E9=1,1.25,IF(E9=3,-2.5,0))</f>
        <v/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6">
        <f>SUM(F9:I9)</f>
        <v/>
      </c>
      <c r="P9" s="6">
        <f>SUM(J9:N9)</f>
        <v/>
      </c>
    </row>
    <row r="10">
      <c r="A10" t="s" s="2">
        <v>117</v>
      </c>
      <c r="B10" s="1">
        <v>3</v>
      </c>
      <c r="C10" s="1">
        <v>3</v>
      </c>
      <c r="D10" s="1">
        <v>3</v>
      </c>
      <c r="E10" s="1">
        <v>3</v>
      </c>
      <c r="F10" s="6">
        <f>IF(B10=1,1.25,IF(B10=3,-2.5,0))</f>
        <v/>
      </c>
      <c r="G10" s="6">
        <f>IF(C10=1,1.25,IF(C10=3,-2.5,0))</f>
        <v/>
      </c>
      <c r="H10" s="6">
        <f>IF(D10=1,1.25,IF(D10=3,-2.5,0))</f>
        <v/>
      </c>
      <c r="I10" s="6">
        <f>IF(E10=1,1.25,IF(E10=3,-2.5,0))</f>
        <v/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6">
        <f>SUM(F10:I10)</f>
        <v/>
      </c>
      <c r="P10" s="6">
        <f>SUM(J10:N10)</f>
        <v/>
      </c>
    </row>
    <row r="11">
      <c r="A11" t="s" s="2">
        <v>118</v>
      </c>
      <c r="B11" s="1">
        <v>1</v>
      </c>
      <c r="C11" s="1">
        <v>1</v>
      </c>
      <c r="D11" s="1">
        <v>1</v>
      </c>
      <c r="E11" s="1">
        <v>2</v>
      </c>
      <c r="F11" s="6">
        <f>IF(B11=1,1.25,IF(B11=3,-2.5,0))</f>
        <v/>
      </c>
      <c r="G11" s="6">
        <f>IF(C11=1,1.25,IF(C11=3,-2.5,0))</f>
        <v/>
      </c>
      <c r="H11" s="6">
        <f>IF(D11=1,1.25,IF(D11=3,-2.5,0))</f>
        <v/>
      </c>
      <c r="I11" s="6">
        <f>IF(E11=1,1.25,IF(E11=3,-2.5,0))</f>
        <v/>
      </c>
      <c r="J11" s="1">
        <v>1</v>
      </c>
      <c r="K11" s="1">
        <v>1</v>
      </c>
      <c r="L11" s="1">
        <v>1</v>
      </c>
      <c r="M11" s="1">
        <v>1</v>
      </c>
      <c r="N11" s="1">
        <v>0</v>
      </c>
      <c r="O11" s="6">
        <f>SUM(F11:I11)</f>
        <v/>
      </c>
      <c r="P11" s="6">
        <f>SUM(J11:N11)</f>
        <v/>
      </c>
    </row>
    <row r="12">
      <c r="A12" t="s" s="2">
        <v>119</v>
      </c>
      <c r="B12" s="1">
        <v>3</v>
      </c>
      <c r="C12" s="1">
        <v>3</v>
      </c>
      <c r="D12" s="1">
        <v>2</v>
      </c>
      <c r="E12" s="1">
        <v>3</v>
      </c>
      <c r="F12" s="6">
        <f>IF(B12=1,1.25,IF(B12=3,-2.5,0))</f>
        <v/>
      </c>
      <c r="G12" s="6">
        <f>IF(C12=1,1.25,IF(C12=3,-2.5,0))</f>
        <v/>
      </c>
      <c r="H12" s="6">
        <f>IF(D12=1,1.25,IF(D12=3,-2.5,0))</f>
        <v/>
      </c>
      <c r="I12" s="6">
        <f>IF(E12=1,1.25,IF(E12=3,-2.5,0))</f>
        <v/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6">
        <f>SUM(F12:I12)</f>
        <v/>
      </c>
      <c r="P12" s="6">
        <f>SUM(J12:N12)</f>
        <v/>
      </c>
    </row>
    <row r="13">
      <c r="A13" t="s" s="2">
        <v>120</v>
      </c>
      <c r="B13" s="1">
        <v>2</v>
      </c>
      <c r="C13" s="1">
        <v>2</v>
      </c>
      <c r="D13" s="1">
        <v>2</v>
      </c>
      <c r="E13" s="1">
        <v>2</v>
      </c>
      <c r="F13" s="6">
        <f>IF(B13=1,1.25,IF(B13=3,-2.5,0))</f>
        <v/>
      </c>
      <c r="G13" s="6">
        <f>IF(C13=1,1.25,IF(C13=3,-2.5,0))</f>
        <v/>
      </c>
      <c r="H13" s="6">
        <f>IF(D13=1,1.25,IF(D13=3,-2.5,0))</f>
        <v/>
      </c>
      <c r="I13" s="6">
        <f>IF(E13=1,1.25,IF(E13=3,-2.5,0))</f>
        <v/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6">
        <f>SUM(F13:I13)</f>
        <v/>
      </c>
      <c r="P13" s="6">
        <f>SUM(J13:N13)</f>
        <v/>
      </c>
    </row>
    <row r="14">
      <c r="A14" t="s" s="2">
        <v>121</v>
      </c>
      <c r="B14" s="1">
        <v>2</v>
      </c>
      <c r="C14" s="1">
        <v>3</v>
      </c>
      <c r="D14" s="1">
        <v>2</v>
      </c>
      <c r="E14" s="1">
        <v>2</v>
      </c>
      <c r="F14" s="6">
        <f>IF(B14=1,1.25,IF(B14=3,-2.5,0))</f>
        <v/>
      </c>
      <c r="G14" s="6">
        <f>IF(C14=1,1.25,IF(C14=3,-2.5,0))</f>
        <v/>
      </c>
      <c r="H14" s="6">
        <f>IF(D14=1,1.25,IF(D14=3,-2.5,0))</f>
        <v/>
      </c>
      <c r="I14" s="6">
        <f>IF(E14=1,1.25,IF(E14=3,-2.5,0))</f>
        <v/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6">
        <f>SUM(F14:I14)</f>
        <v/>
      </c>
      <c r="P14" s="6">
        <f>SUM(J14:N14)</f>
        <v/>
      </c>
    </row>
    <row r="15" ht="18" customHeight="1">
      <c r="A15" t="s" s="4">
        <v>145</v>
      </c>
      <c r="O15" s="6">
        <f>SUM(O5:O14)</f>
        <v/>
      </c>
      <c r="P15" s="6">
        <f>SUM(P5:P14)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4" customWidth="1"/>
    <col min="2" max="6" width="13" customWidth="1"/>
    <col min="7" max="7" width="12" customWidth="1"/>
    <col min="8" max="10" width="14" customWidth="1"/>
    <col min="11" max="11" width="40" customWidth="1"/>
    <col min="13" max="16" width="14" customWidth="1"/>
  </cols>
  <sheetData>
    <row r="1" ht="24" customHeight="1">
      <c r="A1" t="s" s="4">
        <v>2</v>
      </c>
    </row>
    <row r="2" ht="16" customHeight="1">
      <c r="A2" t="s" s="13">
        <v>3</v>
      </c>
    </row>
    <row r="3" ht="20" customHeight="1">
      <c r="A3" t="s" s="4">
        <v>164</v>
      </c>
      <c r="B3" t="s" s="4">
        <v>165</v>
      </c>
      <c r="C3" t="s" s="4">
        <v>166</v>
      </c>
      <c r="D3" t="s" s="4">
        <v>167</v>
      </c>
      <c r="E3" t="s" s="4">
        <v>168</v>
      </c>
      <c r="F3" t="s" s="4">
        <v>169</v>
      </c>
      <c r="G3" t="s" s="4">
        <v>170</v>
      </c>
      <c r="H3" t="s" s="4">
        <v>171</v>
      </c>
      <c r="I3" t="s" s="4">
        <v>172</v>
      </c>
      <c r="J3" t="s" s="4">
        <v>173</v>
      </c>
      <c r="K3" t="s" s="4">
        <v>174</v>
      </c>
    </row>
    <row r="2" ht="20" customHeight="1">
      <c r="M2" t="s" s="4">
        <v>93</v>
      </c>
      <c r="N2" t="s" s="4">
        <v>94</v>
      </c>
      <c r="O2" t="s" s="4">
        <v>95</v>
      </c>
      <c r="P2" t="s" s="4">
        <v>96</v>
      </c>
    </row>
    <row r="15">
      <c r="M15" t="s" s="0">
        <v>97</v>
      </c>
      <c r="N15" t="s" s="0">
        <v>100</v>
      </c>
      <c r="O15" t="s" s="0">
        <v>103</v>
      </c>
      <c r="P15" t="s" s="0">
        <v>73</v>
      </c>
    </row>
    <row r="16">
      <c r="M16" t="s" s="0">
        <v>97</v>
      </c>
      <c r="N16" t="s" s="0">
        <v>101</v>
      </c>
      <c r="O16" t="s" s="0">
        <v>104</v>
      </c>
      <c r="P16" t="s" s="0">
        <v>75</v>
      </c>
    </row>
    <row r="17">
      <c r="M17" t="s" s="0">
        <v>97</v>
      </c>
      <c r="N17" t="s" s="0">
        <v>102</v>
      </c>
      <c r="O17" t="s" s="0">
        <v>105</v>
      </c>
      <c r="P17" t="s" s="0">
        <v>76</v>
      </c>
    </row>
    <row r="18">
      <c r="M18" t="s" s="0">
        <v>98</v>
      </c>
      <c r="N18" t="s" s="0">
        <v>100</v>
      </c>
      <c r="O18" t="s" s="0">
        <v>106</v>
      </c>
      <c r="P18" t="s" s="0">
        <v>78</v>
      </c>
    </row>
    <row r="19">
      <c r="M19" t="s" s="0">
        <v>98</v>
      </c>
      <c r="N19" t="s" s="0">
        <v>101</v>
      </c>
      <c r="O19" t="s" s="0">
        <v>107</v>
      </c>
      <c r="P19" t="s" s="0">
        <v>80</v>
      </c>
    </row>
    <row r="20">
      <c r="M20" t="s" s="0">
        <v>98</v>
      </c>
      <c r="N20" t="s" s="0">
        <v>102</v>
      </c>
      <c r="O20" t="s" s="0">
        <v>108</v>
      </c>
      <c r="P20" t="s" s="0">
        <v>81</v>
      </c>
    </row>
    <row r="21">
      <c r="M21" t="s" s="0">
        <v>99</v>
      </c>
      <c r="N21" t="s" s="0">
        <v>100</v>
      </c>
      <c r="O21" t="s" s="0">
        <v>109</v>
      </c>
      <c r="P21" t="s" s="0">
        <v>84</v>
      </c>
    </row>
    <row r="22">
      <c r="M22" t="s" s="0">
        <v>99</v>
      </c>
      <c r="N22" t="s" s="0">
        <v>101</v>
      </c>
      <c r="O22" t="s" s="0">
        <v>110</v>
      </c>
      <c r="P22" t="s" s="0">
        <v>84</v>
      </c>
    </row>
    <row r="23">
      <c r="M23" t="s" s="0">
        <v>99</v>
      </c>
      <c r="N23" t="s" s="0">
        <v>102</v>
      </c>
      <c r="O23" t="s" s="0">
        <v>111</v>
      </c>
      <c r="P23" t="s" s="0">
        <v>89</v>
      </c>
    </row>
    <row r="4">
      <c r="A4" t="s" s="2">
        <v>112</v>
      </c>
      <c r="C4" s="3">
        <f>业管数据!F4</f>
        <v/>
      </c>
      <c r="D4" s="6">
        <f>IF(业管数据!K4=TRUE,999,业管数据!H4+业管数据!J4)</f>
        <v/>
      </c>
      <c r="E4" s="3">
        <f>供管评定!O4</f>
        <v/>
      </c>
      <c r="F4" s="3">
        <f>供管评定!P4</f>
        <v/>
      </c>
      <c r="B4" s="6">
        <f>MAX(0,C4-D4+E4+F4)</f>
        <v/>
      </c>
      <c r="G4" s="8">
        <f>IF(业管数据!L4=0,0,(B4-业管数据!L4)/业管数据!L4)</f>
        <v/>
      </c>
      <c r="H4" s="0">
        <f>IF(业管数据!K4=TRUE,"下降 ↓",IF(G4&gt;=0.05,"上升 ↑",IF(G4&lt;=-0.05,"下降 ↓","持平 →")))</f>
        <v/>
      </c>
      <c r="I4" s="0">
        <f>IF(业管数据!K4=TRUE,"低贡献",IF(B4&gt;=85,"高贡献",IF(B4&gt;=60,"中贡献","低贡献")))</f>
        <v/>
      </c>
      <c r="J4" s="0">
        <f>IF(业管数据!K4=TRUE,"C",IF(AND(I4="低贡献",H4="下降 ↓"),"C",IF(I4="高贡献","A",IF(I4="中贡献","B","C"))))</f>
        <v/>
      </c>
      <c r="K4" s="6">
        <f>IF(业管数据!K4=TRUE"89"IF(AND(I4="低贡献",H4="下降 ↓"),"89"IF(I4="高贡献",IF(H4="上升 ↑","73",IF(H4="持平 →","75","76"))IF(I4="中贡献",IF(H4="上升 ↑","78",IF(H4="持平 →","80","81"))IF(H4="上升 ↑","84","84")))))</f>
        <v/>
      </c>
    </row>
    <row r="5">
      <c r="A5" t="s" s="2">
        <v>113</v>
      </c>
      <c r="C5" s="3">
        <f>业管数据!F5</f>
        <v/>
      </c>
      <c r="D5" s="6">
        <f>IF(业管数据!K5=TRUE,999,业管数据!H5+业管数据!J5)</f>
        <v/>
      </c>
      <c r="E5" s="3">
        <f>供管评定!O5</f>
        <v/>
      </c>
      <c r="F5" s="3">
        <f>供管评定!P5</f>
        <v/>
      </c>
      <c r="B5" s="6">
        <f>MAX(0,C5-D5+E5+F5)</f>
        <v/>
      </c>
      <c r="G5" s="8">
        <f>IF(业管数据!L5=0,0,(B5-业管数据!L5)/业管数据!L5)</f>
        <v/>
      </c>
      <c r="H5" s="0">
        <f>IF(业管数据!K5=TRUE,"下降 ↓",IF(G5&gt;=0.05,"上升 ↑",IF(G5&lt;=-0.05,"下降 ↓","持平 →")))</f>
        <v/>
      </c>
      <c r="I5" s="0">
        <f>IF(业管数据!K5=TRUE,"低贡献",IF(B5&gt;=85,"高贡献",IF(B5&gt;=60,"中贡献","低贡献")))</f>
        <v/>
      </c>
      <c r="J5" s="0">
        <f>IF(业管数据!K5=TRUE,"C",IF(AND(I5="低贡献",H5="下降 ↓"),"C",IF(I5="高贡献","A",IF(I5="中贡献","B","C"))))</f>
        <v/>
      </c>
      <c r="K5" s="6">
        <f>IF(业管数据!K5=TRUE"89"IF(AND(I5="低贡献",H5="下降 ↓"),"89"IF(I5="高贡献",IF(H5="上升 ↑","73",IF(H5="持平 →","75","76"))IF(I5="中贡献",IF(H5="上升 ↑","78",IF(H5="持平 →","80","81"))IF(H5="上升 ↑","84","84")))))</f>
        <v/>
      </c>
    </row>
    <row r="6">
      <c r="A6" t="s" s="2">
        <v>114</v>
      </c>
      <c r="C6" s="3">
        <f>业管数据!F6</f>
        <v/>
      </c>
      <c r="D6" s="6">
        <f>IF(业管数据!K6=TRUE,999,业管数据!H6+业管数据!J6)</f>
        <v/>
      </c>
      <c r="E6" s="3">
        <f>供管评定!O6</f>
        <v/>
      </c>
      <c r="F6" s="3">
        <f>供管评定!P6</f>
        <v/>
      </c>
      <c r="B6" s="6">
        <f>MAX(0,C6-D6+E6+F6)</f>
        <v/>
      </c>
      <c r="G6" s="8">
        <f>IF(业管数据!L6=0,0,(B6-业管数据!L6)/业管数据!L6)</f>
        <v/>
      </c>
      <c r="H6" s="0">
        <f>IF(业管数据!K6=TRUE,"下降 ↓",IF(G6&gt;=0.05,"上升 ↑",IF(G6&lt;=-0.05,"下降 ↓","持平 →")))</f>
        <v/>
      </c>
      <c r="I6" s="0">
        <f>IF(业管数据!K6=TRUE,"低贡献",IF(B6&gt;=85,"高贡献",IF(B6&gt;=60,"中贡献","低贡献")))</f>
        <v/>
      </c>
      <c r="J6" s="0">
        <f>IF(业管数据!K6=TRUE,"C",IF(AND(I6="低贡献",H6="下降 ↓"),"C",IF(I6="高贡献","A",IF(I6="中贡献","B","C"))))</f>
        <v/>
      </c>
      <c r="K6" s="6">
        <f>IF(业管数据!K6=TRUE"89"IF(AND(I6="低贡献",H6="下降 ↓"),"89"IF(I6="高贡献",IF(H6="上升 ↑","73",IF(H6="持平 →","75","76"))IF(I6="中贡献",IF(H6="上升 ↑","78",IF(H6="持平 →","80","81"))IF(H6="上升 ↑","84","84")))))</f>
        <v/>
      </c>
    </row>
    <row r="7">
      <c r="A7" t="s" s="2">
        <v>115</v>
      </c>
      <c r="C7" s="3">
        <f>业管数据!F7</f>
        <v/>
      </c>
      <c r="D7" s="6">
        <f>IF(业管数据!K7=TRUE,999,业管数据!H7+业管数据!J7)</f>
        <v/>
      </c>
      <c r="E7" s="3">
        <f>供管评定!O7</f>
        <v/>
      </c>
      <c r="F7" s="3">
        <f>供管评定!P7</f>
        <v/>
      </c>
      <c r="B7" s="6">
        <f>MAX(0,C7-D7+E7+F7)</f>
        <v/>
      </c>
      <c r="G7" s="8">
        <f>IF(业管数据!L7=0,0,(B7-业管数据!L7)/业管数据!L7)</f>
        <v/>
      </c>
      <c r="H7" s="0">
        <f>IF(业管数据!K7=TRUE,"下降 ↓",IF(G7&gt;=0.05,"上升 ↑",IF(G7&lt;=-0.05,"下降 ↓","持平 →")))</f>
        <v/>
      </c>
      <c r="I7" s="0">
        <f>IF(业管数据!K7=TRUE,"低贡献",IF(B7&gt;=85,"高贡献",IF(B7&gt;=60,"中贡献","低贡献")))</f>
        <v/>
      </c>
      <c r="J7" s="0">
        <f>IF(业管数据!K7=TRUE,"C",IF(AND(I7="低贡献",H7="下降 ↓"),"C",IF(I7="高贡献","A",IF(I7="中贡献","B","C"))))</f>
        <v/>
      </c>
      <c r="K7" s="6">
        <f>IF(业管数据!K7=TRUE"89"IF(AND(I7="低贡献",H7="下降 ↓"),"89"IF(I7="高贡献",IF(H7="上升 ↑","73",IF(H7="持平 →","75","76"))IF(I7="中贡献",IF(H7="上升 ↑","78",IF(H7="持平 →","80","81"))IF(H7="上升 ↑","84","84")))))</f>
        <v/>
      </c>
    </row>
    <row r="8">
      <c r="A8" t="s" s="2">
        <v>116</v>
      </c>
      <c r="C8" s="3">
        <f>业管数据!F8</f>
        <v/>
      </c>
      <c r="D8" s="6">
        <f>IF(业管数据!K8=TRUE,999,业管数据!H8+业管数据!J8)</f>
        <v/>
      </c>
      <c r="E8" s="3">
        <f>供管评定!O8</f>
        <v/>
      </c>
      <c r="F8" s="3">
        <f>供管评定!P8</f>
        <v/>
      </c>
      <c r="B8" s="6">
        <f>MAX(0,C8-D8+E8+F8)</f>
        <v/>
      </c>
      <c r="G8" s="8">
        <f>IF(业管数据!L8=0,0,(B8-业管数据!L8)/业管数据!L8)</f>
        <v/>
      </c>
      <c r="H8" s="0">
        <f>IF(业管数据!K8=TRUE,"下降 ↓",IF(G8&gt;=0.05,"上升 ↑",IF(G8&lt;=-0.05,"下降 ↓","持平 →")))</f>
        <v/>
      </c>
      <c r="I8" s="0">
        <f>IF(业管数据!K8=TRUE,"低贡献",IF(B8&gt;=85,"高贡献",IF(B8&gt;=60,"中贡献","低贡献")))</f>
        <v/>
      </c>
      <c r="J8" s="0">
        <f>IF(业管数据!K8=TRUE,"C",IF(AND(I8="低贡献",H8="下降 ↓"),"C",IF(I8="高贡献","A",IF(I8="中贡献","B","C"))))</f>
        <v/>
      </c>
      <c r="K8" s="6">
        <f>IF(业管数据!K8=TRUE"89"IF(AND(I8="低贡献",H8="下降 ↓"),"89"IF(I8="高贡献",IF(H8="上升 ↑","73",IF(H8="持平 →","75","76"))IF(I8="中贡献",IF(H8="上升 ↑","78",IF(H8="持平 →","80","81"))IF(H8="上升 ↑","84","84")))))</f>
        <v/>
      </c>
    </row>
    <row r="9">
      <c r="A9" t="s" s="2">
        <v>117</v>
      </c>
      <c r="C9" s="3">
        <f>业管数据!F9</f>
        <v/>
      </c>
      <c r="D9" s="6">
        <f>IF(业管数据!K9=TRUE,999,业管数据!H9+业管数据!J9)</f>
        <v/>
      </c>
      <c r="E9" s="3">
        <f>供管评定!O9</f>
        <v/>
      </c>
      <c r="F9" s="3">
        <f>供管评定!P9</f>
        <v/>
      </c>
      <c r="B9" s="6">
        <f>MAX(0,C9-D9+E9+F9)</f>
        <v/>
      </c>
      <c r="G9" s="8">
        <f>IF(业管数据!L9=0,0,(B9-业管数据!L9)/业管数据!L9)</f>
        <v/>
      </c>
      <c r="H9" s="0">
        <f>IF(业管数据!K9=TRUE,"下降 ↓",IF(G9&gt;=0.05,"上升 ↑",IF(G9&lt;=-0.05,"下降 ↓","持平 →")))</f>
        <v/>
      </c>
      <c r="I9" s="0">
        <f>IF(业管数据!K9=TRUE,"低贡献",IF(B9&gt;=85,"高贡献",IF(B9&gt;=60,"中贡献","低贡献")))</f>
        <v/>
      </c>
      <c r="J9" s="0">
        <f>IF(业管数据!K9=TRUE,"C",IF(AND(I9="低贡献",H9="下降 ↓"),"C",IF(I9="高贡献","A",IF(I9="中贡献","B","C"))))</f>
        <v/>
      </c>
      <c r="K9" s="6">
        <f>IF(业管数据!K9=TRUE"89"IF(AND(I9="低贡献",H9="下降 ↓"),"89"IF(I9="高贡献",IF(H9="上升 ↑","73",IF(H9="持平 →","75","76"))IF(I9="中贡献",IF(H9="上升 ↑","78",IF(H9="持平 →","80","81"))IF(H9="上升 ↑","84","84")))))</f>
        <v/>
      </c>
    </row>
    <row r="10">
      <c r="A10" t="s" s="2">
        <v>118</v>
      </c>
      <c r="C10" s="3">
        <f>业管数据!F10</f>
        <v/>
      </c>
      <c r="D10" s="6">
        <f>IF(业管数据!K10=TRUE,999,业管数据!H10+业管数据!J10)</f>
        <v/>
      </c>
      <c r="E10" s="3">
        <f>供管评定!O10</f>
        <v/>
      </c>
      <c r="F10" s="3">
        <f>供管评定!P10</f>
        <v/>
      </c>
      <c r="B10" s="6">
        <f>MAX(0,C10-D10+E10+F10)</f>
        <v/>
      </c>
      <c r="G10" s="8">
        <f>IF(业管数据!L10=0,0,(B10-业管数据!L10)/业管数据!L10)</f>
        <v/>
      </c>
      <c r="H10" s="0">
        <f>IF(业管数据!K10=TRUE,"下降 ↓",IF(G10&gt;=0.05,"上升 ↑",IF(G10&lt;=-0.05,"下降 ↓","持平 →")))</f>
        <v/>
      </c>
      <c r="I10" s="0">
        <f>IF(业管数据!K10=TRUE,"低贡献",IF(B10&gt;=85,"高贡献",IF(B10&gt;=60,"中贡献","低贡献")))</f>
        <v/>
      </c>
      <c r="J10" s="0">
        <f>IF(业管数据!K10=TRUE,"C",IF(AND(I10="低贡献",H10="下降 ↓"),"C",IF(I10="高贡献","A",IF(I10="中贡献","B","C"))))</f>
        <v/>
      </c>
      <c r="K10" s="6">
        <f>IF(业管数据!K10=TRUE"89"IF(AND(I10="低贡献",H10="下降 ↓"),"89"IF(I10="高贡献",IF(H10="上升 ↑","73",IF(H10="持平 →","75","76"))IF(I10="中贡献",IF(H10="上升 ↑","78",IF(H10="持平 →","80","81"))IF(H10="上升 ↑","84","84")))))</f>
        <v/>
      </c>
    </row>
    <row r="11">
      <c r="A11" t="s" s="2">
        <v>119</v>
      </c>
      <c r="C11" s="3">
        <f>业管数据!F11</f>
        <v/>
      </c>
      <c r="D11" s="6">
        <f>IF(业管数据!K11=TRUE,999,业管数据!H11+业管数据!J11)</f>
        <v/>
      </c>
      <c r="E11" s="3">
        <f>供管评定!O11</f>
        <v/>
      </c>
      <c r="F11" s="3">
        <f>供管评定!P11</f>
        <v/>
      </c>
      <c r="B11" s="6">
        <f>MAX(0,C11-D11+E11+F11)</f>
        <v/>
      </c>
      <c r="G11" s="8">
        <f>IF(业管数据!L11=0,0,(B11-业管数据!L11)/业管数据!L11)</f>
        <v/>
      </c>
      <c r="H11" s="0">
        <f>IF(业管数据!K11=TRUE,"下降 ↓",IF(G11&gt;=0.05,"上升 ↑",IF(G11&lt;=-0.05,"下降 ↓","持平 →")))</f>
        <v/>
      </c>
      <c r="I11" s="0">
        <f>IF(业管数据!K11=TRUE,"低贡献",IF(B11&gt;=85,"高贡献",IF(B11&gt;=60,"中贡献","低贡献")))</f>
        <v/>
      </c>
      <c r="J11" s="0">
        <f>IF(业管数据!K11=TRUE,"C",IF(AND(I11="低贡献",H11="下降 ↓"),"C",IF(I11="高贡献","A",IF(I11="中贡献","B","C"))))</f>
        <v/>
      </c>
      <c r="K11" s="6">
        <f>IF(业管数据!K11=TRUE"89"IF(AND(I11="低贡献",H11="下降 ↓"),"89"IF(I11="高贡献",IF(H11="上升 ↑","73",IF(H11="持平 →","75","76"))IF(I11="中贡献",IF(H11="上升 ↑","78",IF(H11="持平 →","80","81"))IF(H11="上升 ↑","84","84")))))</f>
        <v/>
      </c>
    </row>
    <row r="12">
      <c r="A12" t="s" s="2">
        <v>120</v>
      </c>
      <c r="C12" s="3">
        <f>业管数据!F12</f>
        <v/>
      </c>
      <c r="D12" s="6">
        <f>IF(业管数据!K12=TRUE,999,业管数据!H12+业管数据!J12)</f>
        <v/>
      </c>
      <c r="E12" s="3">
        <f>供管评定!O12</f>
        <v/>
      </c>
      <c r="F12" s="3">
        <f>供管评定!P12</f>
        <v/>
      </c>
      <c r="B12" s="6">
        <f>MAX(0,C12-D12+E12+F12)</f>
        <v/>
      </c>
      <c r="G12" s="8">
        <f>IF(业管数据!L12=0,0,(B12-业管数据!L12)/业管数据!L12)</f>
        <v/>
      </c>
      <c r="H12" s="0">
        <f>IF(业管数据!K12=TRUE,"下降 ↓",IF(G12&gt;=0.05,"上升 ↑",IF(G12&lt;=-0.05,"下降 ↓","持平 →")))</f>
        <v/>
      </c>
      <c r="I12" s="0">
        <f>IF(业管数据!K12=TRUE,"低贡献",IF(B12&gt;=85,"高贡献",IF(B12&gt;=60,"中贡献","低贡献")))</f>
        <v/>
      </c>
      <c r="J12" s="0">
        <f>IF(业管数据!K12=TRUE,"C",IF(AND(I12="低贡献",H12="下降 ↓"),"C",IF(I12="高贡献","A",IF(I12="中贡献","B","C"))))</f>
        <v/>
      </c>
      <c r="K12" s="6">
        <f>IF(业管数据!K12=TRUE"89"IF(AND(I12="低贡献",H12="下降 ↓"),"89"IF(I12="高贡献",IF(H12="上升 ↑","73",IF(H12="持平 →","75","76"))IF(I12="中贡献",IF(H12="上升 ↑","78",IF(H12="持平 →","80","81"))IF(H12="上升 ↑","84","84")))))</f>
        <v/>
      </c>
    </row>
    <row r="13">
      <c r="A13" t="s" s="2">
        <v>121</v>
      </c>
      <c r="C13" s="3">
        <f>业管数据!F13</f>
        <v/>
      </c>
      <c r="D13" s="6">
        <f>IF(业管数据!K13=TRUE,999,业管数据!H13+业管数据!J13)</f>
        <v/>
      </c>
      <c r="E13" s="3">
        <f>供管评定!O13</f>
        <v/>
      </c>
      <c r="F13" s="3">
        <f>供管评定!P13</f>
        <v/>
      </c>
      <c r="B13" s="6">
        <f>MAX(0,C13-D13+E13+F13)</f>
        <v/>
      </c>
      <c r="G13" s="8">
        <f>IF(业管数据!L13=0,0,(B13-业管数据!L13)/业管数据!L13)</f>
        <v/>
      </c>
      <c r="H13" s="0">
        <f>IF(业管数据!K13=TRUE,"下降 ↓",IF(G13&gt;=0.05,"上升 ↑",IF(G13&lt;=-0.05,"下降 ↓","持平 →")))</f>
        <v/>
      </c>
      <c r="I13" s="0">
        <f>IF(业管数据!K13=TRUE,"低贡献",IF(B13&gt;=85,"高贡献",IF(B13&gt;=60,"中贡献","低贡献")))</f>
        <v/>
      </c>
      <c r="J13" s="0">
        <f>IF(业管数据!K13=TRUE,"C",IF(AND(I13="低贡献",H13="下降 ↓"),"C",IF(I13="高贡献","A",IF(I13="中贡献","B","C"))))</f>
        <v/>
      </c>
      <c r="K13" s="6">
        <f>IF(业管数据!K13=TRUE"89"IF(AND(I13="低贡献",H13="下降 ↓"),"89"IF(I13="高贡献",IF(H13="上升 ↑","73",IF(H13="持平 →","75","76"))IF(I13="中贡献",IF(H13="上升 ↑","78",IF(H13="持平 →","80","81"))IF(H13="上升 ↑","84","84")))))</f>
        <v/>
      </c>
    </row>
  </sheetData>
  <pageMargins left="0.7" right="0.7" top="0.75" bottom="0.75" header="0.3" footer="0.3"/>
</worksheet>
</file>