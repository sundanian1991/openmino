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ino/"/>
    </mc:Choice>
  </mc:AlternateContent>
  <xr:revisionPtr revIDLastSave="0" documentId="13_ncr:1_{13FDFC95-7AD5-9945-8F3F-B79BAE8AD2CC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KPI考核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E14" i="1"/>
  <c r="F12" i="1"/>
</calcChain>
</file>

<file path=xl/sharedStrings.xml><?xml version="1.0" encoding="utf-8"?>
<sst xmlns="http://schemas.openxmlformats.org/spreadsheetml/2006/main" count="47" uniqueCount="46">
  <si>
    <t>BPO供应商KPI月度考核表</t>
  </si>
  <si>
    <t>供应商名称：</t>
  </si>
  <si>
    <t>考核月份：</t>
  </si>
  <si>
    <t>考核人：</t>
  </si>
  <si>
    <t>日期：</t>
  </si>
  <si>
    <t>考核维度</t>
  </si>
  <si>
    <t>考核指标</t>
  </si>
  <si>
    <t>目标值</t>
  </si>
  <si>
    <t>权重</t>
  </si>
  <si>
    <t>实际值</t>
  </si>
  <si>
    <t>得分</t>
  </si>
  <si>
    <t>数据来源</t>
  </si>
  <si>
    <t>备注</t>
  </si>
  <si>
    <t>服务响应时效</t>
  </si>
  <si>
    <t>工作时间内首响时间</t>
  </si>
  <si>
    <t>≤5分钟</t>
  </si>
  <si>
    <t>企微后台数据</t>
  </si>
  <si>
    <t>超时每分钟扣2分</t>
  </si>
  <si>
    <t>非工作时间首响时间</t>
  </si>
  <si>
    <t>≤30分钟</t>
  </si>
  <si>
    <t>超时每分钟扣0.5分</t>
  </si>
  <si>
    <t>服务质量指标</t>
  </si>
  <si>
    <t>客户满意度</t>
  </si>
  <si>
    <t>≥90%</t>
  </si>
  <si>
    <t>满意度调研</t>
  </si>
  <si>
    <t>低于90%按比例扣分</t>
  </si>
  <si>
    <t>投诉率</t>
  </si>
  <si>
    <t>≤1%</t>
  </si>
  <si>
    <t>客服系统</t>
  </si>
  <si>
    <t>每超0.1%扣10分</t>
  </si>
  <si>
    <t>合规违规事件</t>
  </si>
  <si>
    <t>0起</t>
  </si>
  <si>
    <t>审计记录</t>
  </si>
  <si>
    <t>每起扣15分</t>
  </si>
  <si>
    <t>综合表现</t>
  </si>
  <si>
    <t>加分项（月度优秀案例等）</t>
  </si>
  <si>
    <t>-</t>
  </si>
  <si>
    <t>运营团队评估</t>
  </si>
  <si>
    <t>最高10分</t>
  </si>
  <si>
    <t>合计</t>
  </si>
  <si>
    <t>评级标准：</t>
  </si>
  <si>
    <t>本次评级：</t>
  </si>
  <si>
    <t>A级（优秀）：90-100分</t>
  </si>
  <si>
    <t>B级（良好）：80-89分</t>
  </si>
  <si>
    <t>C级（合格）：60-79分</t>
  </si>
  <si>
    <t>D级（不合格）：&lt;60分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</si>
</sst>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C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3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22" sqref="E22"/>
    </sheetView>
  </sheetViews>
  <sheetFormatPr baseColWidth="10" defaultColWidth="8.83203125" defaultRowHeight="14"/>
  <cols>
    <col min="1" max="1" width="15" customWidth="1"/>
    <col min="2" max="2" width="25" customWidth="1"/>
    <col min="3" max="3" width="12" customWidth="1"/>
    <col min="4" max="4" width="12" bestFit="1" customWidth="1"/>
    <col min="5" max="5" width="10" customWidth="1"/>
    <col min="6" max="6" width="12" customWidth="1"/>
    <col min="7" max="7" width="15" customWidth="1"/>
    <col min="8" max="8" width="20" customWidth="1"/>
  </cols>
  <sheetData>
    <row r="1" spans="1:8" ht="19" customHeight="1">
      <c r="A1" s="12" t="s">
        <v>0</v>
      </c>
      <c r="B1" s="11"/>
      <c r="C1" s="11"/>
      <c r="D1" s="11"/>
      <c r="E1" s="11"/>
      <c r="F1" s="11"/>
      <c r="G1" s="11"/>
      <c r="H1" s="11"/>
    </row>
    <row r="3" spans="1:8">
      <c r="A3" t="s">
        <v>1</v>
      </c>
      <c r="C3" t="s">
        <v>2</v>
      </c>
      <c r="E3" t="s">
        <v>3</v>
      </c>
      <c r="G3" t="s">
        <v>4</v>
      </c>
    </row>
    <row r="5" spans="1:8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ht="35" customHeight="1">
      <c r="A6" s="2" t="s">
        <v>13</v>
      </c>
      <c r="B6" s="2" t="s">
        <v>14</v>
      </c>
      <c r="C6" s="3" t="s">
        <v>15</v>
      </c>
      <c r="D6" s="3">
        <v>20</v>
      </c>
      <c r="E6" s="3"/>
      <c r="F6" s="3" t="str">
        <f>IF(E7="","",IF(E7&lt;=5,E7/5*D7,D7-(E7-5)*2))</f>
        <v/>
      </c>
      <c r="G6" s="3" t="s">
        <v>16</v>
      </c>
      <c r="H6" s="3" t="s">
        <v>17</v>
      </c>
    </row>
    <row r="7" spans="1:8" ht="35" customHeight="1">
      <c r="A7" s="2"/>
      <c r="B7" s="2" t="s">
        <v>18</v>
      </c>
      <c r="C7" s="3" t="s">
        <v>19</v>
      </c>
      <c r="D7" s="3">
        <v>10</v>
      </c>
      <c r="E7" s="3"/>
      <c r="F7" s="3" t="str">
        <f>IF(E8="","",IF(E8&lt;=30,E8/30*D8,D8-(E8-30)*0.5))</f>
        <v/>
      </c>
      <c r="G7" s="3" t="s">
        <v>16</v>
      </c>
      <c r="H7" s="3" t="s">
        <v>20</v>
      </c>
    </row>
    <row r="8" spans="1:8" ht="35" customHeight="1">
      <c r="A8" s="2" t="s">
        <v>21</v>
      </c>
      <c r="B8" s="2" t="s">
        <v>22</v>
      </c>
      <c r="C8" s="3" t="s">
        <v>23</v>
      </c>
      <c r="D8" s="3">
        <v>25</v>
      </c>
      <c r="E8" s="3"/>
      <c r="F8" s="3" t="str">
        <f>IF(E9="","",IF(E9&gt;=90,D9,E9/90*D9))</f>
        <v/>
      </c>
      <c r="G8" s="3" t="s">
        <v>24</v>
      </c>
      <c r="H8" s="3" t="s">
        <v>25</v>
      </c>
    </row>
    <row r="9" spans="1:8" ht="35" customHeight="1">
      <c r="A9" s="2"/>
      <c r="B9" s="2" t="s">
        <v>26</v>
      </c>
      <c r="C9" s="3" t="s">
        <v>27</v>
      </c>
      <c r="D9" s="3">
        <v>20</v>
      </c>
      <c r="E9" s="3"/>
      <c r="F9" s="3" t="str">
        <f>IF(E10="","",IF(E10&lt;=1,D10,D10-(E10-1)*100))</f>
        <v/>
      </c>
      <c r="G9" s="3" t="s">
        <v>28</v>
      </c>
      <c r="H9" s="3" t="s">
        <v>29</v>
      </c>
    </row>
    <row r="10" spans="1:8" ht="35" customHeight="1">
      <c r="A10" s="2"/>
      <c r="B10" s="2" t="s">
        <v>30</v>
      </c>
      <c r="C10" s="3" t="s">
        <v>31</v>
      </c>
      <c r="D10" s="3">
        <v>15</v>
      </c>
      <c r="E10" s="3"/>
      <c r="F10" s="3" t="str">
        <f>IF(E11="","",IF(E11=0,D11,0))</f>
        <v/>
      </c>
      <c r="G10" s="3" t="s">
        <v>32</v>
      </c>
      <c r="H10" s="3" t="s">
        <v>33</v>
      </c>
    </row>
    <row r="11" spans="1:8" ht="35" customHeight="1">
      <c r="A11" s="2" t="s">
        <v>34</v>
      </c>
      <c r="B11" s="2" t="s">
        <v>35</v>
      </c>
      <c r="C11" s="3" t="s">
        <v>36</v>
      </c>
      <c r="D11" s="3">
        <v>10</v>
      </c>
      <c r="E11" s="3"/>
      <c r="F11" s="3">
        <f>IF(E12="",0,MIN(E12,D12))</f>
        <v>0</v>
      </c>
      <c r="G11" s="3" t="s">
        <v>37</v>
      </c>
      <c r="H11" s="3" t="s">
        <v>38</v>
      </c>
    </row>
    <row r="12" spans="1:8" ht="15" customHeight="1">
      <c r="A12" s="4" t="s">
        <v>39</v>
      </c>
      <c r="B12" s="5"/>
      <c r="C12" s="5"/>
      <c r="D12" s="6">
        <v>100</v>
      </c>
      <c r="E12" s="5"/>
      <c r="F12" s="7" t="str">
        <f ca="1">SUM(F7:F12)</f>
        <v/>
      </c>
      <c r="G12" s="5"/>
      <c r="H12" s="5"/>
    </row>
    <row r="14" spans="1:8" ht="15" customHeight="1">
      <c r="A14" s="8" t="s">
        <v>40</v>
      </c>
      <c r="D14" s="9" t="s">
        <v>41</v>
      </c>
      <c r="E14" s="10" t="str">
        <f ca="1">IF(F12&gt;=90,"A级（优秀）",IF(F12&gt;=80,"B级（良好）",IF(F12&gt;=60,"C级（合格）","D级（不合格）")))</f>
        <v/>
      </c>
      <c r="F14" s="11"/>
    </row>
    <row r="15" spans="1:8">
      <c r="A15" t="s">
        <v>42</v>
      </c>
    </row>
    <row r="16" spans="1:8">
      <c r="A16" t="s">
        <v>43</v>
      </c>
    </row>
    <row r="17" spans="1:1">
      <c r="A17" t="s">
        <v>44</v>
      </c>
    </row>
    <row r="18" spans="1:1">
      <c r="A18" t="s">
        <v>45</v>
      </c>
    </row>
  </sheetData>
  <mergeCells count="2">
    <mergeCell ref="E14:F14"/>
    <mergeCell ref="A1:H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KPI考核表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2026-03-17T06:54:07Z</dcterms:created>
  <dcterms:modified xsi:type="dcterms:W3CDTF">2026-03-17T10:24:29Z</dcterms:modified>
</cp:coreProperties>
</file>