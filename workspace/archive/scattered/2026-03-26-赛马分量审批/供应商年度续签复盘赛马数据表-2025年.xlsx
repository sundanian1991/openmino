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条人工首贷" sheetId="1" state="visible" r:id="rId1"/>
    <sheet xmlns:r="http://schemas.openxmlformats.org/officeDocument/2006/relationships" name="金条人工复贷" sheetId="2" state="visible" r:id="rId2"/>
    <sheet xmlns:r="http://schemas.openxmlformats.org/officeDocument/2006/relationships" name="金条人机" sheetId="3" state="visible" r:id="rId3"/>
    <sheet xmlns:r="http://schemas.openxmlformats.org/officeDocument/2006/relationships" name="金条纯机" sheetId="4" state="visible" r:id="rId4"/>
    <sheet xmlns:r="http://schemas.openxmlformats.org/officeDocument/2006/relationships" name="财富" sheetId="5" state="visible" r:id="rId5"/>
    <sheet xmlns:r="http://schemas.openxmlformats.org/officeDocument/2006/relationships" name="信用卡-菁卡拉新" sheetId="6" state="visible" r:id="rId6"/>
    <sheet xmlns:r="http://schemas.openxmlformats.org/officeDocument/2006/relationships" name="企业主贷" sheetId="7" state="visible" r:id="rId7"/>
    <sheet xmlns:r="http://schemas.openxmlformats.org/officeDocument/2006/relationships" name="主贷大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1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金条人工首贷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毅航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IF(COUNTA(B4:M4)&lt;3,"",IF(SUMPRODUCT((B4:M4&lt;&gt;"")*(B4:M4&gt;B15:M15))&gt;=3,"⚠ 存在后30%",""))</f>
        <v/>
      </c>
      <c r="O4" s="5">
        <f>SUMPRODUCT((B4:M4&lt;&gt;"")*(B4:M4&gt;B15:M15))</f>
        <v/>
      </c>
      <c r="P4" s="6">
        <f>IF(O4&gt;=2,"⚠ 2次及以上","")</f>
        <v/>
      </c>
      <c r="Q4" s="6">
        <f>IF(COUNTA(B4:M4)&lt;2,"",IF(SUMPRODUCT((B4:M4&lt;&gt;"")*(B4:M4=11)*(C4:N4&lt;&gt;"")*(C4:N4=11))&gt;=1,"⚠ 连续末位",""))</f>
        <v/>
      </c>
    </row>
    <row r="5">
      <c r="A5" s="3" t="inlineStr">
        <is>
          <t>毛毛虫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IF(COUNTA(B5:M5)&lt;3,"",IF(SUMPRODUCT((B5:M5&lt;&gt;"")*(B5:M5&gt;B15:M15))&gt;=3,"⚠ 存在后30%",""))</f>
        <v/>
      </c>
      <c r="O5" s="5">
        <f>SUMPRODUCT((B5:M5&lt;&gt;"")*(B5:M5&gt;B15:M15))</f>
        <v/>
      </c>
      <c r="P5" s="6">
        <f>IF(O5&gt;=2,"⚠ 2次及以上","")</f>
        <v/>
      </c>
      <c r="Q5" s="6">
        <f>IF(COUNTA(B5:M5)&lt;2,"",IF(SUMPRODUCT((B5:M5&lt;&gt;"")*(B5:M5=11)*(C5:N5&lt;&gt;"")*(C5:N5=11))&gt;=1,"⚠ 连续末位",""))</f>
        <v/>
      </c>
    </row>
    <row r="6">
      <c r="A6" s="3" t="inlineStr">
        <is>
          <t>赛维斯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IF(COUNTA(B6:M6)&lt;3,"",IF(SUMPRODUCT((B6:M6&lt;&gt;"")*(B6:M6&gt;B15:M15))&gt;=3,"⚠ 存在后30%",""))</f>
        <v/>
      </c>
      <c r="O6" s="5">
        <f>SUMPRODUCT((B6:M6&lt;&gt;"")*(B6:M6&gt;B15:M15))</f>
        <v/>
      </c>
      <c r="P6" s="6">
        <f>IF(O6&gt;=2,"⚠ 2次及以上","")</f>
        <v/>
      </c>
      <c r="Q6" s="6">
        <f>IF(COUNTA(B6:M6)&lt;2,"",IF(SUMPRODUCT((B6:M6&lt;&gt;"")*(B6:M6=11)*(C6:N6&lt;&gt;"")*(C6:N6=11))&gt;=1,"⚠ 连续末位",""))</f>
        <v/>
      </c>
    </row>
    <row r="7">
      <c r="A7" s="3" t="inlineStr">
        <is>
          <t>博岳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IF(COUNTA(B7:M7)&lt;3,"",IF(SUMPRODUCT((B7:M7&lt;&gt;"")*(B7:M7&gt;B15:M15))&gt;=3,"⚠ 存在后30%",""))</f>
        <v/>
      </c>
      <c r="O7" s="5">
        <f>SUMPRODUCT((B7:M7&lt;&gt;"")*(B7:M7&gt;B15:M15))</f>
        <v/>
      </c>
      <c r="P7" s="6">
        <f>IF(O7&gt;=2,"⚠ 2次及以上","")</f>
        <v/>
      </c>
      <c r="Q7" s="6">
        <f>IF(COUNTA(B7:M7)&lt;2,"",IF(SUMPRODUCT((B7:M7&lt;&gt;"")*(B7:M7=11)*(C7:N7&lt;&gt;"")*(C7:N7=11))&gt;=1,"⚠ 连续末位",""))</f>
        <v/>
      </c>
    </row>
    <row r="8">
      <c r="A8" s="3" t="inlineStr">
        <is>
          <t>汇讯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IF(COUNTA(B8:M8)&lt;3,"",IF(SUMPRODUCT((B8:M8&lt;&gt;"")*(B8:M8&gt;B15:M15))&gt;=3,"⚠ 存在后30%",""))</f>
        <v/>
      </c>
      <c r="O8" s="5">
        <f>SUMPRODUCT((B8:M8&lt;&gt;"")*(B8:M8&gt;B15:M15))</f>
        <v/>
      </c>
      <c r="P8" s="6">
        <f>IF(O8&gt;=2,"⚠ 2次及以上","")</f>
        <v/>
      </c>
      <c r="Q8" s="6">
        <f>IF(COUNTA(B8:M8)&lt;2,"",IF(SUMPRODUCT((B8:M8&lt;&gt;"")*(B8:M8=11)*(C8:N8&lt;&gt;"")*(C8:N8=11))&gt;=1,"⚠ 连续末位",""))</f>
        <v/>
      </c>
    </row>
    <row r="9">
      <c r="A9" s="3" t="inlineStr">
        <is>
          <t>伽玛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IF(COUNTA(B9:M9)&lt;3,"",IF(SUMPRODUCT((B9:M9&lt;&gt;"")*(B9:M9&gt;B15:M15))&gt;=3,"⚠ 存在后30%",""))</f>
        <v/>
      </c>
      <c r="O9" s="5">
        <f>SUMPRODUCT((B9:M9&lt;&gt;"")*(B9:M9&gt;B15:M15))</f>
        <v/>
      </c>
      <c r="P9" s="6">
        <f>IF(O9&gt;=2,"⚠ 2次及以上","")</f>
        <v/>
      </c>
      <c r="Q9" s="6">
        <f>IF(COUNTA(B9:M9)&lt;2,"",IF(SUMPRODUCT((B9:M9&lt;&gt;"")*(B9:M9=11)*(C9:N9&lt;&gt;"")*(C9:N9=11))&gt;=1,"⚠ 连续末位",""))</f>
        <v/>
      </c>
    </row>
    <row r="10">
      <c r="A10" s="3" t="inlineStr">
        <is>
          <t>翰锐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>
        <f>IF(COUNTA(B10:M10)&lt;3,"",IF(SUMPRODUCT((B10:M10&lt;&gt;"")*(B10:M10&gt;B15:M15))&gt;=3,"⚠ 存在后30%",""))</f>
        <v/>
      </c>
      <c r="O10" s="5">
        <f>SUMPRODUCT((B10:M10&lt;&gt;"")*(B10:M10&gt;B15:M15))</f>
        <v/>
      </c>
      <c r="P10" s="6">
        <f>IF(O10&gt;=2,"⚠ 2次及以上","")</f>
        <v/>
      </c>
      <c r="Q10" s="6">
        <f>IF(COUNTA(B10:M10)&lt;2,"",IF(SUMPRODUCT((B10:M10&lt;&gt;"")*(B10:M10=11)*(C10:N10&lt;&gt;"")*(C10:N10=11))&gt;=1,"⚠ 连续末位",""))</f>
        <v/>
      </c>
    </row>
    <row r="11">
      <c r="A11" s="3" t="inlineStr">
        <is>
          <t>海腾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IF(COUNTA(B11:M11)&lt;3,"",IF(SUMPRODUCT((B11:M11&lt;&gt;"")*(B11:M11&gt;B15:M15))&gt;=3,"⚠ 存在后30%",""))</f>
        <v/>
      </c>
      <c r="O11" s="5">
        <f>SUMPRODUCT((B11:M11&lt;&gt;"")*(B11:M11&gt;B15:M15))</f>
        <v/>
      </c>
      <c r="P11" s="6">
        <f>IF(O11&gt;=2,"⚠ 2次及以上","")</f>
        <v/>
      </c>
      <c r="Q11" s="6">
        <f>IF(COUNTA(B11:M11)&lt;2,"",IF(SUMPRODUCT((B11:M11&lt;&gt;"")*(B11:M11=11)*(C11:N11&lt;&gt;"")*(C11:N11=11))&gt;=1,"⚠ 连续末位",""))</f>
        <v/>
      </c>
    </row>
    <row r="12">
      <c r="A12" s="3" t="inlineStr">
        <is>
          <t>人和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>
        <f>IF(COUNTA(B12:M12)&lt;3,"",IF(SUMPRODUCT((B12:M12&lt;&gt;"")*(B12:M12&gt;B15:M15))&gt;=3,"⚠ 存在后30%",""))</f>
        <v/>
      </c>
      <c r="O12" s="5">
        <f>SUMPRODUCT((B12:M12&lt;&gt;"")*(B12:M12&gt;B15:M15))</f>
        <v/>
      </c>
      <c r="P12" s="6">
        <f>IF(O12&gt;=2,"⚠ 2次及以上","")</f>
        <v/>
      </c>
      <c r="Q12" s="6">
        <f>IF(COUNTA(B12:M12)&lt;2,"",IF(SUMPRODUCT((B12:M12&lt;&gt;"")*(B12:M12=11)*(C12:N12&lt;&gt;"")*(C12:N12=11))&gt;=1,"⚠ 连续末位",""))</f>
        <v/>
      </c>
    </row>
    <row r="13">
      <c r="A13" s="3" t="inlineStr">
        <is>
          <t>岐力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IF(COUNTA(B13:M13)&lt;3,"",IF(SUMPRODUCT((B13:M13&lt;&gt;"")*(B13:M13&gt;B15:M15))&gt;=3,"⚠ 存在后30%",""))</f>
        <v/>
      </c>
      <c r="O13" s="5">
        <f>SUMPRODUCT((B13:M13&lt;&gt;"")*(B13:M13&gt;B15:M15))</f>
        <v/>
      </c>
      <c r="P13" s="6">
        <f>IF(O13&gt;=2,"⚠ 2次及以上","")</f>
        <v/>
      </c>
      <c r="Q13" s="6">
        <f>IF(COUNTA(B13:M13)&lt;2,"",IF(SUMPRODUCT((B13:M13&lt;&gt;"")*(B13:M13=11)*(C13:N13&lt;&gt;"")*(C13:N13=11))&gt;=1,"⚠ 连续末位",""))</f>
        <v/>
      </c>
    </row>
    <row r="14">
      <c r="A14" s="3" t="inlineStr">
        <is>
          <t>华啸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>
        <f>IF(COUNTA(B14:M14)&lt;3,"",IF(SUMPRODUCT((B14:M14&lt;&gt;"")*(B14:M14&gt;B15:M15))&gt;=3,"⚠ 存在后30%",""))</f>
        <v/>
      </c>
      <c r="O14" s="5">
        <f>SUMPRODUCT((B14:M14&lt;&gt;"")*(B14:M14&gt;B15:M15))</f>
        <v/>
      </c>
      <c r="P14" s="6">
        <f>IF(O14&gt;=2,"⚠ 2次及以上","")</f>
        <v/>
      </c>
      <c r="Q14" s="6">
        <f>IF(COUNTA(B14:M14)&lt;2,"",IF(SUMPRODUCT((B14:M14&lt;&gt;"")*(B14:M14=11)*(C14:N14&lt;&gt;"")*(C14:N14=11))&gt;=1,"⚠ 连续末位",""))</f>
        <v/>
      </c>
    </row>
    <row r="15">
      <c r="A15" s="7" t="inlineStr">
        <is>
          <t>后30%阈值(排名&gt;此值)</t>
        </is>
      </c>
      <c r="B15" s="8">
        <f>IF(COUNTA(B4:B14)=0,"",COUNTA(B4:B14)-CEILING(COUNTA(B4:B14)*0.3,1))</f>
        <v/>
      </c>
      <c r="C15" s="8">
        <f>IF(COUNTA(C4:C14)=0,"",COUNTA(C4:C14)-CEILING(COUNTA(C4:C14)*0.3,1))</f>
        <v/>
      </c>
      <c r="D15" s="8">
        <f>IF(COUNTA(D4:D14)=0,"",COUNTA(D4:D14)-CEILING(COUNTA(D4:D14)*0.3,1))</f>
        <v/>
      </c>
      <c r="E15" s="8">
        <f>IF(COUNTA(E4:E14)=0,"",COUNTA(E4:E14)-CEILING(COUNTA(E4:E14)*0.3,1))</f>
        <v/>
      </c>
      <c r="F15" s="8">
        <f>IF(COUNTA(F4:F14)=0,"",COUNTA(F4:F14)-CEILING(COUNTA(F4:F14)*0.3,1))</f>
        <v/>
      </c>
      <c r="G15" s="8">
        <f>IF(COUNTA(G4:G14)=0,"",COUNTA(G4:G14)-CEILING(COUNTA(G4:G14)*0.3,1))</f>
        <v/>
      </c>
      <c r="H15" s="8">
        <f>IF(COUNTA(H4:H14)=0,"",COUNTA(H4:H14)-CEILING(COUNTA(H4:H14)*0.3,1))</f>
        <v/>
      </c>
      <c r="I15" s="8">
        <f>IF(COUNTA(I4:I14)=0,"",COUNTA(I4:I14)-CEILING(COUNTA(I4:I14)*0.3,1))</f>
        <v/>
      </c>
      <c r="J15" s="8">
        <f>IF(COUNTA(J4:J14)=0,"",COUNTA(J4:J14)-CEILING(COUNTA(J4:J14)*0.3,1))</f>
        <v/>
      </c>
      <c r="K15" s="8">
        <f>IF(COUNTA(K4:K14)=0,"",COUNTA(K4:K14)-CEILING(COUNTA(K4:K14)*0.3,1))</f>
        <v/>
      </c>
      <c r="L15" s="8">
        <f>IF(COUNTA(L4:L14)=0,"",COUNTA(L4:L14)-CEILING(COUNTA(L4:L14)*0.3,1))</f>
        <v/>
      </c>
      <c r="M15" s="8">
        <f>IF(COUNTA(M4:M14)=0,"",COUNTA(M4:M14)-CEILING(COUNTA(M4:M14)*0.3,1))</f>
        <v/>
      </c>
      <c r="N15" s="9" t="n"/>
      <c r="O15" s="9" t="n"/>
      <c r="P15" s="9" t="n"/>
      <c r="Q15" s="9" t="n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金条人工复贷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岐力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IF(COUNTA(B4:M4)&lt;3,"",IF(SUMPRODUCT((B4:M4&lt;&gt;"")*(B4:M4&gt;B15:M15))&gt;=3,"⚠ 存在后30%",""))</f>
        <v/>
      </c>
      <c r="O4" s="5">
        <f>SUMPRODUCT((B4:M4&lt;&gt;"")*(B4:M4&gt;B15:M15))</f>
        <v/>
      </c>
      <c r="P4" s="6">
        <f>IF(O4&gt;=2,"⚠ 2次及以上","")</f>
        <v/>
      </c>
      <c r="Q4" s="6">
        <f>IF(COUNTA(B4:M4)&lt;2,"",IF(SUMPRODUCT((B4:M4&lt;&gt;"")*(B4:M4=11)*(C4:N4&lt;&gt;"")*(C4:N4=11))&gt;=1,"⚠ 连续末位",""))</f>
        <v/>
      </c>
    </row>
    <row r="5">
      <c r="A5" s="3" t="inlineStr">
        <is>
          <t>赛维斯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IF(COUNTA(B5:M5)&lt;3,"",IF(SUMPRODUCT((B5:M5&lt;&gt;"")*(B5:M5&gt;B15:M15))&gt;=3,"⚠ 存在后30%",""))</f>
        <v/>
      </c>
      <c r="O5" s="5">
        <f>SUMPRODUCT((B5:M5&lt;&gt;"")*(B5:M5&gt;B15:M15))</f>
        <v/>
      </c>
      <c r="P5" s="6">
        <f>IF(O5&gt;=2,"⚠ 2次及以上","")</f>
        <v/>
      </c>
      <c r="Q5" s="6">
        <f>IF(COUNTA(B5:M5)&lt;2,"",IF(SUMPRODUCT((B5:M5&lt;&gt;"")*(B5:M5=11)*(C5:N5&lt;&gt;"")*(C5:N5=11))&gt;=1,"⚠ 连续末位",""))</f>
        <v/>
      </c>
    </row>
    <row r="6">
      <c r="A6" s="3" t="inlineStr">
        <is>
          <t>毅航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IF(COUNTA(B6:M6)&lt;3,"",IF(SUMPRODUCT((B6:M6&lt;&gt;"")*(B6:M6&gt;B15:M15))&gt;=3,"⚠ 存在后30%",""))</f>
        <v/>
      </c>
      <c r="O6" s="5">
        <f>SUMPRODUCT((B6:M6&lt;&gt;"")*(B6:M6&gt;B15:M15))</f>
        <v/>
      </c>
      <c r="P6" s="6">
        <f>IF(O6&gt;=2,"⚠ 2次及以上","")</f>
        <v/>
      </c>
      <c r="Q6" s="6">
        <f>IF(COUNTA(B6:M6)&lt;2,"",IF(SUMPRODUCT((B6:M6&lt;&gt;"")*(B6:M6=11)*(C6:N6&lt;&gt;"")*(C6:N6=11))&gt;=1,"⚠ 连续末位",""))</f>
        <v/>
      </c>
    </row>
    <row r="7">
      <c r="A7" s="3" t="inlineStr">
        <is>
          <t>广达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IF(COUNTA(B7:M7)&lt;3,"",IF(SUMPRODUCT((B7:M7&lt;&gt;"")*(B7:M7&gt;B15:M15))&gt;=3,"⚠ 存在后30%",""))</f>
        <v/>
      </c>
      <c r="O7" s="5">
        <f>SUMPRODUCT((B7:M7&lt;&gt;"")*(B7:M7&gt;B15:M15))</f>
        <v/>
      </c>
      <c r="P7" s="6">
        <f>IF(O7&gt;=2,"⚠ 2次及以上","")</f>
        <v/>
      </c>
      <c r="Q7" s="6">
        <f>IF(COUNTA(B7:M7)&lt;2,"",IF(SUMPRODUCT((B7:M7&lt;&gt;"")*(B7:M7=11)*(C7:N7&lt;&gt;"")*(C7:N7=11))&gt;=1,"⚠ 连续末位",""))</f>
        <v/>
      </c>
    </row>
    <row r="8">
      <c r="A8" s="3" t="inlineStr">
        <is>
          <t>翰锐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IF(COUNTA(B8:M8)&lt;3,"",IF(SUMPRODUCT((B8:M8&lt;&gt;"")*(B8:M8&gt;B15:M15))&gt;=3,"⚠ 存在后30%",""))</f>
        <v/>
      </c>
      <c r="O8" s="5">
        <f>SUMPRODUCT((B8:M8&lt;&gt;"")*(B8:M8&gt;B15:M15))</f>
        <v/>
      </c>
      <c r="P8" s="6">
        <f>IF(O8&gt;=2,"⚠ 2次及以上","")</f>
        <v/>
      </c>
      <c r="Q8" s="6">
        <f>IF(COUNTA(B8:M8)&lt;2,"",IF(SUMPRODUCT((B8:M8&lt;&gt;"")*(B8:M8=11)*(C8:N8&lt;&gt;"")*(C8:N8=11))&gt;=1,"⚠ 连续末位",""))</f>
        <v/>
      </c>
    </row>
    <row r="9">
      <c r="A9" s="3" t="inlineStr">
        <is>
          <t>汇讯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IF(COUNTA(B9:M9)&lt;3,"",IF(SUMPRODUCT((B9:M9&lt;&gt;"")*(B9:M9&gt;B15:M15))&gt;=3,"⚠ 存在后30%",""))</f>
        <v/>
      </c>
      <c r="O9" s="5">
        <f>SUMPRODUCT((B9:M9&lt;&gt;"")*(B9:M9&gt;B15:M15))</f>
        <v/>
      </c>
      <c r="P9" s="6">
        <f>IF(O9&gt;=2,"⚠ 2次及以上","")</f>
        <v/>
      </c>
      <c r="Q9" s="6">
        <f>IF(COUNTA(B9:M9)&lt;2,"",IF(SUMPRODUCT((B9:M9&lt;&gt;"")*(B9:M9=11)*(C9:N9&lt;&gt;"")*(C9:N9=11))&gt;=1,"⚠ 连续末位",""))</f>
        <v/>
      </c>
    </row>
    <row r="10">
      <c r="A10" s="3" t="inlineStr">
        <is>
          <t>伽玛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>
        <f>IF(COUNTA(B10:M10)&lt;3,"",IF(SUMPRODUCT((B10:M10&lt;&gt;"")*(B10:M10&gt;B15:M15))&gt;=3,"⚠ 存在后30%",""))</f>
        <v/>
      </c>
      <c r="O10" s="5">
        <f>SUMPRODUCT((B10:M10&lt;&gt;"")*(B10:M10&gt;B15:M15))</f>
        <v/>
      </c>
      <c r="P10" s="6">
        <f>IF(O10&gt;=2,"⚠ 2次及以上","")</f>
        <v/>
      </c>
      <c r="Q10" s="6">
        <f>IF(COUNTA(B10:M10)&lt;2,"",IF(SUMPRODUCT((B10:M10&lt;&gt;"")*(B10:M10=11)*(C10:N10&lt;&gt;"")*(C10:N10=11))&gt;=1,"⚠ 连续末位",""))</f>
        <v/>
      </c>
    </row>
    <row r="11">
      <c r="A11" s="3" t="inlineStr">
        <is>
          <t>博岳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IF(COUNTA(B11:M11)&lt;3,"",IF(SUMPRODUCT((B11:M11&lt;&gt;"")*(B11:M11&gt;B15:M15))&gt;=3,"⚠ 存在后30%",""))</f>
        <v/>
      </c>
      <c r="O11" s="5">
        <f>SUMPRODUCT((B11:M11&lt;&gt;"")*(B11:M11&gt;B15:M15))</f>
        <v/>
      </c>
      <c r="P11" s="6">
        <f>IF(O11&gt;=2,"⚠ 2次及以上","")</f>
        <v/>
      </c>
      <c r="Q11" s="6">
        <f>IF(COUNTA(B11:M11)&lt;2,"",IF(SUMPRODUCT((B11:M11&lt;&gt;"")*(B11:M11=11)*(C11:N11&lt;&gt;"")*(C11:N11=11))&gt;=1,"⚠ 连续末位",""))</f>
        <v/>
      </c>
    </row>
    <row r="12">
      <c r="A12" s="3" t="inlineStr">
        <is>
          <t>华啸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>
        <f>IF(COUNTA(B12:M12)&lt;3,"",IF(SUMPRODUCT((B12:M12&lt;&gt;"")*(B12:M12&gt;B15:M15))&gt;=3,"⚠ 存在后30%",""))</f>
        <v/>
      </c>
      <c r="O12" s="5">
        <f>SUMPRODUCT((B12:M12&lt;&gt;"")*(B12:M12&gt;B15:M15))</f>
        <v/>
      </c>
      <c r="P12" s="6">
        <f>IF(O12&gt;=2,"⚠ 2次及以上","")</f>
        <v/>
      </c>
      <c r="Q12" s="6">
        <f>IF(COUNTA(B12:M12)&lt;2,"",IF(SUMPRODUCT((B12:M12&lt;&gt;"")*(B12:M12=11)*(C12:N12&lt;&gt;"")*(C12:N12=11))&gt;=1,"⚠ 连续末位",""))</f>
        <v/>
      </c>
    </row>
    <row r="13">
      <c r="A13" s="3" t="inlineStr">
        <is>
          <t>毛毛虫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IF(COUNTA(B13:M13)&lt;3,"",IF(SUMPRODUCT((B13:M13&lt;&gt;"")*(B13:M13&gt;B15:M15))&gt;=3,"⚠ 存在后30%",""))</f>
        <v/>
      </c>
      <c r="O13" s="5">
        <f>SUMPRODUCT((B13:M13&lt;&gt;"")*(B13:M13&gt;B15:M15))</f>
        <v/>
      </c>
      <c r="P13" s="6">
        <f>IF(O13&gt;=2,"⚠ 2次及以上","")</f>
        <v/>
      </c>
      <c r="Q13" s="6">
        <f>IF(COUNTA(B13:M13)&lt;2,"",IF(SUMPRODUCT((B13:M13&lt;&gt;"")*(B13:M13=11)*(C13:N13&lt;&gt;"")*(C13:N13=11))&gt;=1,"⚠ 连续末位",""))</f>
        <v/>
      </c>
    </row>
    <row r="14">
      <c r="A14" s="3" t="inlineStr">
        <is>
          <t>人和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>
        <f>IF(COUNTA(B14:M14)&lt;3,"",IF(SUMPRODUCT((B14:M14&lt;&gt;"")*(B14:M14&gt;B15:M15))&gt;=3,"⚠ 存在后30%",""))</f>
        <v/>
      </c>
      <c r="O14" s="5">
        <f>SUMPRODUCT((B14:M14&lt;&gt;"")*(B14:M14&gt;B15:M15))</f>
        <v/>
      </c>
      <c r="P14" s="6">
        <f>IF(O14&gt;=2,"⚠ 2次及以上","")</f>
        <v/>
      </c>
      <c r="Q14" s="6">
        <f>IF(COUNTA(B14:M14)&lt;2,"",IF(SUMPRODUCT((B14:M14&lt;&gt;"")*(B14:M14=11)*(C14:N14&lt;&gt;"")*(C14:N14=11))&gt;=1,"⚠ 连续末位",""))</f>
        <v/>
      </c>
    </row>
    <row r="15">
      <c r="A15" s="7" t="inlineStr">
        <is>
          <t>后30%阈值(排名&gt;此值)</t>
        </is>
      </c>
      <c r="B15" s="8">
        <f>IF(COUNTA(B4:B14)=0,"",COUNTA(B4:B14)-CEILING(COUNTA(B4:B14)*0.3,1))</f>
        <v/>
      </c>
      <c r="C15" s="8">
        <f>IF(COUNTA(C4:C14)=0,"",COUNTA(C4:C14)-CEILING(COUNTA(C4:C14)*0.3,1))</f>
        <v/>
      </c>
      <c r="D15" s="8">
        <f>IF(COUNTA(D4:D14)=0,"",COUNTA(D4:D14)-CEILING(COUNTA(D4:D14)*0.3,1))</f>
        <v/>
      </c>
      <c r="E15" s="8">
        <f>IF(COUNTA(E4:E14)=0,"",COUNTA(E4:E14)-CEILING(COUNTA(E4:E14)*0.3,1))</f>
        <v/>
      </c>
      <c r="F15" s="8">
        <f>IF(COUNTA(F4:F14)=0,"",COUNTA(F4:F14)-CEILING(COUNTA(F4:F14)*0.3,1))</f>
        <v/>
      </c>
      <c r="G15" s="8">
        <f>IF(COUNTA(G4:G14)=0,"",COUNTA(G4:G14)-CEILING(COUNTA(G4:G14)*0.3,1))</f>
        <v/>
      </c>
      <c r="H15" s="8">
        <f>IF(COUNTA(H4:H14)=0,"",COUNTA(H4:H14)-CEILING(COUNTA(H4:H14)*0.3,1))</f>
        <v/>
      </c>
      <c r="I15" s="8">
        <f>IF(COUNTA(I4:I14)=0,"",COUNTA(I4:I14)-CEILING(COUNTA(I4:I14)*0.3,1))</f>
        <v/>
      </c>
      <c r="J15" s="8">
        <f>IF(COUNTA(J4:J14)=0,"",COUNTA(J4:J14)-CEILING(COUNTA(J4:J14)*0.3,1))</f>
        <v/>
      </c>
      <c r="K15" s="8">
        <f>IF(COUNTA(K4:K14)=0,"",COUNTA(K4:K14)-CEILING(COUNTA(K4:K14)*0.3,1))</f>
        <v/>
      </c>
      <c r="L15" s="8">
        <f>IF(COUNTA(L4:L14)=0,"",COUNTA(L4:L14)-CEILING(COUNTA(L4:L14)*0.3,1))</f>
        <v/>
      </c>
      <c r="M15" s="8">
        <f>IF(COUNTA(M4:M14)=0,"",COUNTA(M4:M14)-CEILING(COUNTA(M4:M14)*0.3,1))</f>
        <v/>
      </c>
      <c r="N15" s="9" t="n"/>
      <c r="O15" s="9" t="n"/>
      <c r="P15" s="9" t="n"/>
      <c r="Q15" s="9" t="n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金条人机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赛维斯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IF(COUNTA(B4:M4)&lt;3,"",IF(SUMPRODUCT((B4:M4&lt;&gt;"")*(B4:M4&gt;B9:M9))&gt;=3,"⚠ 存在后30%",""))</f>
        <v/>
      </c>
      <c r="O4" s="5">
        <f>SUMPRODUCT((B4:M4&lt;&gt;"")*(B4:M4&gt;B9:M9))</f>
        <v/>
      </c>
      <c r="P4" s="6">
        <f>IF(O4&gt;=2,"⚠ 2次及以上","")</f>
        <v/>
      </c>
      <c r="Q4" s="6">
        <f>IF(COUNTA(B4:M4)&lt;2,"",IF(SUMPRODUCT((B4:M4&lt;&gt;"")*(B4:M4=5)*(C4:N4&lt;&gt;"")*(C4:N4=5))&gt;=1,"⚠ 连续末位",""))</f>
        <v/>
      </c>
    </row>
    <row r="5">
      <c r="A5" s="3" t="inlineStr">
        <is>
          <t>毛毛虫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IF(COUNTA(B5:M5)&lt;3,"",IF(SUMPRODUCT((B5:M5&lt;&gt;"")*(B5:M5&gt;B9:M9))&gt;=3,"⚠ 存在后30%",""))</f>
        <v/>
      </c>
      <c r="O5" s="5">
        <f>SUMPRODUCT((B5:M5&lt;&gt;"")*(B5:M5&gt;B9:M9))</f>
        <v/>
      </c>
      <c r="P5" s="6">
        <f>IF(O5&gt;=2,"⚠ 2次及以上","")</f>
        <v/>
      </c>
      <c r="Q5" s="6">
        <f>IF(COUNTA(B5:M5)&lt;2,"",IF(SUMPRODUCT((B5:M5&lt;&gt;"")*(B5:M5=5)*(C5:N5&lt;&gt;"")*(C5:N5=5))&gt;=1,"⚠ 连续末位",""))</f>
        <v/>
      </c>
    </row>
    <row r="6">
      <c r="A6" s="3" t="inlineStr">
        <is>
          <t>伽玛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IF(COUNTA(B6:M6)&lt;3,"",IF(SUMPRODUCT((B6:M6&lt;&gt;"")*(B6:M6&gt;B9:M9))&gt;=3,"⚠ 存在后30%",""))</f>
        <v/>
      </c>
      <c r="O6" s="5">
        <f>SUMPRODUCT((B6:M6&lt;&gt;"")*(B6:M6&gt;B9:M9))</f>
        <v/>
      </c>
      <c r="P6" s="6">
        <f>IF(O6&gt;=2,"⚠ 2次及以上","")</f>
        <v/>
      </c>
      <c r="Q6" s="6">
        <f>IF(COUNTA(B6:M6)&lt;2,"",IF(SUMPRODUCT((B6:M6&lt;&gt;"")*(B6:M6=5)*(C6:N6&lt;&gt;"")*(C6:N6=5))&gt;=1,"⚠ 连续末位",""))</f>
        <v/>
      </c>
    </row>
    <row r="7">
      <c r="A7" s="3" t="inlineStr">
        <is>
          <t>毅航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IF(COUNTA(B7:M7)&lt;3,"",IF(SUMPRODUCT((B7:M7&lt;&gt;"")*(B7:M7&gt;B9:M9))&gt;=3,"⚠ 存在后30%",""))</f>
        <v/>
      </c>
      <c r="O7" s="5">
        <f>SUMPRODUCT((B7:M7&lt;&gt;"")*(B7:M7&gt;B9:M9))</f>
        <v/>
      </c>
      <c r="P7" s="6">
        <f>IF(O7&gt;=2,"⚠ 2次及以上","")</f>
        <v/>
      </c>
      <c r="Q7" s="6">
        <f>IF(COUNTA(B7:M7)&lt;2,"",IF(SUMPRODUCT((B7:M7&lt;&gt;"")*(B7:M7=5)*(C7:N7&lt;&gt;"")*(C7:N7=5))&gt;=1,"⚠ 连续末位",""))</f>
        <v/>
      </c>
    </row>
    <row r="8">
      <c r="A8" s="3" t="inlineStr">
        <is>
          <t>信晨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IF(COUNTA(B8:M8)&lt;3,"",IF(SUMPRODUCT((B8:M8&lt;&gt;"")*(B8:M8&gt;B9:M9))&gt;=3,"⚠ 存在后30%",""))</f>
        <v/>
      </c>
      <c r="O8" s="5">
        <f>SUMPRODUCT((B8:M8&lt;&gt;"")*(B8:M8&gt;B9:M9))</f>
        <v/>
      </c>
      <c r="P8" s="6">
        <f>IF(O8&gt;=2,"⚠ 2次及以上","")</f>
        <v/>
      </c>
      <c r="Q8" s="6">
        <f>IF(COUNTA(B8:M8)&lt;2,"",IF(SUMPRODUCT((B8:M8&lt;&gt;"")*(B8:M8=5)*(C8:N8&lt;&gt;"")*(C8:N8=5))&gt;=1,"⚠ 连续末位",""))</f>
        <v/>
      </c>
    </row>
    <row r="9">
      <c r="A9" s="7" t="inlineStr">
        <is>
          <t>后30%阈值(排名&gt;此值)</t>
        </is>
      </c>
      <c r="B9" s="8">
        <f>IF(COUNTA(B4:B8)=0,"",COUNTA(B4:B8)-CEILING(COUNTA(B4:B8)*0.3,1))</f>
        <v/>
      </c>
      <c r="C9" s="8">
        <f>IF(COUNTA(C4:C8)=0,"",COUNTA(C4:C8)-CEILING(COUNTA(C4:C8)*0.3,1))</f>
        <v/>
      </c>
      <c r="D9" s="8">
        <f>IF(COUNTA(D4:D8)=0,"",COUNTA(D4:D8)-CEILING(COUNTA(D4:D8)*0.3,1))</f>
        <v/>
      </c>
      <c r="E9" s="8">
        <f>IF(COUNTA(E4:E8)=0,"",COUNTA(E4:E8)-CEILING(COUNTA(E4:E8)*0.3,1))</f>
        <v/>
      </c>
      <c r="F9" s="8">
        <f>IF(COUNTA(F4:F8)=0,"",COUNTA(F4:F8)-CEILING(COUNTA(F4:F8)*0.3,1))</f>
        <v/>
      </c>
      <c r="G9" s="8">
        <f>IF(COUNTA(G4:G8)=0,"",COUNTA(G4:G8)-CEILING(COUNTA(G4:G8)*0.3,1))</f>
        <v/>
      </c>
      <c r="H9" s="8">
        <f>IF(COUNTA(H4:H8)=0,"",COUNTA(H4:H8)-CEILING(COUNTA(H4:H8)*0.3,1))</f>
        <v/>
      </c>
      <c r="I9" s="8">
        <f>IF(COUNTA(I4:I8)=0,"",COUNTA(I4:I8)-CEILING(COUNTA(I4:I8)*0.3,1))</f>
        <v/>
      </c>
      <c r="J9" s="8">
        <f>IF(COUNTA(J4:J8)=0,"",COUNTA(J4:J8)-CEILING(COUNTA(J4:J8)*0.3,1))</f>
        <v/>
      </c>
      <c r="K9" s="8">
        <f>IF(COUNTA(K4:K8)=0,"",COUNTA(K4:K8)-CEILING(COUNTA(K4:K8)*0.3,1))</f>
        <v/>
      </c>
      <c r="L9" s="8">
        <f>IF(COUNTA(L4:L8)=0,"",COUNTA(L4:L8)-CEILING(COUNTA(L4:L8)*0.3,1))</f>
        <v/>
      </c>
      <c r="M9" s="8">
        <f>IF(COUNTA(M4:M8)=0,"",COUNTA(M4:M8)-CEILING(COUNTA(M4:M8)*0.3,1))</f>
        <v/>
      </c>
      <c r="N9" s="9" t="n"/>
      <c r="O9" s="9" t="n"/>
      <c r="P9" s="9" t="n"/>
      <c r="Q9" s="9" t="n"/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金条纯机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言犀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IF(COUNTA(B4:M4)&lt;3,"",IF(SUMPRODUCT((B4:M4&lt;&gt;"")*(B4:M4&gt;B8:M8))&gt;=3,"⚠ 存在后30%",""))</f>
        <v/>
      </c>
      <c r="O4" s="5">
        <f>SUMPRODUCT((B4:M4&lt;&gt;"")*(B4:M4&gt;B8:M8))</f>
        <v/>
      </c>
      <c r="P4" s="6">
        <f>IF(O4&gt;=2,"⚠ 2次及以上","")</f>
        <v/>
      </c>
      <c r="Q4" s="6">
        <f>IF(COUNTA(B4:M4)&lt;2,"",IF(SUMPRODUCT((B4:M4&lt;&gt;"")*(B4:M4=4)*(C4:N4&lt;&gt;"")*(C4:N4=4))&gt;=1,"⚠ 连续末位",""))</f>
        <v/>
      </c>
    </row>
    <row r="5">
      <c r="A5" s="3" t="inlineStr">
        <is>
          <t>信晨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IF(COUNTA(B5:M5)&lt;3,"",IF(SUMPRODUCT((B5:M5&lt;&gt;"")*(B5:M5&gt;B8:M8))&gt;=3,"⚠ 存在后30%",""))</f>
        <v/>
      </c>
      <c r="O5" s="5">
        <f>SUMPRODUCT((B5:M5&lt;&gt;"")*(B5:M5&gt;B8:M8))</f>
        <v/>
      </c>
      <c r="P5" s="6">
        <f>IF(O5&gt;=2,"⚠ 2次及以上","")</f>
        <v/>
      </c>
      <c r="Q5" s="6">
        <f>IF(COUNTA(B5:M5)&lt;2,"",IF(SUMPRODUCT((B5:M5&lt;&gt;"")*(B5:M5=4)*(C5:N5&lt;&gt;"")*(C5:N5=4))&gt;=1,"⚠ 连续末位",""))</f>
        <v/>
      </c>
    </row>
    <row r="6">
      <c r="A6" s="3" t="inlineStr">
        <is>
          <t>羽乐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IF(COUNTA(B6:M6)&lt;3,"",IF(SUMPRODUCT((B6:M6&lt;&gt;"")*(B6:M6&gt;B8:M8))&gt;=3,"⚠ 存在后30%",""))</f>
        <v/>
      </c>
      <c r="O6" s="5">
        <f>SUMPRODUCT((B6:M6&lt;&gt;"")*(B6:M6&gt;B8:M8))</f>
        <v/>
      </c>
      <c r="P6" s="6">
        <f>IF(O6&gt;=2,"⚠ 2次及以上","")</f>
        <v/>
      </c>
      <c r="Q6" s="6">
        <f>IF(COUNTA(B6:M6)&lt;2,"",IF(SUMPRODUCT((B6:M6&lt;&gt;"")*(B6:M6=4)*(C6:N6&lt;&gt;"")*(C6:N6=4))&gt;=1,"⚠ 连续末位",""))</f>
        <v/>
      </c>
    </row>
    <row r="7">
      <c r="A7" s="3" t="inlineStr">
        <is>
          <t>九四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IF(COUNTA(B7:M7)&lt;3,"",IF(SUMPRODUCT((B7:M7&lt;&gt;"")*(B7:M7&gt;B8:M8))&gt;=3,"⚠ 存在后30%",""))</f>
        <v/>
      </c>
      <c r="O7" s="5">
        <f>SUMPRODUCT((B7:M7&lt;&gt;"")*(B7:M7&gt;B8:M8))</f>
        <v/>
      </c>
      <c r="P7" s="6">
        <f>IF(O7&gt;=2,"⚠ 2次及以上","")</f>
        <v/>
      </c>
      <c r="Q7" s="6">
        <f>IF(COUNTA(B7:M7)&lt;2,"",IF(SUMPRODUCT((B7:M7&lt;&gt;"")*(B7:M7=4)*(C7:N7&lt;&gt;"")*(C7:N7=4))&gt;=1,"⚠ 连续末位",""))</f>
        <v/>
      </c>
    </row>
    <row r="8">
      <c r="A8" s="7" t="inlineStr">
        <is>
          <t>后30%阈值(排名&gt;此值)</t>
        </is>
      </c>
      <c r="B8" s="8">
        <f>IF(COUNTA(B4:B7)=0,"",COUNTA(B4:B7)-CEILING(COUNTA(B4:B7)*0.3,1))</f>
        <v/>
      </c>
      <c r="C8" s="8">
        <f>IF(COUNTA(C4:C7)=0,"",COUNTA(C4:C7)-CEILING(COUNTA(C4:C7)*0.3,1))</f>
        <v/>
      </c>
      <c r="D8" s="8">
        <f>IF(COUNTA(D4:D7)=0,"",COUNTA(D4:D7)-CEILING(COUNTA(D4:D7)*0.3,1))</f>
        <v/>
      </c>
      <c r="E8" s="8">
        <f>IF(COUNTA(E4:E7)=0,"",COUNTA(E4:E7)-CEILING(COUNTA(E4:E7)*0.3,1))</f>
        <v/>
      </c>
      <c r="F8" s="8">
        <f>IF(COUNTA(F4:F7)=0,"",COUNTA(F4:F7)-CEILING(COUNTA(F4:F7)*0.3,1))</f>
        <v/>
      </c>
      <c r="G8" s="8">
        <f>IF(COUNTA(G4:G7)=0,"",COUNTA(G4:G7)-CEILING(COUNTA(G4:G7)*0.3,1))</f>
        <v/>
      </c>
      <c r="H8" s="8">
        <f>IF(COUNTA(H4:H7)=0,"",COUNTA(H4:H7)-CEILING(COUNTA(H4:H7)*0.3,1))</f>
        <v/>
      </c>
      <c r="I8" s="8">
        <f>IF(COUNTA(I4:I7)=0,"",COUNTA(I4:I7)-CEILING(COUNTA(I4:I7)*0.3,1))</f>
        <v/>
      </c>
      <c r="J8" s="8">
        <f>IF(COUNTA(J4:J7)=0,"",COUNTA(J4:J7)-CEILING(COUNTA(J4:J7)*0.3,1))</f>
        <v/>
      </c>
      <c r="K8" s="8">
        <f>IF(COUNTA(K4:K7)=0,"",COUNTA(K4:K7)-CEILING(COUNTA(K4:K7)*0.3,1))</f>
        <v/>
      </c>
      <c r="L8" s="8">
        <f>IF(COUNTA(L4:L7)=0,"",COUNTA(L4:L7)-CEILING(COUNTA(L4:L7)*0.3,1))</f>
        <v/>
      </c>
      <c r="M8" s="8">
        <f>IF(COUNTA(M4:M7)=0,"",COUNTA(M4:M7)-CEILING(COUNTA(M4:M7)*0.3,1))</f>
        <v/>
      </c>
      <c r="N8" s="9" t="n"/>
      <c r="O8" s="9" t="n"/>
      <c r="P8" s="9" t="n"/>
      <c r="Q8" s="9" t="n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财富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创世伙伴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IF(COUNTA(B4:M4)&lt;3,"",IF(SUMPRODUCT((B4:M4&lt;&gt;"")*(B4:M4&gt;B8:M8))&gt;=3,"⚠ 存在后30%",""))</f>
        <v/>
      </c>
      <c r="O4" s="5">
        <f>SUMPRODUCT((B4:M4&lt;&gt;"")*(B4:M4&gt;B8:M8))</f>
        <v/>
      </c>
      <c r="P4" s="6">
        <f>IF(O4&gt;=2,"⚠ 2次及以上","")</f>
        <v/>
      </c>
      <c r="Q4" s="6">
        <f>IF(COUNTA(B4:M4)&lt;2,"",IF(SUMPRODUCT((B4:M4&lt;&gt;"")*(B4:M4=4)*(C4:N4&lt;&gt;"")*(C4:N4=4))&gt;=1,"⚠ 连续末位",""))</f>
        <v/>
      </c>
    </row>
    <row r="5">
      <c r="A5" s="3" t="inlineStr">
        <is>
          <t>汇讯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IF(COUNTA(B5:M5)&lt;3,"",IF(SUMPRODUCT((B5:M5&lt;&gt;"")*(B5:M5&gt;B8:M8))&gt;=3,"⚠ 存在后30%",""))</f>
        <v/>
      </c>
      <c r="O5" s="5">
        <f>SUMPRODUCT((B5:M5&lt;&gt;"")*(B5:M5&gt;B8:M8))</f>
        <v/>
      </c>
      <c r="P5" s="6">
        <f>IF(O5&gt;=2,"⚠ 2次及以上","")</f>
        <v/>
      </c>
      <c r="Q5" s="6">
        <f>IF(COUNTA(B5:M5)&lt;2,"",IF(SUMPRODUCT((B5:M5&lt;&gt;"")*(B5:M5=4)*(C5:N5&lt;&gt;"")*(C5:N5=4))&gt;=1,"⚠ 连续末位",""))</f>
        <v/>
      </c>
    </row>
    <row r="6">
      <c r="A6" s="3" t="inlineStr">
        <is>
          <t>毛毛虫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IF(COUNTA(B6:M6)&lt;3,"",IF(SUMPRODUCT((B6:M6&lt;&gt;"")*(B6:M6&gt;B8:M8))&gt;=3,"⚠ 存在后30%",""))</f>
        <v/>
      </c>
      <c r="O6" s="5">
        <f>SUMPRODUCT((B6:M6&lt;&gt;"")*(B6:M6&gt;B8:M8))</f>
        <v/>
      </c>
      <c r="P6" s="6">
        <f>IF(O6&gt;=2,"⚠ 2次及以上","")</f>
        <v/>
      </c>
      <c r="Q6" s="6">
        <f>IF(COUNTA(B6:M6)&lt;2,"",IF(SUMPRODUCT((B6:M6&lt;&gt;"")*(B6:M6=4)*(C6:N6&lt;&gt;"")*(C6:N6=4))&gt;=1,"⚠ 连续末位",""))</f>
        <v/>
      </c>
    </row>
    <row r="7">
      <c r="A7" s="3" t="inlineStr">
        <is>
          <t>毅航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IF(COUNTA(B7:M7)&lt;3,"",IF(SUMPRODUCT((B7:M7&lt;&gt;"")*(B7:M7&gt;B8:M8))&gt;=3,"⚠ 存在后30%",""))</f>
        <v/>
      </c>
      <c r="O7" s="5">
        <f>SUMPRODUCT((B7:M7&lt;&gt;"")*(B7:M7&gt;B8:M8))</f>
        <v/>
      </c>
      <c r="P7" s="6">
        <f>IF(O7&gt;=2,"⚠ 2次及以上","")</f>
        <v/>
      </c>
      <c r="Q7" s="6">
        <f>IF(COUNTA(B7:M7)&lt;2,"",IF(SUMPRODUCT((B7:M7&lt;&gt;"")*(B7:M7=4)*(C7:N7&lt;&gt;"")*(C7:N7=4))&gt;=1,"⚠ 连续末位",""))</f>
        <v/>
      </c>
    </row>
    <row r="8">
      <c r="A8" s="7" t="inlineStr">
        <is>
          <t>后30%阈值(排名&gt;此值)</t>
        </is>
      </c>
      <c r="B8" s="8">
        <f>IF(COUNTA(B4:B7)=0,"",COUNTA(B4:B7)-CEILING(COUNTA(B4:B7)*0.3,1))</f>
        <v/>
      </c>
      <c r="C8" s="8">
        <f>IF(COUNTA(C4:C7)=0,"",COUNTA(C4:C7)-CEILING(COUNTA(C4:C7)*0.3,1))</f>
        <v/>
      </c>
      <c r="D8" s="8">
        <f>IF(COUNTA(D4:D7)=0,"",COUNTA(D4:D7)-CEILING(COUNTA(D4:D7)*0.3,1))</f>
        <v/>
      </c>
      <c r="E8" s="8">
        <f>IF(COUNTA(E4:E7)=0,"",COUNTA(E4:E7)-CEILING(COUNTA(E4:E7)*0.3,1))</f>
        <v/>
      </c>
      <c r="F8" s="8">
        <f>IF(COUNTA(F4:F7)=0,"",COUNTA(F4:F7)-CEILING(COUNTA(F4:F7)*0.3,1))</f>
        <v/>
      </c>
      <c r="G8" s="8">
        <f>IF(COUNTA(G4:G7)=0,"",COUNTA(G4:G7)-CEILING(COUNTA(G4:G7)*0.3,1))</f>
        <v/>
      </c>
      <c r="H8" s="8">
        <f>IF(COUNTA(H4:H7)=0,"",COUNTA(H4:H7)-CEILING(COUNTA(H4:H7)*0.3,1))</f>
        <v/>
      </c>
      <c r="I8" s="8">
        <f>IF(COUNTA(I4:I7)=0,"",COUNTA(I4:I7)-CEILING(COUNTA(I4:I7)*0.3,1))</f>
        <v/>
      </c>
      <c r="J8" s="8">
        <f>IF(COUNTA(J4:J7)=0,"",COUNTA(J4:J7)-CEILING(COUNTA(J4:J7)*0.3,1))</f>
        <v/>
      </c>
      <c r="K8" s="8">
        <f>IF(COUNTA(K4:K7)=0,"",COUNTA(K4:K7)-CEILING(COUNTA(K4:K7)*0.3,1))</f>
        <v/>
      </c>
      <c r="L8" s="8">
        <f>IF(COUNTA(L4:L7)=0,"",COUNTA(L4:L7)-CEILING(COUNTA(L4:L7)*0.3,1))</f>
        <v/>
      </c>
      <c r="M8" s="8">
        <f>IF(COUNTA(M4:M7)=0,"",COUNTA(M4:M7)-CEILING(COUNTA(M4:M7)*0.3,1))</f>
        <v/>
      </c>
      <c r="N8" s="9" t="n"/>
      <c r="O8" s="9" t="n"/>
      <c r="P8" s="9" t="n"/>
      <c r="Q8" s="9" t="n"/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信用卡-菁卡拉新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速讯达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IF(COUNTA(B4:M4)&lt;3,"",IF(SUMPRODUCT((B4:M4&lt;&gt;"")*(B4:M4&gt;B12:M12))&gt;=3,"⚠ 存在后30%",""))</f>
        <v/>
      </c>
      <c r="O4" s="5">
        <f>SUMPRODUCT((B4:M4&lt;&gt;"")*(B4:M4&gt;B12:M12))</f>
        <v/>
      </c>
      <c r="P4" s="6">
        <f>IF(O4&gt;=2,"⚠ 2次及以上","")</f>
        <v/>
      </c>
      <c r="Q4" s="6">
        <f>IF(COUNTA(B4:M4)&lt;2,"",IF(SUMPRODUCT((B4:M4&lt;&gt;"")*(B4:M4=8)*(C4:N4&lt;&gt;"")*(C4:N4=8))&gt;=1,"⚠ 连续末位",""))</f>
        <v/>
      </c>
    </row>
    <row r="5">
      <c r="A5" s="3" t="inlineStr">
        <is>
          <t>中弘智享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IF(COUNTA(B5:M5)&lt;3,"",IF(SUMPRODUCT((B5:M5&lt;&gt;"")*(B5:M5&gt;B12:M12))&gt;=3,"⚠ 存在后30%",""))</f>
        <v/>
      </c>
      <c r="O5" s="5">
        <f>SUMPRODUCT((B5:M5&lt;&gt;"")*(B5:M5&gt;B12:M12))</f>
        <v/>
      </c>
      <c r="P5" s="6">
        <f>IF(O5&gt;=2,"⚠ 2次及以上","")</f>
        <v/>
      </c>
      <c r="Q5" s="6">
        <f>IF(COUNTA(B5:M5)&lt;2,"",IF(SUMPRODUCT((B5:M5&lt;&gt;"")*(B5:M5=8)*(C5:N5&lt;&gt;"")*(C5:N5=8))&gt;=1,"⚠ 连续末位",""))</f>
        <v/>
      </c>
    </row>
    <row r="6">
      <c r="A6" s="3" t="inlineStr">
        <is>
          <t>艾斯欧艾斯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IF(COUNTA(B6:M6)&lt;3,"",IF(SUMPRODUCT((B6:M6&lt;&gt;"")*(B6:M6&gt;B12:M12))&gt;=3,"⚠ 存在后30%",""))</f>
        <v/>
      </c>
      <c r="O6" s="5">
        <f>SUMPRODUCT((B6:M6&lt;&gt;"")*(B6:M6&gt;B12:M12))</f>
        <v/>
      </c>
      <c r="P6" s="6">
        <f>IF(O6&gt;=2,"⚠ 2次及以上","")</f>
        <v/>
      </c>
      <c r="Q6" s="6">
        <f>IF(COUNTA(B6:M6)&lt;2,"",IF(SUMPRODUCT((B6:M6&lt;&gt;"")*(B6:M6=8)*(C6:N6&lt;&gt;"")*(C6:N6=8))&gt;=1,"⚠ 连续末位",""))</f>
        <v/>
      </c>
    </row>
    <row r="7">
      <c r="A7" s="3" t="inlineStr">
        <is>
          <t>靖涵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IF(COUNTA(B7:M7)&lt;3,"",IF(SUMPRODUCT((B7:M7&lt;&gt;"")*(B7:M7&gt;B12:M12))&gt;=3,"⚠ 存在后30%",""))</f>
        <v/>
      </c>
      <c r="O7" s="5">
        <f>SUMPRODUCT((B7:M7&lt;&gt;"")*(B7:M7&gt;B12:M12))</f>
        <v/>
      </c>
      <c r="P7" s="6">
        <f>IF(O7&gt;=2,"⚠ 2次及以上","")</f>
        <v/>
      </c>
      <c r="Q7" s="6">
        <f>IF(COUNTA(B7:M7)&lt;2,"",IF(SUMPRODUCT((B7:M7&lt;&gt;"")*(B7:M7=8)*(C7:N7&lt;&gt;"")*(C7:N7=8))&gt;=1,"⚠ 连续末位",""))</f>
        <v/>
      </c>
    </row>
    <row r="8">
      <c r="A8" s="3" t="inlineStr">
        <is>
          <t>汇讯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IF(COUNTA(B8:M8)&lt;3,"",IF(SUMPRODUCT((B8:M8&lt;&gt;"")*(B8:M8&gt;B12:M12))&gt;=3,"⚠ 存在后30%",""))</f>
        <v/>
      </c>
      <c r="O8" s="5">
        <f>SUMPRODUCT((B8:M8&lt;&gt;"")*(B8:M8&gt;B12:M12))</f>
        <v/>
      </c>
      <c r="P8" s="6">
        <f>IF(O8&gt;=2,"⚠ 2次及以上","")</f>
        <v/>
      </c>
      <c r="Q8" s="6">
        <f>IF(COUNTA(B8:M8)&lt;2,"",IF(SUMPRODUCT((B8:M8&lt;&gt;"")*(B8:M8=8)*(C8:N8&lt;&gt;"")*(C8:N8=8))&gt;=1,"⚠ 连续末位",""))</f>
        <v/>
      </c>
    </row>
    <row r="9">
      <c r="A9" s="3" t="inlineStr">
        <is>
          <t>创博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IF(COUNTA(B9:M9)&lt;3,"",IF(SUMPRODUCT((B9:M9&lt;&gt;"")*(B9:M9&gt;B12:M12))&gt;=3,"⚠ 存在后30%",""))</f>
        <v/>
      </c>
      <c r="O9" s="5">
        <f>SUMPRODUCT((B9:M9&lt;&gt;"")*(B9:M9&gt;B12:M12))</f>
        <v/>
      </c>
      <c r="P9" s="6">
        <f>IF(O9&gt;=2,"⚠ 2次及以上","")</f>
        <v/>
      </c>
      <c r="Q9" s="6">
        <f>IF(COUNTA(B9:M9)&lt;2,"",IF(SUMPRODUCT((B9:M9&lt;&gt;"")*(B9:M9=8)*(C9:N9&lt;&gt;"")*(C9:N9=8))&gt;=1,"⚠ 连续末位",""))</f>
        <v/>
      </c>
    </row>
    <row r="10">
      <c r="A10" s="3" t="inlineStr">
        <is>
          <t>拓银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>
        <f>IF(COUNTA(B10:M10)&lt;3,"",IF(SUMPRODUCT((B10:M10&lt;&gt;"")*(B10:M10&gt;B12:M12))&gt;=3,"⚠ 存在后30%",""))</f>
        <v/>
      </c>
      <c r="O10" s="5">
        <f>SUMPRODUCT((B10:M10&lt;&gt;"")*(B10:M10&gt;B12:M12))</f>
        <v/>
      </c>
      <c r="P10" s="6">
        <f>IF(O10&gt;=2,"⚠ 2次及以上","")</f>
        <v/>
      </c>
      <c r="Q10" s="6">
        <f>IF(COUNTA(B10:M10)&lt;2,"",IF(SUMPRODUCT((B10:M10&lt;&gt;"")*(B10:M10=8)*(C10:N10&lt;&gt;"")*(C10:N10=8))&gt;=1,"⚠ 连续末位",""))</f>
        <v/>
      </c>
    </row>
    <row r="11">
      <c r="A11" s="3" t="inlineStr">
        <is>
          <t>华道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IF(COUNTA(B11:M11)&lt;3,"",IF(SUMPRODUCT((B11:M11&lt;&gt;"")*(B11:M11&gt;B12:M12))&gt;=3,"⚠ 存在后30%",""))</f>
        <v/>
      </c>
      <c r="O11" s="5">
        <f>SUMPRODUCT((B11:M11&lt;&gt;"")*(B11:M11&gt;B12:M12))</f>
        <v/>
      </c>
      <c r="P11" s="6">
        <f>IF(O11&gt;=2,"⚠ 2次及以上","")</f>
        <v/>
      </c>
      <c r="Q11" s="6">
        <f>IF(COUNTA(B11:M11)&lt;2,"",IF(SUMPRODUCT((B11:M11&lt;&gt;"")*(B11:M11=8)*(C11:N11&lt;&gt;"")*(C11:N11=8))&gt;=1,"⚠ 连续末位",""))</f>
        <v/>
      </c>
    </row>
    <row r="12">
      <c r="A12" s="7" t="inlineStr">
        <is>
          <t>后30%阈值(排名&gt;此值)</t>
        </is>
      </c>
      <c r="B12" s="8">
        <f>IF(COUNTA(B4:B11)=0,"",COUNTA(B4:B11)-CEILING(COUNTA(B4:B11)*0.3,1))</f>
        <v/>
      </c>
      <c r="C12" s="8">
        <f>IF(COUNTA(C4:C11)=0,"",COUNTA(C4:C11)-CEILING(COUNTA(C4:C11)*0.3,1))</f>
        <v/>
      </c>
      <c r="D12" s="8">
        <f>IF(COUNTA(D4:D11)=0,"",COUNTA(D4:D11)-CEILING(COUNTA(D4:D11)*0.3,1))</f>
        <v/>
      </c>
      <c r="E12" s="8">
        <f>IF(COUNTA(E4:E11)=0,"",COUNTA(E4:E11)-CEILING(COUNTA(E4:E11)*0.3,1))</f>
        <v/>
      </c>
      <c r="F12" s="8">
        <f>IF(COUNTA(F4:F11)=0,"",COUNTA(F4:F11)-CEILING(COUNTA(F4:F11)*0.3,1))</f>
        <v/>
      </c>
      <c r="G12" s="8">
        <f>IF(COUNTA(G4:G11)=0,"",COUNTA(G4:G11)-CEILING(COUNTA(G4:G11)*0.3,1))</f>
        <v/>
      </c>
      <c r="H12" s="8">
        <f>IF(COUNTA(H4:H11)=0,"",COUNTA(H4:H11)-CEILING(COUNTA(H4:H11)*0.3,1))</f>
        <v/>
      </c>
      <c r="I12" s="8">
        <f>IF(COUNTA(I4:I11)=0,"",COUNTA(I4:I11)-CEILING(COUNTA(I4:I11)*0.3,1))</f>
        <v/>
      </c>
      <c r="J12" s="8">
        <f>IF(COUNTA(J4:J11)=0,"",COUNTA(J4:J11)-CEILING(COUNTA(J4:J11)*0.3,1))</f>
        <v/>
      </c>
      <c r="K12" s="8">
        <f>IF(COUNTA(K4:K11)=0,"",COUNTA(K4:K11)-CEILING(COUNTA(K4:K11)*0.3,1))</f>
        <v/>
      </c>
      <c r="L12" s="8">
        <f>IF(COUNTA(L4:L11)=0,"",COUNTA(L4:L11)-CEILING(COUNTA(L4:L11)*0.3,1))</f>
        <v/>
      </c>
      <c r="M12" s="8">
        <f>IF(COUNTA(M4:M11)=0,"",COUNTA(M4:M11)-CEILING(COUNTA(M4:M11)*0.3,1))</f>
        <v/>
      </c>
      <c r="N12" s="9" t="n"/>
      <c r="O12" s="9" t="n"/>
      <c r="P12" s="9" t="n"/>
      <c r="Q12" s="9" t="n"/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企业主贷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中乾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IF(COUNTA(B4:M4)&lt;3,"",IF(SUMPRODUCT((B4:M4&lt;&gt;"")*(B4:M4&gt;B9:M9))&gt;=3,"⚠ 存在后30%",""))</f>
        <v/>
      </c>
      <c r="O4" s="5">
        <f>SUMPRODUCT((B4:M4&lt;&gt;"")*(B4:M4&gt;B9:M9))</f>
        <v/>
      </c>
      <c r="P4" s="6">
        <f>IF(O4&gt;=2,"⚠ 2次及以上","")</f>
        <v/>
      </c>
      <c r="Q4" s="6">
        <f>IF(COUNTA(B4:M4)&lt;2,"",IF(SUMPRODUCT((B4:M4&lt;&gt;"")*(B4:M4=5)*(C4:N4&lt;&gt;"")*(C4:N4=5))&gt;=1,"⚠ 连续末位",""))</f>
        <v/>
      </c>
    </row>
    <row r="5">
      <c r="A5" s="3" t="inlineStr">
        <is>
          <t>锦瑞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IF(COUNTA(B5:M5)&lt;3,"",IF(SUMPRODUCT((B5:M5&lt;&gt;"")*(B5:M5&gt;B9:M9))&gt;=3,"⚠ 存在后30%",""))</f>
        <v/>
      </c>
      <c r="O5" s="5">
        <f>SUMPRODUCT((B5:M5&lt;&gt;"")*(B5:M5&gt;B9:M9))</f>
        <v/>
      </c>
      <c r="P5" s="6">
        <f>IF(O5&gt;=2,"⚠ 2次及以上","")</f>
        <v/>
      </c>
      <c r="Q5" s="6">
        <f>IF(COUNTA(B5:M5)&lt;2,"",IF(SUMPRODUCT((B5:M5&lt;&gt;"")*(B5:M5=5)*(C5:N5&lt;&gt;"")*(C5:N5=5))&gt;=1,"⚠ 连续末位",""))</f>
        <v/>
      </c>
    </row>
    <row r="6">
      <c r="A6" s="3" t="inlineStr">
        <is>
          <t>秦冀德辰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IF(COUNTA(B6:M6)&lt;3,"",IF(SUMPRODUCT((B6:M6&lt;&gt;"")*(B6:M6&gt;B9:M9))&gt;=3,"⚠ 存在后30%",""))</f>
        <v/>
      </c>
      <c r="O6" s="5">
        <f>SUMPRODUCT((B6:M6&lt;&gt;"")*(B6:M6&gt;B9:M9))</f>
        <v/>
      </c>
      <c r="P6" s="6">
        <f>IF(O6&gt;=2,"⚠ 2次及以上","")</f>
        <v/>
      </c>
      <c r="Q6" s="6">
        <f>IF(COUNTA(B6:M6)&lt;2,"",IF(SUMPRODUCT((B6:M6&lt;&gt;"")*(B6:M6=5)*(C6:N6&lt;&gt;"")*(C6:N6=5))&gt;=1,"⚠ 连续末位",""))</f>
        <v/>
      </c>
    </row>
    <row r="7">
      <c r="A7" s="3" t="inlineStr">
        <is>
          <t>小蜜蜂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IF(COUNTA(B7:M7)&lt;3,"",IF(SUMPRODUCT((B7:M7&lt;&gt;"")*(B7:M7&gt;B9:M9))&gt;=3,"⚠ 存在后30%",""))</f>
        <v/>
      </c>
      <c r="O7" s="5">
        <f>SUMPRODUCT((B7:M7&lt;&gt;"")*(B7:M7&gt;B9:M9))</f>
        <v/>
      </c>
      <c r="P7" s="6">
        <f>IF(O7&gt;=2,"⚠ 2次及以上","")</f>
        <v/>
      </c>
      <c r="Q7" s="6">
        <f>IF(COUNTA(B7:M7)&lt;2,"",IF(SUMPRODUCT((B7:M7&lt;&gt;"")*(B7:M7=5)*(C7:N7&lt;&gt;"")*(C7:N7=5))&gt;=1,"⚠ 连续末位",""))</f>
        <v/>
      </c>
    </row>
    <row r="8">
      <c r="A8" s="3" t="inlineStr">
        <is>
          <t>衍生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IF(COUNTA(B8:M8)&lt;3,"",IF(SUMPRODUCT((B8:M8&lt;&gt;"")*(B8:M8&gt;B9:M9))&gt;=3,"⚠ 存在后30%",""))</f>
        <v/>
      </c>
      <c r="O8" s="5">
        <f>SUMPRODUCT((B8:M8&lt;&gt;"")*(B8:M8&gt;B9:M9))</f>
        <v/>
      </c>
      <c r="P8" s="6">
        <f>IF(O8&gt;=2,"⚠ 2次及以上","")</f>
        <v/>
      </c>
      <c r="Q8" s="6">
        <f>IF(COUNTA(B8:M8)&lt;2,"",IF(SUMPRODUCT((B8:M8&lt;&gt;"")*(B8:M8=5)*(C8:N8&lt;&gt;"")*(C8:N8=5))&gt;=1,"⚠ 连续末位",""))</f>
        <v/>
      </c>
    </row>
    <row r="9">
      <c r="A9" s="7" t="inlineStr">
        <is>
          <t>后30%阈值(排名&gt;此值)</t>
        </is>
      </c>
      <c r="B9" s="8">
        <f>IF(COUNTA(B4:B8)=0,"",COUNTA(B4:B8)-CEILING(COUNTA(B4:B8)*0.3,1))</f>
        <v/>
      </c>
      <c r="C9" s="8">
        <f>IF(COUNTA(C4:C8)=0,"",COUNTA(C4:C8)-CEILING(COUNTA(C4:C8)*0.3,1))</f>
        <v/>
      </c>
      <c r="D9" s="8">
        <f>IF(COUNTA(D4:D8)=0,"",COUNTA(D4:D8)-CEILING(COUNTA(D4:D8)*0.3,1))</f>
        <v/>
      </c>
      <c r="E9" s="8">
        <f>IF(COUNTA(E4:E8)=0,"",COUNTA(E4:E8)-CEILING(COUNTA(E4:E8)*0.3,1))</f>
        <v/>
      </c>
      <c r="F9" s="8">
        <f>IF(COUNTA(F4:F8)=0,"",COUNTA(F4:F8)-CEILING(COUNTA(F4:F8)*0.3,1))</f>
        <v/>
      </c>
      <c r="G9" s="8">
        <f>IF(COUNTA(G4:G8)=0,"",COUNTA(G4:G8)-CEILING(COUNTA(G4:G8)*0.3,1))</f>
        <v/>
      </c>
      <c r="H9" s="8">
        <f>IF(COUNTA(H4:H8)=0,"",COUNTA(H4:H8)-CEILING(COUNTA(H4:H8)*0.3,1))</f>
        <v/>
      </c>
      <c r="I9" s="8">
        <f>IF(COUNTA(I4:I8)=0,"",COUNTA(I4:I8)-CEILING(COUNTA(I4:I8)*0.3,1))</f>
        <v/>
      </c>
      <c r="J9" s="8">
        <f>IF(COUNTA(J4:J8)=0,"",COUNTA(J4:J8)-CEILING(COUNTA(J4:J8)*0.3,1))</f>
        <v/>
      </c>
      <c r="K9" s="8">
        <f>IF(COUNTA(K4:K8)=0,"",COUNTA(K4:K8)-CEILING(COUNTA(K4:K8)*0.3,1))</f>
        <v/>
      </c>
      <c r="L9" s="8">
        <f>IF(COUNTA(L4:L8)=0,"",COUNTA(L4:L8)-CEILING(COUNTA(L4:L8)*0.3,1))</f>
        <v/>
      </c>
      <c r="M9" s="8">
        <f>IF(COUNTA(M4:M8)=0,"",COUNTA(M4:M8)-CEILING(COUNTA(M4:M8)*0.3,1))</f>
        <v/>
      </c>
      <c r="N9" s="9" t="n"/>
      <c r="O9" s="9" t="n"/>
      <c r="P9" s="9" t="n"/>
      <c r="Q9" s="9" t="n"/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6" customWidth="1" min="15" max="15"/>
    <col width="18" customWidth="1" min="16" max="16"/>
    <col width="16" customWidth="1" min="17" max="17"/>
  </cols>
  <sheetData>
    <row r="1" ht="36" customHeight="1">
      <c r="A1" s="1" t="inlineStr">
        <is>
          <t>主贷大额 — 年度赛马排名总览（2025年）</t>
        </is>
      </c>
    </row>
    <row r="2" ht="6" customHeight="1"/>
    <row r="3" ht="32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近3月≥2次后30%</t>
        </is>
      </c>
      <c r="Q3" s="2" t="inlineStr">
        <is>
          <t>连续末位预警</t>
        </is>
      </c>
    </row>
    <row r="4">
      <c r="A4" s="3" t="inlineStr">
        <is>
          <t>中乾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>
        <f>IF(COUNTA(B4:M4)&lt;3,"",IF(SUMPRODUCT((B4:M4&lt;&gt;"")*(B4:M4&gt;B12:M12))&gt;=3,"⚠ 存在后30%",""))</f>
        <v/>
      </c>
      <c r="O4" s="5">
        <f>SUMPRODUCT((B4:M4&lt;&gt;"")*(B4:M4&gt;B12:M12))</f>
        <v/>
      </c>
      <c r="P4" s="6">
        <f>IF(O4&gt;=2,"⚠ 2次及以上","")</f>
        <v/>
      </c>
      <c r="Q4" s="6">
        <f>IF(COUNTA(B4:M4)&lt;2,"",IF(SUMPRODUCT((B4:M4&lt;&gt;"")*(B4:M4=8)*(C4:N4&lt;&gt;"")*(C4:N4=8))&gt;=1,"⚠ 连续末位",""))</f>
        <v/>
      </c>
    </row>
    <row r="5">
      <c r="A5" s="3" t="inlineStr">
        <is>
          <t>锦瑞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IF(COUNTA(B5:M5)&lt;3,"",IF(SUMPRODUCT((B5:M5&lt;&gt;"")*(B5:M5&gt;B12:M12))&gt;=3,"⚠ 存在后30%",""))</f>
        <v/>
      </c>
      <c r="O5" s="5">
        <f>SUMPRODUCT((B5:M5&lt;&gt;"")*(B5:M5&gt;B12:M12))</f>
        <v/>
      </c>
      <c r="P5" s="6">
        <f>IF(O5&gt;=2,"⚠ 2次及以上","")</f>
        <v/>
      </c>
      <c r="Q5" s="6">
        <f>IF(COUNTA(B5:M5)&lt;2,"",IF(SUMPRODUCT((B5:M5&lt;&gt;"")*(B5:M5=8)*(C5:N5&lt;&gt;"")*(C5:N5=8))&gt;=1,"⚠ 连续末位",""))</f>
        <v/>
      </c>
    </row>
    <row r="6">
      <c r="A6" s="3" t="inlineStr">
        <is>
          <t>秦冀德辰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>
        <f>IF(COUNTA(B6:M6)&lt;3,"",IF(SUMPRODUCT((B6:M6&lt;&gt;"")*(B6:M6&gt;B12:M12))&gt;=3,"⚠ 存在后30%",""))</f>
        <v/>
      </c>
      <c r="O6" s="5">
        <f>SUMPRODUCT((B6:M6&lt;&gt;"")*(B6:M6&gt;B12:M12))</f>
        <v/>
      </c>
      <c r="P6" s="6">
        <f>IF(O6&gt;=2,"⚠ 2次及以上","")</f>
        <v/>
      </c>
      <c r="Q6" s="6">
        <f>IF(COUNTA(B6:M6)&lt;2,"",IF(SUMPRODUCT((B6:M6&lt;&gt;"")*(B6:M6=8)*(C6:N6&lt;&gt;"")*(C6:N6=8))&gt;=1,"⚠ 连续末位",""))</f>
        <v/>
      </c>
    </row>
    <row r="7">
      <c r="A7" s="3" t="inlineStr">
        <is>
          <t>新动力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IF(COUNTA(B7:M7)&lt;3,"",IF(SUMPRODUCT((B7:M7&lt;&gt;"")*(B7:M7&gt;B12:M12))&gt;=3,"⚠ 存在后30%",""))</f>
        <v/>
      </c>
      <c r="O7" s="5">
        <f>SUMPRODUCT((B7:M7&lt;&gt;"")*(B7:M7&gt;B12:M12))</f>
        <v/>
      </c>
      <c r="P7" s="6">
        <f>IF(O7&gt;=2,"⚠ 2次及以上","")</f>
        <v/>
      </c>
      <c r="Q7" s="6">
        <f>IF(COUNTA(B7:M7)&lt;2,"",IF(SUMPRODUCT((B7:M7&lt;&gt;"")*(B7:M7=8)*(C7:N7&lt;&gt;"")*(C7:N7=8))&gt;=1,"⚠ 连续末位",""))</f>
        <v/>
      </c>
    </row>
    <row r="8">
      <c r="A8" s="3" t="inlineStr">
        <is>
          <t>海腾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IF(COUNTA(B8:M8)&lt;3,"",IF(SUMPRODUCT((B8:M8&lt;&gt;"")*(B8:M8&gt;B12:M12))&gt;=3,"⚠ 存在后30%",""))</f>
        <v/>
      </c>
      <c r="O8" s="5">
        <f>SUMPRODUCT((B8:M8&lt;&gt;"")*(B8:M8&gt;B12:M12))</f>
        <v/>
      </c>
      <c r="P8" s="6">
        <f>IF(O8&gt;=2,"⚠ 2次及以上","")</f>
        <v/>
      </c>
      <c r="Q8" s="6">
        <f>IF(COUNTA(B8:M8)&lt;2,"",IF(SUMPRODUCT((B8:M8&lt;&gt;"")*(B8:M8=8)*(C8:N8&lt;&gt;"")*(C8:N8=8))&gt;=1,"⚠ 连续末位",""))</f>
        <v/>
      </c>
    </row>
    <row r="9">
      <c r="A9" s="3" t="inlineStr">
        <is>
          <t>汇讯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IF(COUNTA(B9:M9)&lt;3,"",IF(SUMPRODUCT((B9:M9&lt;&gt;"")*(B9:M9&gt;B12:M12))&gt;=3,"⚠ 存在后30%",""))</f>
        <v/>
      </c>
      <c r="O9" s="5">
        <f>SUMPRODUCT((B9:M9&lt;&gt;"")*(B9:M9&gt;B12:M12))</f>
        <v/>
      </c>
      <c r="P9" s="6">
        <f>IF(O9&gt;=2,"⚠ 2次及以上","")</f>
        <v/>
      </c>
      <c r="Q9" s="6">
        <f>IF(COUNTA(B9:M9)&lt;2,"",IF(SUMPRODUCT((B9:M9&lt;&gt;"")*(B9:M9=8)*(C9:N9&lt;&gt;"")*(C9:N9=8))&gt;=1,"⚠ 连续末位",""))</f>
        <v/>
      </c>
    </row>
    <row r="10">
      <c r="A10" s="3" t="inlineStr">
        <is>
          <t>九通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>
        <f>IF(COUNTA(B10:M10)&lt;3,"",IF(SUMPRODUCT((B10:M10&lt;&gt;"")*(B10:M10&gt;B12:M12))&gt;=3,"⚠ 存在后30%",""))</f>
        <v/>
      </c>
      <c r="O10" s="5">
        <f>SUMPRODUCT((B10:M10&lt;&gt;"")*(B10:M10&gt;B12:M12))</f>
        <v/>
      </c>
      <c r="P10" s="6">
        <f>IF(O10&gt;=2,"⚠ 2次及以上","")</f>
        <v/>
      </c>
      <c r="Q10" s="6">
        <f>IF(COUNTA(B10:M10)&lt;2,"",IF(SUMPRODUCT((B10:M10&lt;&gt;"")*(B10:M10=8)*(C10:N10&lt;&gt;"")*(C10:N10=8))&gt;=1,"⚠ 连续末位",""))</f>
        <v/>
      </c>
    </row>
    <row r="11">
      <c r="A11" s="3" t="inlineStr">
        <is>
          <t>速腾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IF(COUNTA(B11:M11)&lt;3,"",IF(SUMPRODUCT((B11:M11&lt;&gt;"")*(B11:M11&gt;B12:M12))&gt;=3,"⚠ 存在后30%",""))</f>
        <v/>
      </c>
      <c r="O11" s="5">
        <f>SUMPRODUCT((B11:M11&lt;&gt;"")*(B11:M11&gt;B12:M12))</f>
        <v/>
      </c>
      <c r="P11" s="6">
        <f>IF(O11&gt;=2,"⚠ 2次及以上","")</f>
        <v/>
      </c>
      <c r="Q11" s="6">
        <f>IF(COUNTA(B11:M11)&lt;2,"",IF(SUMPRODUCT((B11:M11&lt;&gt;"")*(B11:M11=8)*(C11:N11&lt;&gt;"")*(C11:N11=8))&gt;=1,"⚠ 连续末位",""))</f>
        <v/>
      </c>
    </row>
    <row r="12">
      <c r="A12" s="7" t="inlineStr">
        <is>
          <t>后30%阈值(排名&gt;此值)</t>
        </is>
      </c>
      <c r="B12" s="8">
        <f>IF(COUNTA(B4:B11)=0,"",COUNTA(B4:B11)-CEILING(COUNTA(B4:B11)*0.3,1))</f>
        <v/>
      </c>
      <c r="C12" s="8">
        <f>IF(COUNTA(C4:C11)=0,"",COUNTA(C4:C11)-CEILING(COUNTA(C4:C11)*0.3,1))</f>
        <v/>
      </c>
      <c r="D12" s="8">
        <f>IF(COUNTA(D4:D11)=0,"",COUNTA(D4:D11)-CEILING(COUNTA(D4:D11)*0.3,1))</f>
        <v/>
      </c>
      <c r="E12" s="8">
        <f>IF(COUNTA(E4:E11)=0,"",COUNTA(E4:E11)-CEILING(COUNTA(E4:E11)*0.3,1))</f>
        <v/>
      </c>
      <c r="F12" s="8">
        <f>IF(COUNTA(F4:F11)=0,"",COUNTA(F4:F11)-CEILING(COUNTA(F4:F11)*0.3,1))</f>
        <v/>
      </c>
      <c r="G12" s="8">
        <f>IF(COUNTA(G4:G11)=0,"",COUNTA(G4:G11)-CEILING(COUNTA(G4:G11)*0.3,1))</f>
        <v/>
      </c>
      <c r="H12" s="8">
        <f>IF(COUNTA(H4:H11)=0,"",COUNTA(H4:H11)-CEILING(COUNTA(H4:H11)*0.3,1))</f>
        <v/>
      </c>
      <c r="I12" s="8">
        <f>IF(COUNTA(I4:I11)=0,"",COUNTA(I4:I11)-CEILING(COUNTA(I4:I11)*0.3,1))</f>
        <v/>
      </c>
      <c r="J12" s="8">
        <f>IF(COUNTA(J4:J11)=0,"",COUNTA(J4:J11)-CEILING(COUNTA(J4:J11)*0.3,1))</f>
        <v/>
      </c>
      <c r="K12" s="8">
        <f>IF(COUNTA(K4:K11)=0,"",COUNTA(K4:K11)-CEILING(COUNTA(K4:K11)*0.3,1))</f>
        <v/>
      </c>
      <c r="L12" s="8">
        <f>IF(COUNTA(L4:L11)=0,"",COUNTA(L4:L11)-CEILING(COUNTA(L4:L11)*0.3,1))</f>
        <v/>
      </c>
      <c r="M12" s="8">
        <f>IF(COUNTA(M4:M11)=0,"",COUNTA(M4:M11)-CEILING(COUNTA(M4:M11)*0.3,1))</f>
        <v/>
      </c>
      <c r="N12" s="9" t="n"/>
      <c r="O12" s="9" t="n"/>
      <c r="P12" s="9" t="n"/>
      <c r="Q12" s="9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2026-04-21T07:04:48Z</dcterms:created>
  <dcterms:modified xmlns:dcterms="http://purl.org/dc/terms/" xmlns:xsi="http://www.w3.org/2001/XMLSchema-instance" xsi:type="dcterms:W3CDTF">2026-04-21T07:04:48Z</dcterms:modified>
</cp:coreProperties>
</file>