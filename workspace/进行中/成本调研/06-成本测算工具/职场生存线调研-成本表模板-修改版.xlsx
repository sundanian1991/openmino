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sundanian/Documents/projects/ai-agents/my-agent/workspace/"/>
    </mc:Choice>
  </mc:AlternateContent>
  <xr:revisionPtr revIDLastSave="0" documentId="13_ncr:1_{F9FDD27C-BC2C-7E47-904D-875209AAE7D5}" xr6:coauthVersionLast="47" xr6:coauthVersionMax="47" xr10:uidLastSave="{00000000-0000-0000-0000-000000000000}"/>
  <bookViews>
    <workbookView xWindow="0" yWindow="760" windowWidth="29840" windowHeight="16780" xr2:uid="{00000000-000D-0000-FFFF-FFFF00000000}"/>
  </bookViews>
  <sheets>
    <sheet name="成本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1" i="1" l="1"/>
  <c r="F29" i="1"/>
  <c r="F30" i="1"/>
  <c r="F31" i="1"/>
  <c r="F32" i="1"/>
  <c r="B32" i="1"/>
  <c r="B63" i="1"/>
  <c r="B55" i="1"/>
  <c r="B54" i="1"/>
  <c r="F48" i="1"/>
  <c r="B48" i="1"/>
  <c r="B46" i="1"/>
  <c r="F46" i="1" s="1"/>
  <c r="F45" i="1"/>
  <c r="F44" i="1"/>
  <c r="F43" i="1"/>
  <c r="B39" i="1"/>
  <c r="F39" i="1" s="1"/>
  <c r="F38" i="1"/>
  <c r="F37" i="1"/>
  <c r="F36" i="1"/>
  <c r="F35" i="1"/>
  <c r="B25" i="1"/>
  <c r="F25" i="1" s="1"/>
  <c r="B53" i="1" s="1"/>
  <c r="F24" i="1"/>
  <c r="F23" i="1"/>
  <c r="F22" i="1"/>
  <c r="F21" i="1"/>
  <c r="F20" i="1"/>
  <c r="B59" i="1"/>
</calcChain>
</file>

<file path=xl/sharedStrings.xml><?xml version="1.0" encoding="utf-8"?>
<sst xmlns="http://schemas.openxmlformats.org/spreadsheetml/2006/main" count="126" uniqueCount="75">
  <si>
    <t>业务线</t>
  </si>
  <si>
    <t>填写日期</t>
  </si>
  <si>
    <t>金条-首贷</t>
  </si>
  <si>
    <t>一、收入端</t>
  </si>
  <si>
    <t>京东当月结算金额（元）</t>
  </si>
  <si>
    <t>其中：该业务线结算金额（元）</t>
  </si>
  <si>
    <t>二、人力成本（该业务线）</t>
  </si>
  <si>
    <t>坐席人数</t>
  </si>
  <si>
    <t xml:space="preserve">  - 全职人数</t>
  </si>
  <si>
    <t xml:space="preserve">  - 兼职人数</t>
  </si>
  <si>
    <t>坐席平均税前薪资（元/月）</t>
  </si>
  <si>
    <t>坐席平均税后到手（元/月）</t>
  </si>
  <si>
    <t>社保公积金-公司承担（元/月/人）</t>
  </si>
  <si>
    <t>管理人员薪资分摊（元/月）</t>
  </si>
  <si>
    <t>三、职场运营成本（全职场分摊）</t>
  </si>
  <si>
    <t>成本项目</t>
  </si>
  <si>
    <t>金额（元/月）</t>
  </si>
  <si>
    <t>÷</t>
  </si>
  <si>
    <t>总坐席数</t>
  </si>
  <si>
    <t>=</t>
  </si>
  <si>
    <t>人均（元/月/人）</t>
  </si>
  <si>
    <t>1. 房租</t>
  </si>
  <si>
    <t>2. 水电物业</t>
  </si>
  <si>
    <t>3. 网费通讯</t>
  </si>
  <si>
    <t>4. 硬件摊销</t>
  </si>
  <si>
    <t>5. 其他运营</t>
  </si>
  <si>
    <t>职场运营成本小计</t>
  </si>
  <si>
    <t>四、激励成本（该业务线）</t>
  </si>
  <si>
    <t>坐席数</t>
  </si>
  <si>
    <t>1. 节日发放（按年分摊）</t>
  </si>
  <si>
    <t>2. 奖金提成</t>
  </si>
  <si>
    <t>3. 团建活动（按年分摊）</t>
  </si>
  <si>
    <t>五、业务直接成本（该业务线）</t>
  </si>
  <si>
    <t>1. 电话费/线路费</t>
  </si>
  <si>
    <t>2. 系统使用费（CRM/拨号系统）</t>
  </si>
  <si>
    <t>3. 数据采购费（如有）</t>
  </si>
  <si>
    <t>4. 质检成本</t>
  </si>
  <si>
    <t>业务直接成本小计</t>
  </si>
  <si>
    <t>六、其他隐性成本</t>
  </si>
  <si>
    <t>1. 招聘培训成本（按年分摊）</t>
  </si>
  <si>
    <t>2. 税费（增值税及附加，约6.7%）</t>
  </si>
  <si>
    <t>3. 账期资金成本（垫资利息）</t>
  </si>
  <si>
    <t>其他成本小计</t>
  </si>
  <si>
    <t>激励成本小计</t>
  </si>
  <si>
    <t>七、计算验证（我方填写）</t>
  </si>
  <si>
    <t>项目</t>
  </si>
  <si>
    <t>金额</t>
  </si>
  <si>
    <t>说明</t>
  </si>
  <si>
    <t>京东结算金额（元）</t>
  </si>
  <si>
    <t>减去：运营成本（元）</t>
  </si>
  <si>
    <t>运营人均×50人</t>
  </si>
  <si>
    <t>减去：激励成本（元）</t>
  </si>
  <si>
    <t>激励小计</t>
  </si>
  <si>
    <t>减去：供应商10%利润（元）</t>
  </si>
  <si>
    <t>结算×10%</t>
  </si>
  <si>
    <t>减去：业务直接成本（元）</t>
  </si>
  <si>
    <t>减去：其他隐性成本（元）</t>
  </si>
  <si>
    <t>可用于坐席薪酬（元）</t>
  </si>
  <si>
    <t>÷ 坐席数</t>
  </si>
  <si>
    <t>＝ 坐席合理生存收入（元/月/人）</t>
  </si>
  <si>
    <t>实际坐席税后到手（元/月/人）</t>
  </si>
  <si>
    <t>差异（元）</t>
  </si>
  <si>
    <t>八、补充说明</t>
  </si>
  <si>
    <t xml:space="preserve">是否有其他成本项需要说明？
</t>
  </si>
  <si>
    <t>如数据有异常波动，请说明原因：</t>
  </si>
  <si>
    <t>填表说明：</t>
  </si>
  <si>
    <t>1. 请填写最近一个完整月份的数据</t>
  </si>
  <si>
    <t>2. 金额单位为元，保留整数</t>
  </si>
  <si>
    <t>3. 数据仅供内部分析使用，严格保密</t>
  </si>
  <si>
    <t>4. 如有疑问请联系：</t>
  </si>
  <si>
    <t>供应商公司名称</t>
    <phoneticPr fontId="2" type="noConversion"/>
  </si>
  <si>
    <t>城市</t>
    <phoneticPr fontId="2" type="noConversion"/>
  </si>
  <si>
    <t>数据月份（近3个月平均）</t>
    <phoneticPr fontId="2" type="noConversion"/>
  </si>
  <si>
    <t>职场调研 - 成本结构表</t>
    <phoneticPr fontId="2" type="noConversion"/>
  </si>
  <si>
    <t>激励成本小记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</si>
</sst>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宋体"/>
      <family val="2"/>
      <scheme val="minor"/>
    </font>
    <font>
      <b/>
      <sz val="10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18"/>
      <color rgb="FFFFFFFF"/>
      <name val="微软雅黑"/>
      <family val="2"/>
      <charset val="134"/>
    </font>
    <font>
      <sz val="10"/>
      <color rgb="FF333333"/>
      <name val="微软雅黑"/>
      <family val="2"/>
      <charset val="134"/>
    </font>
    <font>
      <sz val="10"/>
      <color rgb="FF2C3E50"/>
      <name val="Arial"/>
      <family val="2"/>
    </font>
    <font>
      <b/>
      <sz val="13"/>
      <color rgb="FF2C3E50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b/>
      <sz val="10"/>
      <color rgb="FF2C3E50"/>
      <name val="微软雅黑"/>
      <family val="2"/>
      <charset val="134"/>
    </font>
    <font>
      <b/>
      <sz val="11"/>
      <color rgb="FF2C3E50"/>
      <name val="Arial"/>
      <family val="2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  <font>
      <sz val="10"/>
      <color rgb="FF2C3E50"/>
      <name val="Microsoft YaHei"/>
      <family val="2"/>
      <charset val="134"/>
    </font>
  </fonts>
  <fills count="10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1251B"/>
      </patternFill>
    </fill>
    <fill>
      <patternFill patternType="solid">
        <fgColor rgb="FFEBF5FB"/>
      </patternFill>
    </fill>
    <fill>
      <patternFill patternType="solid">
        <fgColor rgb="FF5DADE2"/>
      </patternFill>
    </fill>
    <fill>
      <patternFill patternType="solid">
        <fgColor rgb="FFF8F9F9"/>
      </patternFill>
    </fill>
    <fill>
      <patternFill patternType="solid">
        <fgColor rgb="FFF39C12"/>
      </patternFill>
    </fill>
    <fill>
      <patternFill patternType="solid">
        <fgColor rgb="FF27AE60"/>
      </patternFill>
    </fill>
    <fill>
      <patternFill patternType="solid">
        <fgColor rgb="FFD3D3D3"/>
        <bgColor rgb="FFD3D3D3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4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0" fillId="4" borderId="0" xfId="0" applyFill="1"/>
    <xf numFmtId="3" fontId="5" fillId="0" borderId="2" xfId="0" applyNumberFormat="1" applyFont="1" applyBorder="1" applyAlignment="1">
      <alignment horizontal="right" vertical="center"/>
    </xf>
    <xf numFmtId="3" fontId="0" fillId="0" borderId="2" xfId="0" applyNumberFormat="1" applyBorder="1" applyAlignment="1">
      <alignment horizontal="center" vertical="center"/>
    </xf>
    <xf numFmtId="0" fontId="7" fillId="5" borderId="1" xfId="0" applyFont="1" applyFill="1" applyBorder="1"/>
    <xf numFmtId="0" fontId="8" fillId="6" borderId="3" xfId="0" applyFont="1" applyFill="1" applyBorder="1" applyAlignment="1">
      <alignment horizontal="left" vertical="center"/>
    </xf>
    <xf numFmtId="3" fontId="9" fillId="6" borderId="3" xfId="0" applyNumberFormat="1" applyFont="1" applyFill="1" applyBorder="1" applyAlignment="1">
      <alignment horizontal="right" vertical="center"/>
    </xf>
    <xf numFmtId="0" fontId="0" fillId="6" borderId="3" xfId="0" applyFill="1" applyBorder="1" applyAlignment="1">
      <alignment horizontal="center" vertical="center"/>
    </xf>
    <xf numFmtId="3" fontId="0" fillId="6" borderId="3" xfId="0" applyNumberFormat="1" applyFill="1" applyBorder="1" applyAlignment="1">
      <alignment horizontal="center" vertical="center"/>
    </xf>
    <xf numFmtId="3" fontId="5" fillId="6" borderId="3" xfId="0" applyNumberFormat="1" applyFont="1" applyFill="1" applyBorder="1" applyAlignment="1">
      <alignment horizontal="right" vertical="center"/>
    </xf>
    <xf numFmtId="0" fontId="0" fillId="6" borderId="3" xfId="0" applyFill="1" applyBorder="1" applyAlignment="1">
      <alignment horizontal="left" vertical="center"/>
    </xf>
    <xf numFmtId="0" fontId="7" fillId="7" borderId="1" xfId="0" applyFont="1" applyFill="1" applyBorder="1"/>
    <xf numFmtId="0" fontId="7" fillId="8" borderId="1" xfId="0" applyFont="1" applyFill="1" applyBorder="1"/>
    <xf numFmtId="0" fontId="5" fillId="6" borderId="3" xfId="0" applyFont="1" applyFill="1" applyBorder="1" applyAlignment="1">
      <alignment horizontal="right" vertical="center"/>
    </xf>
    <xf numFmtId="0" fontId="6" fillId="4" borderId="0" xfId="0" applyFont="1" applyFill="1" applyAlignment="1">
      <alignment horizontal="left" vertical="center"/>
    </xf>
    <xf numFmtId="0" fontId="10" fillId="0" borderId="0" xfId="0" applyFont="1"/>
    <xf numFmtId="0" fontId="11" fillId="9" borderId="0" xfId="0" applyFont="1" applyFill="1"/>
    <xf numFmtId="0" fontId="11" fillId="0" borderId="0" xfId="0" applyFont="1"/>
    <xf numFmtId="0" fontId="0" fillId="0" borderId="4" xfId="0" applyBorder="1"/>
    <xf numFmtId="0" fontId="0" fillId="0" borderId="5" xfId="0" applyBorder="1"/>
    <xf numFmtId="0" fontId="6" fillId="4" borderId="0" xfId="0" applyFont="1" applyFill="1" applyAlignment="1">
      <alignment horizontal="left" vertical="center"/>
    </xf>
    <xf numFmtId="0" fontId="0" fillId="0" borderId="0" xfId="0"/>
    <xf numFmtId="0" fontId="4" fillId="0" borderId="2" xfId="0" applyFont="1" applyBorder="1" applyAlignment="1">
      <alignment horizontal="left" vertical="center"/>
    </xf>
    <xf numFmtId="3" fontId="5" fillId="0" borderId="2" xfId="0" applyNumberFormat="1" applyFont="1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0" fillId="0" borderId="2" xfId="0" applyBorder="1" applyAlignment="1">
      <alignment horizontal="left" vertical="center"/>
    </xf>
    <xf numFmtId="0" fontId="8" fillId="6" borderId="3" xfId="0" applyFont="1" applyFill="1" applyBorder="1" applyAlignment="1">
      <alignment horizontal="left" vertical="center"/>
    </xf>
    <xf numFmtId="3" fontId="9" fillId="6" borderId="3" xfId="0" applyNumberFormat="1" applyFont="1" applyFill="1" applyBorder="1" applyAlignment="1">
      <alignment horizontal="right" vertical="center"/>
    </xf>
    <xf numFmtId="0" fontId="0" fillId="6" borderId="3" xfId="0" applyFill="1" applyBorder="1" applyAlignment="1">
      <alignment horizontal="center" vertical="center"/>
    </xf>
    <xf numFmtId="3" fontId="0" fillId="6" borderId="3" xfId="0" applyNumberFormat="1" applyFill="1" applyBorder="1" applyAlignment="1">
      <alignment horizontal="center" vertical="center"/>
    </xf>
    <xf numFmtId="3" fontId="5" fillId="6" borderId="3" xfId="0" applyNumberFormat="1" applyFont="1" applyFill="1" applyBorder="1" applyAlignment="1">
      <alignment horizontal="right" vertical="center"/>
    </xf>
    <xf numFmtId="0" fontId="0" fillId="6" borderId="3" xfId="0" applyFill="1" applyBorder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12" fillId="2" borderId="2" xfId="0" applyFont="1" applyFill="1" applyBorder="1" applyAlignment="1">
      <alignment horizontal="right" vertical="center"/>
    </xf>
    <xf numFmtId="0" fontId="4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73"/>
  <sheetViews>
    <sheetView tabSelected="1" topLeftCell="A38" workbookViewId="0">
      <selection activeCell="E57" sqref="E57"/>
    </sheetView>
  </sheetViews>
  <sheetFormatPr baseColWidth="10" defaultColWidth="8.83203125" defaultRowHeight="14"/>
  <cols>
    <col min="1" max="1" width="35" customWidth="1"/>
    <col min="2" max="2" width="18" customWidth="1"/>
    <col min="3" max="3" width="15" bestFit="1" customWidth="1"/>
    <col min="4" max="4" width="29.33203125" bestFit="1" customWidth="1"/>
    <col min="5" max="5" width="9" bestFit="1" customWidth="1"/>
    <col min="6" max="6" width="18" customWidth="1"/>
    <col min="7" max="7" width="14" customWidth="1"/>
    <col min="8" max="8" width="12" customWidth="1"/>
  </cols>
  <sheetData>
    <row r="1" spans="1:8" ht="40" customHeight="1">
      <c r="A1" s="43" t="s">
        <v>73</v>
      </c>
      <c r="B1" s="31"/>
      <c r="C1" s="31"/>
      <c r="D1" s="31"/>
      <c r="E1" s="31"/>
      <c r="F1" s="31"/>
      <c r="G1" s="31"/>
      <c r="H1" s="31"/>
    </row>
    <row r="2" spans="1:8" ht="20" customHeight="1">
      <c r="A2" s="3"/>
      <c r="B2" s="4"/>
      <c r="C2" s="5"/>
      <c r="D2" s="5"/>
      <c r="E2" s="5"/>
      <c r="F2" s="4"/>
      <c r="G2" s="6"/>
      <c r="H2" s="6"/>
    </row>
    <row r="3" spans="1:8" ht="16" customHeight="1">
      <c r="A3" s="7" t="s">
        <v>70</v>
      </c>
      <c r="B3" s="44" t="s">
        <v>71</v>
      </c>
      <c r="C3" s="9" t="s">
        <v>0</v>
      </c>
      <c r="D3" s="9" t="s">
        <v>72</v>
      </c>
      <c r="E3" s="9" t="s">
        <v>1</v>
      </c>
      <c r="F3" s="8"/>
      <c r="G3" s="10"/>
      <c r="H3" s="6"/>
    </row>
    <row r="4" spans="1:8" ht="20" customHeight="1">
      <c r="A4" s="3"/>
      <c r="B4" s="4"/>
      <c r="C4" s="5" t="s">
        <v>2</v>
      </c>
      <c r="D4" s="5"/>
      <c r="E4" s="5"/>
      <c r="F4" s="4"/>
      <c r="G4" s="6"/>
      <c r="H4" s="6"/>
    </row>
    <row r="5" spans="1:8" ht="20" customHeight="1">
      <c r="A5" s="3"/>
      <c r="B5" s="4"/>
      <c r="C5" s="5"/>
      <c r="D5" s="5"/>
      <c r="E5" s="5"/>
      <c r="F5" s="4"/>
      <c r="G5" s="6"/>
      <c r="H5" s="6"/>
    </row>
    <row r="6" spans="1:8" ht="30" customHeight="1">
      <c r="A6" s="30" t="s">
        <v>3</v>
      </c>
      <c r="B6" s="31"/>
      <c r="C6" s="31"/>
      <c r="D6" s="31"/>
      <c r="E6" s="31"/>
      <c r="F6" s="31"/>
      <c r="G6" s="31"/>
      <c r="H6" s="31"/>
    </row>
    <row r="7" spans="1:8" ht="20" customHeight="1">
      <c r="A7" s="3" t="s">
        <v>4</v>
      </c>
      <c r="B7" s="12">
        <v>800000</v>
      </c>
      <c r="C7" s="5"/>
      <c r="D7" s="5" t="s">
        <v>5</v>
      </c>
      <c r="E7" s="13">
        <v>800000</v>
      </c>
      <c r="F7" s="4"/>
      <c r="G7" s="6"/>
      <c r="H7" s="6"/>
    </row>
    <row r="8" spans="1:8" ht="20" customHeight="1">
      <c r="A8" s="3"/>
      <c r="B8" s="4"/>
      <c r="C8" s="5"/>
      <c r="D8" s="5"/>
      <c r="E8" s="5"/>
      <c r="F8" s="4"/>
      <c r="G8" s="6"/>
      <c r="H8" s="6"/>
    </row>
    <row r="9" spans="1:8" ht="30" customHeight="1">
      <c r="A9" s="30" t="s">
        <v>6</v>
      </c>
      <c r="B9" s="31"/>
      <c r="C9" s="31"/>
      <c r="D9" s="31"/>
      <c r="E9" s="31"/>
      <c r="F9" s="31"/>
      <c r="G9" s="31"/>
      <c r="H9" s="31"/>
    </row>
    <row r="10" spans="1:8" ht="20" customHeight="1">
      <c r="A10" s="3" t="s">
        <v>7</v>
      </c>
      <c r="B10" s="12">
        <v>50</v>
      </c>
      <c r="C10" s="5"/>
      <c r="D10" s="5"/>
      <c r="E10" s="5"/>
      <c r="F10" s="4"/>
      <c r="G10" s="6"/>
      <c r="H10" s="6"/>
    </row>
    <row r="11" spans="1:8" ht="20" customHeight="1">
      <c r="A11" s="3" t="s">
        <v>8</v>
      </c>
      <c r="B11" s="12">
        <v>45</v>
      </c>
      <c r="C11" s="5"/>
      <c r="D11" s="5"/>
      <c r="E11" s="5"/>
      <c r="F11" s="4"/>
      <c r="G11" s="6"/>
      <c r="H11" s="6"/>
    </row>
    <row r="12" spans="1:8" ht="20" customHeight="1">
      <c r="A12" s="3" t="s">
        <v>9</v>
      </c>
      <c r="B12" s="12">
        <v>5</v>
      </c>
      <c r="C12" s="5"/>
      <c r="D12" s="5"/>
      <c r="E12" s="5"/>
      <c r="F12" s="4"/>
      <c r="G12" s="6"/>
      <c r="H12" s="6"/>
    </row>
    <row r="13" spans="1:8" ht="20" customHeight="1">
      <c r="A13" s="3" t="s">
        <v>10</v>
      </c>
      <c r="B13" s="12">
        <v>9000</v>
      </c>
      <c r="C13" s="5"/>
      <c r="D13" s="5"/>
      <c r="E13" s="5"/>
      <c r="F13" s="4"/>
      <c r="G13" s="6"/>
      <c r="H13" s="6"/>
    </row>
    <row r="14" spans="1:8" ht="20" customHeight="1">
      <c r="A14" s="3" t="s">
        <v>11</v>
      </c>
      <c r="B14" s="12">
        <v>7500</v>
      </c>
      <c r="C14" s="5"/>
      <c r="D14" s="5"/>
      <c r="E14" s="5"/>
      <c r="F14" s="4"/>
      <c r="G14" s="6"/>
      <c r="H14" s="6"/>
    </row>
    <row r="15" spans="1:8" ht="20" customHeight="1">
      <c r="A15" s="3" t="s">
        <v>12</v>
      </c>
      <c r="B15" s="12">
        <v>1500</v>
      </c>
      <c r="C15" s="5"/>
      <c r="D15" s="5"/>
      <c r="E15" s="5"/>
      <c r="F15" s="4"/>
      <c r="G15" s="6"/>
      <c r="H15" s="6"/>
    </row>
    <row r="16" spans="1:8" ht="20" customHeight="1">
      <c r="A16" s="3" t="s">
        <v>13</v>
      </c>
      <c r="B16" s="12">
        <v>30000</v>
      </c>
      <c r="C16" s="5"/>
      <c r="D16" s="5"/>
      <c r="E16" s="5"/>
      <c r="F16" s="4"/>
      <c r="G16" s="6"/>
      <c r="H16" s="6"/>
    </row>
    <row r="17" spans="1:8" ht="20" customHeight="1">
      <c r="A17" s="3"/>
      <c r="B17" s="4"/>
      <c r="C17" s="5"/>
      <c r="D17" s="5"/>
      <c r="E17" s="5"/>
      <c r="F17" s="4"/>
      <c r="G17" s="6"/>
      <c r="H17" s="6"/>
    </row>
    <row r="18" spans="1:8" ht="30" customHeight="1">
      <c r="A18" s="30" t="s">
        <v>14</v>
      </c>
      <c r="B18" s="31"/>
      <c r="C18" s="31"/>
      <c r="D18" s="31"/>
      <c r="E18" s="31"/>
      <c r="F18" s="31"/>
      <c r="G18" s="31"/>
      <c r="H18" s="31"/>
    </row>
    <row r="19" spans="1:8" ht="24" customHeight="1">
      <c r="A19" s="14" t="s">
        <v>15</v>
      </c>
      <c r="B19" s="14" t="s">
        <v>16</v>
      </c>
      <c r="C19" s="14" t="s">
        <v>17</v>
      </c>
      <c r="D19" s="14" t="s">
        <v>18</v>
      </c>
      <c r="E19" s="14" t="s">
        <v>19</v>
      </c>
      <c r="F19" s="14" t="s">
        <v>20</v>
      </c>
      <c r="G19" s="2"/>
    </row>
    <row r="20" spans="1:8" ht="20" customHeight="1">
      <c r="A20" s="3" t="s">
        <v>21</v>
      </c>
      <c r="B20" s="12">
        <v>30000</v>
      </c>
      <c r="C20" s="5" t="s">
        <v>17</v>
      </c>
      <c r="D20" s="13">
        <v>100</v>
      </c>
      <c r="E20" s="5" t="s">
        <v>19</v>
      </c>
      <c r="F20" s="12">
        <f t="shared" ref="F20:F25" si="0">B20/D20</f>
        <v>300</v>
      </c>
      <c r="G20" s="6"/>
      <c r="H20" s="6"/>
    </row>
    <row r="21" spans="1:8" ht="20" customHeight="1">
      <c r="A21" s="3" t="s">
        <v>22</v>
      </c>
      <c r="B21" s="12">
        <v>8000</v>
      </c>
      <c r="C21" s="5" t="s">
        <v>17</v>
      </c>
      <c r="D21" s="13">
        <v>100</v>
      </c>
      <c r="E21" s="5" t="s">
        <v>19</v>
      </c>
      <c r="F21" s="12">
        <f t="shared" si="0"/>
        <v>80</v>
      </c>
      <c r="G21" s="6"/>
      <c r="H21" s="6"/>
    </row>
    <row r="22" spans="1:8" ht="20" customHeight="1">
      <c r="A22" s="3" t="s">
        <v>23</v>
      </c>
      <c r="B22" s="12">
        <v>3000</v>
      </c>
      <c r="C22" s="5" t="s">
        <v>17</v>
      </c>
      <c r="D22" s="13">
        <v>100</v>
      </c>
      <c r="E22" s="5" t="s">
        <v>19</v>
      </c>
      <c r="F22" s="12">
        <f t="shared" si="0"/>
        <v>30</v>
      </c>
      <c r="G22" s="6"/>
      <c r="H22" s="6"/>
    </row>
    <row r="23" spans="1:8" ht="20" customHeight="1">
      <c r="A23" s="3" t="s">
        <v>24</v>
      </c>
      <c r="B23" s="12">
        <v>5000</v>
      </c>
      <c r="C23" s="5" t="s">
        <v>17</v>
      </c>
      <c r="D23" s="13">
        <v>100</v>
      </c>
      <c r="E23" s="5" t="s">
        <v>19</v>
      </c>
      <c r="F23" s="12">
        <f t="shared" si="0"/>
        <v>50</v>
      </c>
      <c r="G23" s="6"/>
      <c r="H23" s="6"/>
    </row>
    <row r="24" spans="1:8" ht="20" customHeight="1">
      <c r="A24" s="3" t="s">
        <v>25</v>
      </c>
      <c r="B24" s="12">
        <v>4000</v>
      </c>
      <c r="C24" s="5" t="s">
        <v>17</v>
      </c>
      <c r="D24" s="13">
        <v>100</v>
      </c>
      <c r="E24" s="5" t="s">
        <v>19</v>
      </c>
      <c r="F24" s="12">
        <f t="shared" si="0"/>
        <v>40</v>
      </c>
      <c r="G24" s="6"/>
      <c r="H24" s="6"/>
    </row>
    <row r="25" spans="1:8" ht="24" customHeight="1">
      <c r="A25" s="15" t="s">
        <v>26</v>
      </c>
      <c r="B25" s="16">
        <f>SUM(B20:B24)</f>
        <v>50000</v>
      </c>
      <c r="C25" s="17" t="s">
        <v>17</v>
      </c>
      <c r="D25" s="18">
        <v>100</v>
      </c>
      <c r="E25" s="17" t="s">
        <v>19</v>
      </c>
      <c r="F25" s="19">
        <f t="shared" si="0"/>
        <v>500</v>
      </c>
      <c r="G25" s="20"/>
      <c r="H25" s="20"/>
    </row>
    <row r="26" spans="1:8" ht="20" customHeight="1">
      <c r="A26" s="3"/>
      <c r="B26" s="4"/>
      <c r="C26" s="5"/>
      <c r="D26" s="5"/>
      <c r="E26" s="5"/>
      <c r="F26" s="4"/>
      <c r="G26" s="6"/>
      <c r="H26" s="6"/>
    </row>
    <row r="27" spans="1:8" ht="30" customHeight="1">
      <c r="A27" s="30" t="s">
        <v>27</v>
      </c>
      <c r="B27" s="31"/>
      <c r="C27" s="31"/>
      <c r="D27" s="31"/>
      <c r="E27" s="31"/>
      <c r="F27" s="31"/>
      <c r="G27" s="31"/>
      <c r="H27" s="31"/>
    </row>
    <row r="28" spans="1:8" ht="24" customHeight="1" thickBot="1">
      <c r="A28" s="21" t="s">
        <v>15</v>
      </c>
      <c r="B28" s="21" t="s">
        <v>16</v>
      </c>
      <c r="C28" s="21" t="s">
        <v>17</v>
      </c>
      <c r="D28" s="21" t="s">
        <v>28</v>
      </c>
      <c r="E28" s="21" t="s">
        <v>19</v>
      </c>
      <c r="F28" s="21" t="s">
        <v>20</v>
      </c>
      <c r="G28" s="2"/>
    </row>
    <row r="29" spans="1:8" ht="20" customHeight="1" thickBot="1">
      <c r="A29" s="3" t="s">
        <v>29</v>
      </c>
      <c r="B29" s="12">
        <v>5000</v>
      </c>
      <c r="C29" s="5"/>
      <c r="D29" s="5">
        <v>100</v>
      </c>
      <c r="E29" s="5"/>
      <c r="F29" s="19">
        <f t="shared" ref="F29:F31" si="1">B29/D29</f>
        <v>50</v>
      </c>
      <c r="G29" s="6"/>
      <c r="H29" s="6"/>
    </row>
    <row r="30" spans="1:8" ht="20" customHeight="1" thickBot="1">
      <c r="A30" s="3" t="s">
        <v>30</v>
      </c>
      <c r="B30" s="12">
        <v>20000</v>
      </c>
      <c r="C30" s="5"/>
      <c r="D30" s="5">
        <v>100</v>
      </c>
      <c r="E30" s="5"/>
      <c r="F30" s="19">
        <f t="shared" si="1"/>
        <v>200</v>
      </c>
      <c r="G30" s="6"/>
      <c r="H30" s="6"/>
    </row>
    <row r="31" spans="1:8" ht="20" customHeight="1" thickBot="1">
      <c r="A31" s="3" t="s">
        <v>31</v>
      </c>
      <c r="B31" s="12">
        <v>2000</v>
      </c>
      <c r="C31" s="5"/>
      <c r="D31" s="5">
        <v>100</v>
      </c>
      <c r="E31" s="5"/>
      <c r="F31" s="19">
        <f t="shared" si="1"/>
        <v>20</v>
      </c>
      <c r="G31" s="6"/>
      <c r="H31" s="6"/>
    </row>
    <row r="32" spans="1:8" ht="20" customHeight="1" thickBot="1">
      <c r="A32" s="45" t="s">
        <v>74</v>
      </c>
      <c r="B32" s="16">
        <f>SUM(B29:B31)</f>
        <v>27000</v>
      </c>
      <c r="C32" s="46"/>
      <c r="D32" s="5">
        <v>100</v>
      </c>
      <c r="E32" s="46"/>
      <c r="F32" s="19">
        <f t="shared" ref="F32" si="2">B32/D32</f>
        <v>270</v>
      </c>
      <c r="G32" s="47"/>
      <c r="H32" s="47"/>
    </row>
    <row r="33" spans="1:8" ht="24" customHeight="1">
      <c r="A33" s="25" t="s">
        <v>32</v>
      </c>
    </row>
    <row r="34" spans="1:8" ht="20" customHeight="1">
      <c r="A34" s="26" t="s">
        <v>15</v>
      </c>
      <c r="B34" s="26" t="s">
        <v>16</v>
      </c>
      <c r="C34" s="26" t="s">
        <v>17</v>
      </c>
      <c r="D34" s="26" t="s">
        <v>28</v>
      </c>
      <c r="E34" s="26" t="s">
        <v>19</v>
      </c>
      <c r="F34" s="26" t="s">
        <v>20</v>
      </c>
    </row>
    <row r="35" spans="1:8" ht="30" customHeight="1">
      <c r="A35" s="31" t="s">
        <v>33</v>
      </c>
      <c r="B35" s="31">
        <v>8000</v>
      </c>
      <c r="C35" s="31" t="s">
        <v>17</v>
      </c>
      <c r="D35" s="31">
        <v>50</v>
      </c>
      <c r="E35" s="31" t="s">
        <v>19</v>
      </c>
      <c r="F35" s="31">
        <f>B35/D35</f>
        <v>160</v>
      </c>
      <c r="G35" s="31"/>
    </row>
    <row r="36" spans="1:8" ht="24" customHeight="1">
      <c r="A36" t="s">
        <v>34</v>
      </c>
      <c r="B36">
        <v>5000</v>
      </c>
      <c r="C36" t="s">
        <v>17</v>
      </c>
      <c r="D36">
        <v>50</v>
      </c>
      <c r="E36" t="s">
        <v>19</v>
      </c>
      <c r="F36">
        <f>B36/D36</f>
        <v>100</v>
      </c>
    </row>
    <row r="37" spans="1:8" ht="20" customHeight="1">
      <c r="A37" t="s">
        <v>35</v>
      </c>
      <c r="B37">
        <v>3000</v>
      </c>
      <c r="C37" t="s">
        <v>17</v>
      </c>
      <c r="D37">
        <v>50</v>
      </c>
      <c r="E37" t="s">
        <v>19</v>
      </c>
      <c r="F37">
        <f>B37/D37</f>
        <v>60</v>
      </c>
    </row>
    <row r="38" spans="1:8" ht="20" customHeight="1">
      <c r="A38" t="s">
        <v>36</v>
      </c>
      <c r="B38">
        <v>2000</v>
      </c>
      <c r="C38" t="s">
        <v>17</v>
      </c>
      <c r="D38">
        <v>50</v>
      </c>
      <c r="E38" t="s">
        <v>19</v>
      </c>
      <c r="F38">
        <f>B38/D38</f>
        <v>40</v>
      </c>
    </row>
    <row r="39" spans="1:8" ht="20" customHeight="1">
      <c r="A39" s="27" t="s">
        <v>37</v>
      </c>
      <c r="B39" s="27">
        <f>SUM(B35:B38)</f>
        <v>18000</v>
      </c>
      <c r="C39" t="s">
        <v>17</v>
      </c>
      <c r="D39">
        <v>50</v>
      </c>
      <c r="E39" t="s">
        <v>19</v>
      </c>
      <c r="F39" s="27">
        <f>B39/D39</f>
        <v>360</v>
      </c>
    </row>
    <row r="40" spans="1:8" ht="20" customHeight="1"/>
    <row r="41" spans="1:8" ht="20" customHeight="1">
      <c r="A41" s="25" t="s">
        <v>38</v>
      </c>
    </row>
    <row r="42" spans="1:8" ht="16" customHeight="1">
      <c r="A42" s="26" t="s">
        <v>15</v>
      </c>
      <c r="B42" s="26" t="s">
        <v>16</v>
      </c>
      <c r="C42" s="26" t="s">
        <v>17</v>
      </c>
      <c r="D42" s="26" t="s">
        <v>28</v>
      </c>
      <c r="E42" s="26" t="s">
        <v>19</v>
      </c>
      <c r="F42" s="26" t="s">
        <v>20</v>
      </c>
    </row>
    <row r="43" spans="1:8" ht="20" customHeight="1">
      <c r="A43" t="s">
        <v>39</v>
      </c>
      <c r="B43">
        <v>4000</v>
      </c>
      <c r="C43" t="s">
        <v>17</v>
      </c>
      <c r="D43">
        <v>50</v>
      </c>
      <c r="E43" t="s">
        <v>19</v>
      </c>
      <c r="F43">
        <f>IF(B43=0,"-",B43/D43)</f>
        <v>80</v>
      </c>
    </row>
    <row r="44" spans="1:8" ht="24" customHeight="1">
      <c r="A44" t="s">
        <v>40</v>
      </c>
      <c r="B44">
        <v>0</v>
      </c>
      <c r="C44" t="s">
        <v>17</v>
      </c>
      <c r="D44">
        <v>50</v>
      </c>
      <c r="E44" t="s">
        <v>19</v>
      </c>
      <c r="F44" t="str">
        <f>IF(B44=0,"-",B44/D44)</f>
        <v>-</v>
      </c>
    </row>
    <row r="45" spans="1:8" ht="20" customHeight="1">
      <c r="A45" t="s">
        <v>41</v>
      </c>
      <c r="B45">
        <v>0</v>
      </c>
      <c r="C45" t="s">
        <v>17</v>
      </c>
      <c r="D45">
        <v>50</v>
      </c>
      <c r="E45" t="s">
        <v>19</v>
      </c>
      <c r="F45" t="str">
        <f>IF(B45=0,"-",B45/D45)</f>
        <v>-</v>
      </c>
    </row>
    <row r="46" spans="1:8" ht="24" customHeight="1">
      <c r="A46" s="27" t="s">
        <v>42</v>
      </c>
      <c r="B46" s="27">
        <f>SUM(B43:B45)</f>
        <v>4000</v>
      </c>
      <c r="C46" t="s">
        <v>17</v>
      </c>
      <c r="D46">
        <v>50</v>
      </c>
      <c r="E46" t="s">
        <v>19</v>
      </c>
      <c r="F46">
        <f>IF(B46=0,"-",B46/D46)</f>
        <v>80</v>
      </c>
    </row>
    <row r="47" spans="1:8" ht="20" customHeight="1"/>
    <row r="48" spans="1:8" ht="30" customHeight="1">
      <c r="A48" s="37" t="s">
        <v>43</v>
      </c>
      <c r="B48" s="38">
        <f>SUM(B29:B31)</f>
        <v>27000</v>
      </c>
      <c r="C48" s="39" t="s">
        <v>17</v>
      </c>
      <c r="D48" s="40">
        <v>50</v>
      </c>
      <c r="E48" s="39" t="s">
        <v>19</v>
      </c>
      <c r="F48" s="41" t="e">
        <f>B33/D33</f>
        <v>#DIV/0!</v>
      </c>
      <c r="G48" s="42"/>
      <c r="H48" s="42"/>
    </row>
    <row r="49" spans="1:8" ht="68" customHeight="1">
      <c r="A49" s="32"/>
      <c r="B49" s="35"/>
      <c r="C49" s="34"/>
      <c r="D49" s="34"/>
      <c r="E49" s="34"/>
      <c r="F49" s="35"/>
      <c r="G49" s="36"/>
      <c r="H49" s="6"/>
    </row>
    <row r="50" spans="1:8" ht="30" customHeight="1">
      <c r="A50" s="30" t="s">
        <v>44</v>
      </c>
      <c r="B50" s="31"/>
      <c r="C50" s="31"/>
      <c r="D50" s="31"/>
      <c r="E50" s="31"/>
      <c r="F50" s="31"/>
      <c r="G50" s="31"/>
      <c r="H50" s="11"/>
    </row>
    <row r="51" spans="1:8" ht="20" customHeight="1">
      <c r="A51" s="22" t="s">
        <v>45</v>
      </c>
      <c r="B51" s="22" t="s">
        <v>46</v>
      </c>
      <c r="C51" s="22" t="s">
        <v>47</v>
      </c>
      <c r="D51" s="1"/>
      <c r="E51" s="1"/>
      <c r="F51" s="1"/>
      <c r="G51" s="1"/>
    </row>
    <row r="52" spans="1:8" ht="16" customHeight="1">
      <c r="A52" s="32" t="s">
        <v>48</v>
      </c>
      <c r="B52" s="33">
        <v>800000</v>
      </c>
      <c r="C52" s="34"/>
      <c r="D52" s="34"/>
      <c r="E52" s="34"/>
      <c r="F52" s="35"/>
      <c r="G52" s="36"/>
      <c r="H52" s="6"/>
    </row>
    <row r="53" spans="1:8" ht="20" customHeight="1">
      <c r="A53" s="32" t="s">
        <v>49</v>
      </c>
      <c r="B53" s="33">
        <f>F25*50</f>
        <v>25000</v>
      </c>
      <c r="C53" s="34" t="s">
        <v>50</v>
      </c>
      <c r="D53" s="34"/>
      <c r="E53" s="34"/>
      <c r="F53" s="35"/>
      <c r="G53" s="36"/>
      <c r="H53" s="6"/>
    </row>
    <row r="54" spans="1:8" ht="20" customHeight="1">
      <c r="A54" s="32" t="s">
        <v>51</v>
      </c>
      <c r="B54" s="33">
        <f>B33</f>
        <v>0</v>
      </c>
      <c r="C54" s="34" t="s">
        <v>52</v>
      </c>
      <c r="D54" s="34"/>
      <c r="E54" s="34"/>
      <c r="F54" s="35"/>
      <c r="G54" s="36"/>
      <c r="H54" s="6"/>
    </row>
    <row r="55" spans="1:8" ht="20" customHeight="1">
      <c r="A55" s="32" t="s">
        <v>53</v>
      </c>
      <c r="B55" s="33">
        <f>B37*10%</f>
        <v>300</v>
      </c>
      <c r="C55" s="34" t="s">
        <v>54</v>
      </c>
      <c r="D55" s="34"/>
      <c r="E55" s="34"/>
      <c r="F55" s="35"/>
      <c r="G55" s="36"/>
      <c r="H55" s="6"/>
    </row>
    <row r="56" spans="1:8" ht="20" customHeight="1">
      <c r="A56" s="31" t="s">
        <v>55</v>
      </c>
      <c r="B56" s="31">
        <v>18000</v>
      </c>
      <c r="C56" s="31" t="s">
        <v>37</v>
      </c>
      <c r="D56" s="31"/>
      <c r="E56" s="31"/>
      <c r="F56" s="31"/>
      <c r="G56" s="31"/>
    </row>
    <row r="57" spans="1:8">
      <c r="A57" t="s">
        <v>56</v>
      </c>
      <c r="B57">
        <v>4000</v>
      </c>
      <c r="C57" t="s">
        <v>42</v>
      </c>
    </row>
    <row r="58" spans="1:8" ht="16">
      <c r="A58" s="3"/>
      <c r="B58" s="4"/>
      <c r="C58" s="5"/>
      <c r="D58" s="5"/>
      <c r="E58" s="5"/>
      <c r="F58" s="4"/>
      <c r="G58" s="6"/>
      <c r="H58" s="6"/>
    </row>
    <row r="59" spans="1:8" ht="16">
      <c r="A59" s="3" t="s">
        <v>57</v>
      </c>
      <c r="B59" s="12" t="str">
        <f ca="1">B55-B56-B57-B58-B59-B60</f>
        <v/>
      </c>
      <c r="C59" s="5"/>
      <c r="D59" s="5"/>
      <c r="E59" s="5"/>
      <c r="F59" s="4"/>
      <c r="G59" s="6"/>
      <c r="H59" s="6"/>
    </row>
    <row r="60" spans="1:8" ht="16">
      <c r="A60" s="3" t="s">
        <v>58</v>
      </c>
      <c r="B60" s="12">
        <v>50</v>
      </c>
      <c r="C60" s="5"/>
      <c r="D60" s="5"/>
      <c r="E60" s="5"/>
      <c r="F60" s="4"/>
      <c r="G60" s="6"/>
      <c r="H60" s="6"/>
    </row>
    <row r="61" spans="1:8" ht="16">
      <c r="A61" s="15" t="s">
        <v>59</v>
      </c>
      <c r="B61" s="16" t="e">
        <f>B42/B43</f>
        <v>#VALUE!</v>
      </c>
      <c r="C61" s="17"/>
      <c r="D61" s="17"/>
      <c r="E61" s="17"/>
      <c r="F61" s="23"/>
      <c r="G61" s="20"/>
      <c r="H61" s="20"/>
    </row>
    <row r="62" spans="1:8" ht="16">
      <c r="A62" s="3" t="s">
        <v>60</v>
      </c>
      <c r="B62" s="12">
        <v>7500</v>
      </c>
      <c r="C62" s="5"/>
      <c r="D62" s="5"/>
      <c r="E62" s="5"/>
      <c r="F62" s="4"/>
      <c r="G62" s="6"/>
      <c r="H62" s="6"/>
    </row>
    <row r="63" spans="1:8" ht="16">
      <c r="A63" s="15" t="s">
        <v>61</v>
      </c>
      <c r="B63" s="16">
        <f>B44-B45</f>
        <v>0</v>
      </c>
      <c r="C63" s="17"/>
      <c r="D63" s="17"/>
      <c r="E63" s="17"/>
      <c r="F63" s="23"/>
      <c r="G63" s="20"/>
      <c r="H63" s="20"/>
    </row>
    <row r="64" spans="1:8" ht="16">
      <c r="A64" s="3"/>
      <c r="B64" s="4"/>
      <c r="C64" s="5"/>
      <c r="D64" s="5"/>
      <c r="E64" s="5"/>
      <c r="F64" s="4"/>
      <c r="G64" s="6"/>
      <c r="H64" s="6"/>
    </row>
    <row r="65" spans="1:8" ht="19">
      <c r="A65" s="24" t="s">
        <v>62</v>
      </c>
    </row>
    <row r="66" spans="1:8" ht="16">
      <c r="A66" s="3" t="s">
        <v>63</v>
      </c>
      <c r="B66" s="28"/>
      <c r="C66" s="28"/>
      <c r="D66" s="28"/>
      <c r="E66" s="28"/>
      <c r="F66" s="28"/>
      <c r="G66" s="29"/>
      <c r="H66" s="6"/>
    </row>
    <row r="67" spans="1:8" ht="16">
      <c r="A67" s="3" t="s">
        <v>64</v>
      </c>
      <c r="B67" s="28"/>
      <c r="C67" s="28"/>
      <c r="D67" s="28"/>
      <c r="E67" s="28"/>
      <c r="F67" s="28"/>
      <c r="G67" s="29"/>
      <c r="H67" s="6"/>
    </row>
    <row r="68" spans="1:8" ht="16">
      <c r="A68" s="3"/>
      <c r="B68" s="4"/>
      <c r="C68" s="5"/>
      <c r="D68" s="5"/>
      <c r="E68" s="5"/>
      <c r="F68" s="4"/>
      <c r="G68" s="6"/>
      <c r="H68" s="6"/>
    </row>
    <row r="69" spans="1:8" ht="16">
      <c r="A69" s="3" t="s">
        <v>65</v>
      </c>
      <c r="B69" s="28"/>
      <c r="C69" s="28"/>
      <c r="D69" s="28"/>
      <c r="E69" s="28"/>
      <c r="F69" s="28"/>
      <c r="G69" s="29"/>
      <c r="H69" s="6"/>
    </row>
    <row r="70" spans="1:8" ht="16">
      <c r="A70" s="3" t="s">
        <v>66</v>
      </c>
      <c r="B70" s="28"/>
      <c r="C70" s="28"/>
      <c r="D70" s="28"/>
      <c r="E70" s="28"/>
      <c r="F70" s="28"/>
      <c r="G70" s="29"/>
      <c r="H70" s="6"/>
    </row>
    <row r="71" spans="1:8" ht="16">
      <c r="A71" s="3" t="s">
        <v>67</v>
      </c>
      <c r="B71" s="28"/>
      <c r="C71" s="28"/>
      <c r="D71" s="28"/>
      <c r="E71" s="28"/>
      <c r="F71" s="28"/>
      <c r="G71" s="29"/>
      <c r="H71" s="6"/>
    </row>
    <row r="72" spans="1:8" ht="16">
      <c r="A72" s="3" t="s">
        <v>68</v>
      </c>
      <c r="B72" s="28"/>
      <c r="C72" s="28"/>
      <c r="D72" s="28"/>
      <c r="E72" s="28"/>
      <c r="F72" s="28"/>
      <c r="G72" s="29"/>
      <c r="H72" s="6"/>
    </row>
    <row r="73" spans="1:8" ht="16">
      <c r="A73" s="3" t="s">
        <v>69</v>
      </c>
      <c r="B73" s="28"/>
      <c r="C73" s="28"/>
      <c r="D73" s="28"/>
      <c r="E73" s="28"/>
      <c r="F73" s="28"/>
      <c r="G73" s="29"/>
      <c r="H73" s="6"/>
    </row>
  </sheetData>
  <mergeCells count="14">
    <mergeCell ref="A1:H1"/>
    <mergeCell ref="A27:H27"/>
    <mergeCell ref="A50:G50"/>
    <mergeCell ref="A6:H6"/>
    <mergeCell ref="A56:G56"/>
    <mergeCell ref="A49:G49"/>
    <mergeCell ref="A55:G55"/>
    <mergeCell ref="A53:G53"/>
    <mergeCell ref="A48:H48"/>
    <mergeCell ref="A9:H9"/>
    <mergeCell ref="A18:H18"/>
    <mergeCell ref="A52:G52"/>
    <mergeCell ref="A54:G54"/>
    <mergeCell ref="A35:G35"/>
  </mergeCells>
  <phoneticPr fontId="2" type="noConversion"/>
  <printOptions horizontalCentered="1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成本表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sundanian</cp:lastModifiedBy>
  <dcterms:created xsi:type="dcterms:W3CDTF">2026-03-03T03:12:38Z</dcterms:created>
  <dcterms:modified xsi:type="dcterms:W3CDTF">2026-03-12T02:23:20Z</dcterms:modified>
</cp:coreProperties>
</file>