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名汇总" sheetId="1" state="visible" r:id="rId1"/>
    <sheet xmlns:r="http://schemas.openxmlformats.org/officeDocument/2006/relationships" name="原始数据" sheetId="2" state="visible" r:id="rId2"/>
    <sheet xmlns:r="http://schemas.openxmlformats.org/officeDocument/2006/relationships" name="计算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排名</t>
        </is>
      </c>
      <c r="B1" s="1" t="inlineStr">
        <is>
          <t>供应商</t>
        </is>
      </c>
      <c r="C1" s="1" t="inlineStr">
        <is>
          <t>现有人数</t>
        </is>
      </c>
      <c r="D1" s="1" t="inlineStr">
        <is>
          <t>调整人数</t>
        </is>
      </c>
      <c r="E1" s="1" t="inlineStr">
        <is>
          <t>调整后人数</t>
        </is>
      </c>
      <c r="F1" s="1" t="inlineStr">
        <is>
          <t>调整比例</t>
        </is>
      </c>
      <c r="G1" s="1" t="inlineStr">
        <is>
          <t>1月得分</t>
        </is>
      </c>
      <c r="H1" s="1" t="inlineStr">
        <is>
          <t>2月得分</t>
        </is>
      </c>
      <c r="I1" s="1" t="inlineStr">
        <is>
          <t>合计得分</t>
        </is>
      </c>
    </row>
    <row r="2">
      <c r="A2" s="2" t="n">
        <v>1</v>
      </c>
      <c r="B2" s="2" t="inlineStr">
        <is>
          <t>中乾</t>
        </is>
      </c>
      <c r="C2" s="2" t="n">
        <v>25</v>
      </c>
      <c r="D2" s="2" t="n">
        <v>4</v>
      </c>
      <c r="E2" s="2" t="n">
        <v>21</v>
      </c>
      <c r="F2" s="3" t="inlineStr">
        <is>
          <t>16.0%</t>
        </is>
      </c>
      <c r="G2" s="4" t="n">
        <v>93.8</v>
      </c>
      <c r="H2" s="4" t="n">
        <v>105.65</v>
      </c>
      <c r="I2" s="4" t="n">
        <v>100.91</v>
      </c>
    </row>
    <row r="3">
      <c r="A3" s="2" t="n">
        <v>2</v>
      </c>
      <c r="B3" s="2" t="inlineStr">
        <is>
          <t>汇讯</t>
        </is>
      </c>
      <c r="C3" s="2" t="n">
        <v>11</v>
      </c>
      <c r="D3" s="2" t="n">
        <v>3</v>
      </c>
      <c r="E3" s="2" t="n">
        <v>8</v>
      </c>
      <c r="F3" s="3" t="inlineStr">
        <is>
          <t>27.3%</t>
        </is>
      </c>
      <c r="G3" s="4" t="n">
        <v>109.24</v>
      </c>
      <c r="H3" s="4" t="n">
        <v>95.48999999999999</v>
      </c>
      <c r="I3" s="4" t="n">
        <v>100.99</v>
      </c>
    </row>
    <row r="4">
      <c r="A4" s="2" t="n">
        <v>3</v>
      </c>
      <c r="B4" s="2" t="inlineStr">
        <is>
          <t>锦瑞</t>
        </is>
      </c>
      <c r="C4" s="2" t="n">
        <v>25</v>
      </c>
      <c r="D4" s="2" t="n">
        <v>7</v>
      </c>
      <c r="E4" s="2" t="n">
        <v>18</v>
      </c>
      <c r="F4" s="3" t="inlineStr">
        <is>
          <t>28.0%</t>
        </is>
      </c>
      <c r="G4" s="4" t="n">
        <v>102.42</v>
      </c>
      <c r="H4" s="4" t="n">
        <v>92.91</v>
      </c>
      <c r="I4" s="4" t="n">
        <v>96.70999999999999</v>
      </c>
    </row>
    <row r="5">
      <c r="A5" s="2" t="n">
        <v>4</v>
      </c>
      <c r="B5" s="2" t="inlineStr">
        <is>
          <t>德辰</t>
        </is>
      </c>
      <c r="C5" s="2" t="n">
        <v>31</v>
      </c>
      <c r="D5" s="2" t="n">
        <v>19</v>
      </c>
      <c r="E5" s="2" t="n">
        <v>12</v>
      </c>
      <c r="F5" s="3" t="inlineStr">
        <is>
          <t>61.3%</t>
        </is>
      </c>
      <c r="G5" s="4" t="n">
        <v>93.19</v>
      </c>
      <c r="H5" s="4" t="n">
        <v>90.31</v>
      </c>
      <c r="I5" s="4" t="n">
        <v>91.45999999999999</v>
      </c>
    </row>
    <row r="6">
      <c r="A6" s="2" t="n">
        <v>5</v>
      </c>
      <c r="B6" s="2" t="inlineStr">
        <is>
          <t>小蜜蜂</t>
        </is>
      </c>
      <c r="C6" s="2" t="n">
        <v>2</v>
      </c>
      <c r="D6" s="2" t="n">
        <v>2</v>
      </c>
      <c r="E6" s="2" t="n">
        <v>0</v>
      </c>
      <c r="F6" s="3" t="inlineStr">
        <is>
          <t>100.0%</t>
        </is>
      </c>
      <c r="G6" s="4" t="n">
        <v>95.31999999999999</v>
      </c>
      <c r="H6" s="4" t="n">
        <v>82.89</v>
      </c>
      <c r="I6" s="4" t="n">
        <v>87.86</v>
      </c>
    </row>
    <row r="7">
      <c r="A7" s="2" t="inlineStr">
        <is>
          <t>-</t>
        </is>
      </c>
      <c r="B7" s="2" t="inlineStr">
        <is>
          <t>衍生</t>
        </is>
      </c>
      <c r="C7" s="2" t="n">
        <v>0</v>
      </c>
      <c r="D7" s="2" t="n">
        <v>0</v>
      </c>
      <c r="E7" s="2" t="n">
        <v>0</v>
      </c>
      <c r="F7" s="2" t="inlineStr">
        <is>
          <t>-</t>
        </is>
      </c>
      <c r="G7" s="4" t="n">
        <v>89.43000000000001</v>
      </c>
      <c r="H7" s="4" t="n">
        <v>45.8</v>
      </c>
      <c r="I7" s="4" t="n">
        <v>61.61</v>
      </c>
    </row>
    <row r="8">
      <c r="A8" s="2" t="inlineStr">
        <is>
          <t>-</t>
        </is>
      </c>
      <c r="B8" s="2" t="inlineStr">
        <is>
          <t>广达</t>
        </is>
      </c>
      <c r="C8" s="2" t="n">
        <v>0</v>
      </c>
      <c r="D8" s="2" t="n">
        <v>0</v>
      </c>
      <c r="E8" s="2" t="n">
        <v>0</v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</row>
    <row r="9">
      <c r="A9" s="2" t="inlineStr"/>
      <c r="B9" s="5" t="inlineStr">
        <is>
          <t>合计</t>
        </is>
      </c>
      <c r="C9" s="5" t="n">
        <v>94</v>
      </c>
      <c r="D9" s="5" t="n">
        <v>35</v>
      </c>
      <c r="E9" s="5" t="n">
        <v>59</v>
      </c>
      <c r="F9" s="2" t="inlineStr">
        <is>
          <t>37.2%</t>
        </is>
      </c>
      <c r="G9" s="2" t="inlineStr"/>
      <c r="H9" s="2" t="inlineStr"/>
      <c r="I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供应商</t>
        </is>
      </c>
      <c r="B1" s="6" t="inlineStr">
        <is>
          <t>1月GMV达成率</t>
        </is>
      </c>
      <c r="C1" s="6" t="inlineStr">
        <is>
          <t>2月GMV达成率</t>
        </is>
      </c>
      <c r="D1" s="6" t="inlineStr">
        <is>
          <t>1月权重</t>
        </is>
      </c>
      <c r="E1" s="6" t="inlineStr">
        <is>
          <t>2月权重</t>
        </is>
      </c>
      <c r="F1" s="6" t="inlineStr">
        <is>
          <t>1月加权得分</t>
        </is>
      </c>
      <c r="G1" s="6" t="inlineStr">
        <is>
          <t>2月加权得分</t>
        </is>
      </c>
      <c r="H1" s="6" t="inlineStr">
        <is>
          <t>合计得分</t>
        </is>
      </c>
    </row>
    <row r="2">
      <c r="A2" s="7" t="inlineStr">
        <is>
          <t>中乾</t>
        </is>
      </c>
      <c r="B2" s="8" t="n">
        <v>93.8</v>
      </c>
      <c r="C2" s="8" t="n">
        <v>105.65</v>
      </c>
      <c r="D2" s="7" t="n">
        <v>40</v>
      </c>
      <c r="E2" s="7" t="n">
        <v>60</v>
      </c>
      <c r="F2" s="8">
        <f>B2*D2/100</f>
        <v/>
      </c>
      <c r="G2" s="8">
        <f>C2*E2/100</f>
        <v/>
      </c>
      <c r="H2" s="8">
        <f>F2+G2</f>
        <v/>
      </c>
    </row>
    <row r="3">
      <c r="A3" s="7" t="inlineStr">
        <is>
          <t>汇讯</t>
        </is>
      </c>
      <c r="B3" s="8" t="n">
        <v>109.24</v>
      </c>
      <c r="C3" s="8" t="n">
        <v>95.48999999999999</v>
      </c>
      <c r="D3" s="7" t="n">
        <v>40</v>
      </c>
      <c r="E3" s="7" t="n">
        <v>60</v>
      </c>
      <c r="F3" s="8">
        <f>B3*D3/100</f>
        <v/>
      </c>
      <c r="G3" s="8">
        <f>C3*E3/100</f>
        <v/>
      </c>
      <c r="H3" s="8">
        <f>F3+G3</f>
        <v/>
      </c>
    </row>
    <row r="4">
      <c r="A4" s="7" t="inlineStr">
        <is>
          <t>锦瑞</t>
        </is>
      </c>
      <c r="B4" s="8" t="n">
        <v>102.42</v>
      </c>
      <c r="C4" s="8" t="n">
        <v>92.91</v>
      </c>
      <c r="D4" s="7" t="n">
        <v>40</v>
      </c>
      <c r="E4" s="7" t="n">
        <v>60</v>
      </c>
      <c r="F4" s="8">
        <f>B4*D4/100</f>
        <v/>
      </c>
      <c r="G4" s="8">
        <f>C4*E4/100</f>
        <v/>
      </c>
      <c r="H4" s="8">
        <f>F4+G4</f>
        <v/>
      </c>
    </row>
    <row r="5">
      <c r="A5" s="7" t="inlineStr">
        <is>
          <t>德辰</t>
        </is>
      </c>
      <c r="B5" s="8" t="n">
        <v>93.19</v>
      </c>
      <c r="C5" s="8" t="n">
        <v>90.31</v>
      </c>
      <c r="D5" s="7" t="n">
        <v>40</v>
      </c>
      <c r="E5" s="7" t="n">
        <v>60</v>
      </c>
      <c r="F5" s="8">
        <f>B5*D5/100</f>
        <v/>
      </c>
      <c r="G5" s="8">
        <f>C5*E5/100</f>
        <v/>
      </c>
      <c r="H5" s="8">
        <f>F5+G5</f>
        <v/>
      </c>
    </row>
    <row r="6">
      <c r="A6" s="7" t="inlineStr">
        <is>
          <t>小蜜蜂</t>
        </is>
      </c>
      <c r="B6" s="8" t="n">
        <v>95.31999999999999</v>
      </c>
      <c r="C6" s="8" t="n">
        <v>82.89</v>
      </c>
      <c r="D6" s="7" t="n">
        <v>40</v>
      </c>
      <c r="E6" s="7" t="n">
        <v>60</v>
      </c>
      <c r="F6" s="8">
        <f>B6*D6/100</f>
        <v/>
      </c>
      <c r="G6" s="8">
        <f>C6*E6/100</f>
        <v/>
      </c>
      <c r="H6" s="8">
        <f>F6+G6</f>
        <v/>
      </c>
    </row>
    <row r="7">
      <c r="A7" s="7" t="inlineStr">
        <is>
          <t>衍生</t>
        </is>
      </c>
      <c r="B7" s="8" t="n">
        <v>89.43000000000001</v>
      </c>
      <c r="C7" s="8" t="n">
        <v>45.8</v>
      </c>
      <c r="D7" s="7" t="n">
        <v>40</v>
      </c>
      <c r="E7" s="7" t="n">
        <v>60</v>
      </c>
      <c r="F7" s="8">
        <f>B7*D7/100</f>
        <v/>
      </c>
      <c r="G7" s="8">
        <f>C7*E7/100</f>
        <v/>
      </c>
      <c r="H7" s="8">
        <f>F7+G7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9" t="inlineStr">
        <is>
          <t>供应商排名计算说明</t>
        </is>
      </c>
    </row>
    <row r="3">
      <c r="A3" s="10" t="inlineStr">
        <is>
          <t>一、计算公式</t>
        </is>
      </c>
    </row>
    <row r="4">
      <c r="A4" t="inlineStr">
        <is>
          <t>合计得分 = 1月GMV达成率 × 40% + 2月GMV达成率 × 60%</t>
        </is>
      </c>
    </row>
    <row r="6">
      <c r="A6" s="10" t="inlineStr">
        <is>
          <t>二、排名规则</t>
        </is>
      </c>
    </row>
    <row r="7">
      <c r="A7" t="inlineStr">
        <is>
          <t>按合计得分从高到低排名</t>
        </is>
      </c>
    </row>
    <row r="8">
      <c r="A8" t="inlineStr">
        <is>
          <t>得分相同，按2月表现优先</t>
        </is>
      </c>
    </row>
    <row r="10">
      <c r="A10" s="10" t="inlineStr">
        <is>
          <t>三、调整原则</t>
        </is>
      </c>
    </row>
    <row r="11">
      <c r="A11" t="inlineStr">
        <is>
          <t>保优汰劣：按排名，尾部优先减</t>
        </is>
      </c>
    </row>
    <row r="12">
      <c r="A12" t="inlineStr">
        <is>
          <t>断崖缓冲：头部（排名第1-2）减量≤30%</t>
        </is>
      </c>
    </row>
    <row r="13">
      <c r="A13" t="inlineStr">
        <is>
          <t>腰部（排名第3）适度减量</t>
        </is>
      </c>
    </row>
    <row r="14">
      <c r="A14" t="inlineStr">
        <is>
          <t>尾部（排名第4-5）大幅减量</t>
        </is>
      </c>
    </row>
    <row r="16">
      <c r="A16" s="10" t="inlineStr">
        <is>
          <t>四、数据来源</t>
        </is>
      </c>
    </row>
    <row r="17">
      <c r="A17" t="inlineStr">
        <is>
          <t>业务系统统计</t>
        </is>
      </c>
    </row>
    <row r="18">
      <c r="A18" t="inlineStr">
        <is>
          <t>导出时间：2026-03-09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2026-03-09T14:08:07Z</dcterms:created>
  <dcterms:modified xmlns:dcterms="http://purl.org/dc/terms/" xmlns:xsi="http://www.w3.org/2001/XMLSchema-instance" xsi:type="dcterms:W3CDTF">2026-03-09T14:08:07Z</dcterms:modified>
</cp:coreProperties>
</file>