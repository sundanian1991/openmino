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/>
  <mc:AlternateContent xmlns:mc="http://schemas.openxmlformats.org/markup-compatibility/2006">
    <mc:Choice Requires="x15">
      <x15ac:absPath xmlns:x15ac="http://schemas.microsoft.com/office/spreadsheetml/2010/11/ac" url="\\Mac\Home\Desktop\GFD农村金融论文\论文及数据\"/>
    </mc:Choice>
  </mc:AlternateContent>
  <bookViews>
    <workbookView xWindow="0" yWindow="0" windowWidth="21570" windowHeight="9525" activeTab="2"/>
  </bookViews>
  <sheets>
    <sheet name="Sheet1" sheetId="1" r:id="rId1"/>
    <sheet name="Sheet2" sheetId="2" r:id="rId2"/>
    <sheet name="Sheet3" sheetId="3" r:id="rId3"/>
  </sheets>
  <definedNames>
    <definedName name="__xlchart.0" hidden="1">Sheet3!$A$28:$A$32</definedName>
    <definedName name="__xlchart.1" hidden="1">Sheet3!$B$27</definedName>
    <definedName name="__xlchart.2" hidden="1">Sheet3!$B$28:$B$32</definedName>
    <definedName name="__xlchart.3" hidden="1">Sheet3!$C$27</definedName>
    <definedName name="__xlchart.4" hidden="1">Sheet3!$C$28:$C$32</definedName>
    <definedName name="__xlchart.5" hidden="1">Sheet3!$D$27</definedName>
    <definedName name="__xlchart.6" hidden="1">Sheet3!$D$28:$D$32</definedName>
    <definedName name="__xlchart.7" hidden="1">Sheet3!$E$27</definedName>
    <definedName name="__xlchart.8" hidden="1">Sheet3!$E$28:$E$32</definedName>
    <definedName name="ExternalData_1" localSheetId="0">Sheet1!$A$3:$AF$12</definedName>
    <definedName name="ExternalData_1" localSheetId="1">Sheet2!$A$11:$AF$18</definedName>
    <definedName name="ExternalData_1" localSheetId="2">Sheet3!$A$28:$E$32</definedName>
    <definedName name="ExternalData_2" localSheetId="0">Sheet1!$A$26:$B$36</definedName>
  </definedNames>
  <calcPr calcId="162913" concurrentCalc="0"/>
  <oleSize ref="A1:N25"/>
  <fileRecoveryPr repairLoad="1"/>
</workbook>
</file>

<file path=xl/connections.xml><?xml version="1.0" encoding="utf-8"?>
<connections xmlns="http://schemas.openxmlformats.org/spreadsheetml/2006/main">
  <connection id="1" name="连接" type="7" refreshedVersion="4" savePassword="1" background="1" saveData="1"/>
  <connection id="2" name="连接1" type="7" refreshedVersion="4" savePassword="1" background="1" saveData="1"/>
  <connection id="3" name="连接2" type="7" refreshedVersion="4" savePassword="1" background="1" saveData="1"/>
  <connection id="4" name="连接3" type="7" refreshedVersion="6" savePassword="1" background="1" saveData="1"/>
</connections>
</file>

<file path=xl/sharedStrings.xml><?xml version="1.0" encoding="utf-8"?>
<sst xmlns="http://schemas.openxmlformats.org/spreadsheetml/2006/main" count="165" uniqueCount="73">
  <si>
    <t>指标名称</t>
  </si>
  <si>
    <t>年</t>
  </si>
  <si>
    <t xml:space="preserve">频率（万人） </t>
    <phoneticPr fontId="1" type="noConversion"/>
  </si>
  <si>
    <t>guangdong</t>
    <phoneticPr fontId="2" type="noConversion"/>
  </si>
  <si>
    <t>guangxi</t>
    <phoneticPr fontId="2" type="noConversion"/>
  </si>
  <si>
    <t>hainan</t>
    <phoneticPr fontId="2" type="noConversion"/>
  </si>
  <si>
    <t>chongqing</t>
    <phoneticPr fontId="2" type="noConversion"/>
  </si>
  <si>
    <t>sichuan</t>
    <phoneticPr fontId="2" type="noConversion"/>
  </si>
  <si>
    <t>guizhou</t>
    <phoneticPr fontId="2" type="noConversion"/>
  </si>
  <si>
    <t>yunnan</t>
    <phoneticPr fontId="2" type="noConversion"/>
  </si>
  <si>
    <t>xizang</t>
    <phoneticPr fontId="2" type="noConversion"/>
  </si>
  <si>
    <t>shanxi</t>
    <phoneticPr fontId="2" type="noConversion"/>
  </si>
  <si>
    <t>gansu</t>
    <phoneticPr fontId="2" type="noConversion"/>
  </si>
  <si>
    <t>qinghai</t>
    <phoneticPr fontId="2" type="noConversion"/>
  </si>
  <si>
    <t>ningxia</t>
    <phoneticPr fontId="2" type="noConversion"/>
  </si>
  <si>
    <t>xinjiang</t>
    <phoneticPr fontId="2" type="noConversion"/>
  </si>
  <si>
    <t>beijing</t>
    <phoneticPr fontId="2" type="noConversion"/>
  </si>
  <si>
    <t>tianjing</t>
    <phoneticPr fontId="2" type="noConversion"/>
  </si>
  <si>
    <t>hebei</t>
    <phoneticPr fontId="2" type="noConversion"/>
  </si>
  <si>
    <t>neimenggu</t>
    <phoneticPr fontId="2" type="noConversion"/>
  </si>
  <si>
    <t>liaoning</t>
    <phoneticPr fontId="2" type="noConversion"/>
  </si>
  <si>
    <t>jilin</t>
    <phoneticPr fontId="2" type="noConversion"/>
  </si>
  <si>
    <t>heilongjiang</t>
    <phoneticPr fontId="2" type="noConversion"/>
  </si>
  <si>
    <t>shanghai</t>
    <phoneticPr fontId="2" type="noConversion"/>
  </si>
  <si>
    <t>jiangsu</t>
    <phoneticPr fontId="2" type="noConversion"/>
  </si>
  <si>
    <t>zhejiang</t>
    <phoneticPr fontId="2" type="noConversion"/>
  </si>
  <si>
    <t>anhui</t>
    <phoneticPr fontId="2" type="noConversion"/>
  </si>
  <si>
    <t>fujian</t>
    <phoneticPr fontId="2" type="noConversion"/>
  </si>
  <si>
    <t>jiangxi</t>
    <phoneticPr fontId="2" type="noConversion"/>
  </si>
  <si>
    <t>shandong</t>
    <phoneticPr fontId="2" type="noConversion"/>
  </si>
  <si>
    <t>henan</t>
    <phoneticPr fontId="2" type="noConversion"/>
  </si>
  <si>
    <t>hubei</t>
    <phoneticPr fontId="2" type="noConversion"/>
  </si>
  <si>
    <t>hunan</t>
    <phoneticPr fontId="2" type="noConversion"/>
  </si>
  <si>
    <t>农村网民（万人）</t>
    <phoneticPr fontId="1" type="noConversion"/>
  </si>
  <si>
    <t>涉农贷款余额（亿元）</t>
    <phoneticPr fontId="1" type="noConversion"/>
  </si>
  <si>
    <r>
      <t>shanxi</t>
    </r>
    <r>
      <rPr>
        <sz val="11"/>
        <color indexed="8"/>
        <rFont val="宋体"/>
        <charset val="134"/>
      </rPr>
      <t>2</t>
    </r>
    <phoneticPr fontId="2" type="noConversion"/>
  </si>
  <si>
    <r>
      <t>shanxi</t>
    </r>
    <r>
      <rPr>
        <sz val="11"/>
        <color indexed="8"/>
        <rFont val="宋体"/>
        <charset val="134"/>
      </rPr>
      <t>1</t>
    </r>
    <phoneticPr fontId="2" type="noConversion"/>
  </si>
  <si>
    <t>人口数（万人）</t>
    <phoneticPr fontId="2" type="noConversion"/>
  </si>
  <si>
    <t>农村人口数（万人）</t>
    <phoneticPr fontId="2" type="noConversion"/>
  </si>
  <si>
    <t>GDP（十亿）</t>
    <phoneticPr fontId="2" type="noConversion"/>
  </si>
  <si>
    <t>第一产业GDP（十亿）</t>
    <phoneticPr fontId="2" type="noConversion"/>
  </si>
  <si>
    <t>农户固定资产投资（亿元）</t>
    <phoneticPr fontId="2" type="noConversion"/>
  </si>
  <si>
    <t>农业相关财政支出（亿元）</t>
    <phoneticPr fontId="2" type="noConversion"/>
  </si>
  <si>
    <t>农民人均年收入（元）</t>
    <phoneticPr fontId="2" type="noConversion"/>
  </si>
  <si>
    <t>浙江</t>
    <phoneticPr fontId="1" type="noConversion"/>
  </si>
  <si>
    <t>广东</t>
    <phoneticPr fontId="1" type="noConversion"/>
  </si>
  <si>
    <t>江苏</t>
    <phoneticPr fontId="1" type="noConversion"/>
  </si>
  <si>
    <t>山东</t>
    <phoneticPr fontId="1" type="noConversion"/>
  </si>
  <si>
    <t>福建</t>
    <phoneticPr fontId="1" type="noConversion"/>
  </si>
  <si>
    <t>河北</t>
    <phoneticPr fontId="1" type="noConversion"/>
  </si>
  <si>
    <t>河南</t>
    <phoneticPr fontId="1" type="noConversion"/>
  </si>
  <si>
    <t>天津</t>
    <phoneticPr fontId="1" type="noConversion"/>
  </si>
  <si>
    <t>江西</t>
    <phoneticPr fontId="1" type="noConversion"/>
  </si>
  <si>
    <t>辽宁</t>
    <phoneticPr fontId="1" type="noConversion"/>
  </si>
  <si>
    <t>安徽</t>
    <phoneticPr fontId="1" type="noConversion"/>
  </si>
  <si>
    <t>湖北</t>
    <phoneticPr fontId="1" type="noConversion"/>
  </si>
  <si>
    <t>四川</t>
    <phoneticPr fontId="1" type="noConversion"/>
  </si>
  <si>
    <t>北京</t>
    <phoneticPr fontId="1" type="noConversion"/>
  </si>
  <si>
    <t>湖南</t>
    <phoneticPr fontId="1" type="noConversion"/>
  </si>
  <si>
    <t>吉林</t>
    <phoneticPr fontId="1" type="noConversion"/>
  </si>
  <si>
    <t>山西</t>
    <phoneticPr fontId="1" type="noConversion"/>
  </si>
  <si>
    <t>广西</t>
    <phoneticPr fontId="1" type="noConversion"/>
  </si>
  <si>
    <t>贵州</t>
    <phoneticPr fontId="1" type="noConversion"/>
  </si>
  <si>
    <t>宁夏</t>
    <phoneticPr fontId="1" type="noConversion"/>
  </si>
  <si>
    <t>陕西</t>
    <phoneticPr fontId="1" type="noConversion"/>
  </si>
  <si>
    <t>新疆</t>
    <phoneticPr fontId="1" type="noConversion"/>
  </si>
  <si>
    <t>云南</t>
    <phoneticPr fontId="1" type="noConversion"/>
  </si>
  <si>
    <t>重庆</t>
    <phoneticPr fontId="1" type="noConversion"/>
  </si>
  <si>
    <t>农村合作银行</t>
    <phoneticPr fontId="1" type="noConversion"/>
  </si>
  <si>
    <t>农村商业银行</t>
    <phoneticPr fontId="1" type="noConversion"/>
  </si>
  <si>
    <t>农村信用社</t>
    <phoneticPr fontId="1" type="noConversion"/>
  </si>
  <si>
    <t>新型农村金融机构和邮政储蓄银行</t>
    <phoneticPr fontId="1" type="noConversion"/>
  </si>
  <si>
    <t>总数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</si>
</sst>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84" formatCode="yyyy;@"/>
    <numFmt numFmtId="185" formatCode="###,###,###,###,##0.00_ "/>
    <numFmt numFmtId="186" formatCode="#,##0.00_ "/>
    <numFmt numFmtId="190" formatCode="###,###,###,###,##0_ "/>
    <numFmt numFmtId="191" formatCode="yyyy"/>
    <numFmt numFmtId="192" formatCode="###0.000"/>
  </numFmts>
  <fonts count="8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184" fontId="4" fillId="0" borderId="0" xfId="0" applyNumberFormat="1" applyFont="1" applyAlignment="1">
      <alignment horizontal="left" vertical="center"/>
    </xf>
    <xf numFmtId="185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4" fontId="4" fillId="0" borderId="0" xfId="0" applyNumberFormat="1" applyFont="1">
      <alignment vertical="center"/>
    </xf>
    <xf numFmtId="185" fontId="4" fillId="0" borderId="0" xfId="0" applyNumberFormat="1" applyFont="1" applyAlignment="1">
      <alignment horizontal="right" vertical="center"/>
    </xf>
    <xf numFmtId="0" fontId="4" fillId="0" borderId="0" xfId="0" applyFont="1">
      <alignment vertical="center"/>
    </xf>
    <xf numFmtId="186" fontId="4" fillId="0" borderId="0" xfId="0" applyNumberFormat="1" applyFont="1" applyAlignment="1">
      <alignment horizontal="right" vertical="center"/>
    </xf>
    <xf numFmtId="0" fontId="0" fillId="0" borderId="0" xfId="0" applyFont="1">
      <alignment vertical="center"/>
    </xf>
    <xf numFmtId="184" fontId="4" fillId="0" borderId="0" xfId="0" applyNumberFormat="1" applyFont="1">
      <alignment vertical="center"/>
    </xf>
    <xf numFmtId="185" fontId="4" fillId="0" borderId="0" xfId="0" applyNumberFormat="1" applyFont="1" applyAlignment="1">
      <alignment horizontal="right" vertical="center"/>
    </xf>
    <xf numFmtId="0" fontId="4" fillId="0" borderId="0" xfId="0" applyFont="1">
      <alignment vertical="center"/>
    </xf>
    <xf numFmtId="192" fontId="0" fillId="0" borderId="0" xfId="0" applyNumberFormat="1" applyAlignment="1"/>
    <xf numFmtId="191" fontId="0" fillId="0" borderId="0" xfId="0" applyNumberFormat="1" applyAlignment="1"/>
    <xf numFmtId="0" fontId="0" fillId="0" borderId="0" xfId="0" applyAlignment="1"/>
    <xf numFmtId="191" fontId="0" fillId="2" borderId="0" xfId="0" applyNumberFormat="1" applyFill="1" applyAlignment="1"/>
    <xf numFmtId="0" fontId="5" fillId="0" borderId="0" xfId="0" applyFont="1">
      <alignment vertical="center"/>
    </xf>
    <xf numFmtId="184" fontId="6" fillId="0" borderId="0" xfId="0" applyNumberFormat="1" applyFont="1" applyAlignment="1">
      <alignment horizontal="left" vertical="center"/>
    </xf>
    <xf numFmtId="185" fontId="7" fillId="0" borderId="0" xfId="0" applyNumberFormat="1" applyFont="1" applyAlignment="1">
      <alignment horizontal="left" vertical="center"/>
    </xf>
    <xf numFmtId="184" fontId="7" fillId="0" borderId="0" xfId="0" applyNumberFormat="1" applyFont="1">
      <alignment vertical="center"/>
    </xf>
    <xf numFmtId="190" fontId="7" fillId="0" borderId="0" xfId="0" applyNumberFormat="1" applyFont="1" applyAlignment="1">
      <alignment horizontal="right" vertical="center"/>
    </xf>
    <xf numFmtId="19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Sheet3!$A$1:$A$24</c:f>
              <c:strCache>
                <c:ptCount val="24"/>
                <c:pt idx="0">
                  <c:v>浙江</c:v>
                </c:pt>
                <c:pt idx="1">
                  <c:v>广东</c:v>
                </c:pt>
                <c:pt idx="2">
                  <c:v>江苏</c:v>
                </c:pt>
                <c:pt idx="3">
                  <c:v>山东</c:v>
                </c:pt>
                <c:pt idx="4">
                  <c:v>福建</c:v>
                </c:pt>
                <c:pt idx="5">
                  <c:v>河北</c:v>
                </c:pt>
                <c:pt idx="6">
                  <c:v>河南</c:v>
                </c:pt>
                <c:pt idx="7">
                  <c:v>天津</c:v>
                </c:pt>
                <c:pt idx="8">
                  <c:v>江西</c:v>
                </c:pt>
                <c:pt idx="9">
                  <c:v>辽宁</c:v>
                </c:pt>
                <c:pt idx="10">
                  <c:v>安徽</c:v>
                </c:pt>
                <c:pt idx="11">
                  <c:v>湖北</c:v>
                </c:pt>
                <c:pt idx="12">
                  <c:v>四川</c:v>
                </c:pt>
                <c:pt idx="13">
                  <c:v>北京</c:v>
                </c:pt>
                <c:pt idx="14">
                  <c:v>湖南</c:v>
                </c:pt>
                <c:pt idx="15">
                  <c:v>吉林</c:v>
                </c:pt>
                <c:pt idx="16">
                  <c:v>山西</c:v>
                </c:pt>
                <c:pt idx="17">
                  <c:v>广西</c:v>
                </c:pt>
                <c:pt idx="18">
                  <c:v>贵州</c:v>
                </c:pt>
                <c:pt idx="19">
                  <c:v>宁夏</c:v>
                </c:pt>
                <c:pt idx="20">
                  <c:v>陕西</c:v>
                </c:pt>
                <c:pt idx="21">
                  <c:v>新疆</c:v>
                </c:pt>
                <c:pt idx="22">
                  <c:v>云南</c:v>
                </c:pt>
                <c:pt idx="23">
                  <c:v>重庆</c:v>
                </c:pt>
              </c:strCache>
            </c:strRef>
          </c:cat>
          <c:val>
            <c:numRef>
              <c:f>Sheet3!$B$1:$B$24</c:f>
              <c:numCache>
                <c:formatCode>General</c:formatCode>
                <c:ptCount val="24"/>
                <c:pt idx="0">
                  <c:v>779</c:v>
                </c:pt>
                <c:pt idx="1">
                  <c:v>411</c:v>
                </c:pt>
                <c:pt idx="2">
                  <c:v>262</c:v>
                </c:pt>
                <c:pt idx="3">
                  <c:v>243</c:v>
                </c:pt>
                <c:pt idx="4">
                  <c:v>187</c:v>
                </c:pt>
                <c:pt idx="5">
                  <c:v>146</c:v>
                </c:pt>
                <c:pt idx="6">
                  <c:v>34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1-472E-AFA4-6DE4CB963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326632"/>
        <c:axId val="375326960"/>
      </c:barChart>
      <c:catAx>
        <c:axId val="37532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5326960"/>
        <c:crosses val="autoZero"/>
        <c:auto val="1"/>
        <c:lblAlgn val="ctr"/>
        <c:lblOffset val="100"/>
        <c:noMultiLvlLbl val="0"/>
      </c:catAx>
      <c:valAx>
        <c:axId val="375326960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5326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Sheet3!$B$27</c:f>
              <c:strCache>
                <c:ptCount val="1"/>
                <c:pt idx="0">
                  <c:v>农村合作银行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Sheet3!$A$28:$A$32</c:f>
              <c:numCache>
                <c:formatCode>yyyy;@</c:formatCode>
                <c:ptCount val="5"/>
                <c:pt idx="0">
                  <c:v>41274</c:v>
                </c:pt>
                <c:pt idx="1">
                  <c:v>41639</c:v>
                </c:pt>
                <c:pt idx="2">
                  <c:v>42004</c:v>
                </c:pt>
                <c:pt idx="3">
                  <c:v>42369</c:v>
                </c:pt>
                <c:pt idx="4">
                  <c:v>42735</c:v>
                </c:pt>
              </c:numCache>
            </c:numRef>
          </c:cat>
          <c:val>
            <c:numRef>
              <c:f>Sheet3!$B$28:$B$32</c:f>
              <c:numCache>
                <c:formatCode>###,###,###,###,##0_ </c:formatCode>
                <c:ptCount val="5"/>
                <c:pt idx="0">
                  <c:v>147</c:v>
                </c:pt>
                <c:pt idx="1">
                  <c:v>122</c:v>
                </c:pt>
                <c:pt idx="2">
                  <c:v>89</c:v>
                </c:pt>
                <c:pt idx="3">
                  <c:v>71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59-45D6-A4BC-8E3CF0365515}"/>
            </c:ext>
          </c:extLst>
        </c:ser>
        <c:ser>
          <c:idx val="1"/>
          <c:order val="1"/>
          <c:tx>
            <c:strRef>
              <c:f>Sheet3!$C$27</c:f>
              <c:strCache>
                <c:ptCount val="1"/>
                <c:pt idx="0">
                  <c:v>农村商业银行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Sheet3!$A$28:$A$32</c:f>
              <c:numCache>
                <c:formatCode>yyyy;@</c:formatCode>
                <c:ptCount val="5"/>
                <c:pt idx="0">
                  <c:v>41274</c:v>
                </c:pt>
                <c:pt idx="1">
                  <c:v>41639</c:v>
                </c:pt>
                <c:pt idx="2">
                  <c:v>42004</c:v>
                </c:pt>
                <c:pt idx="3">
                  <c:v>42369</c:v>
                </c:pt>
                <c:pt idx="4">
                  <c:v>42735</c:v>
                </c:pt>
              </c:numCache>
            </c:numRef>
          </c:cat>
          <c:val>
            <c:numRef>
              <c:f>Sheet3!$C$28:$C$32</c:f>
              <c:numCache>
                <c:formatCode>###,###,###,###,##0_ </c:formatCode>
                <c:ptCount val="5"/>
                <c:pt idx="0">
                  <c:v>337</c:v>
                </c:pt>
                <c:pt idx="1">
                  <c:v>468</c:v>
                </c:pt>
                <c:pt idx="2">
                  <c:v>665</c:v>
                </c:pt>
                <c:pt idx="3">
                  <c:v>859</c:v>
                </c:pt>
                <c:pt idx="4">
                  <c:v>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59-45D6-A4BC-8E3CF0365515}"/>
            </c:ext>
          </c:extLst>
        </c:ser>
        <c:ser>
          <c:idx val="2"/>
          <c:order val="2"/>
          <c:tx>
            <c:strRef>
              <c:f>Sheet3!$D$27</c:f>
              <c:strCache>
                <c:ptCount val="1"/>
                <c:pt idx="0">
                  <c:v>农村信用社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Sheet3!$A$28:$A$32</c:f>
              <c:numCache>
                <c:formatCode>yyyy;@</c:formatCode>
                <c:ptCount val="5"/>
                <c:pt idx="0">
                  <c:v>41274</c:v>
                </c:pt>
                <c:pt idx="1">
                  <c:v>41639</c:v>
                </c:pt>
                <c:pt idx="2">
                  <c:v>42004</c:v>
                </c:pt>
                <c:pt idx="3">
                  <c:v>42369</c:v>
                </c:pt>
                <c:pt idx="4">
                  <c:v>42735</c:v>
                </c:pt>
              </c:numCache>
            </c:numRef>
          </c:cat>
          <c:val>
            <c:numRef>
              <c:f>Sheet3!$D$28:$D$32</c:f>
              <c:numCache>
                <c:formatCode>###,###,###,###,##0_ </c:formatCode>
                <c:ptCount val="5"/>
                <c:pt idx="0">
                  <c:v>1927</c:v>
                </c:pt>
                <c:pt idx="1">
                  <c:v>1803</c:v>
                </c:pt>
                <c:pt idx="2">
                  <c:v>1596</c:v>
                </c:pt>
                <c:pt idx="3">
                  <c:v>1373</c:v>
                </c:pt>
                <c:pt idx="4">
                  <c:v>1125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59-45D6-A4BC-8E3CF0365515}"/>
            </c:ext>
          </c:extLst>
        </c:ser>
        <c:ser>
          <c:idx val="3"/>
          <c:order val="3"/>
          <c:tx>
            <c:strRef>
              <c:f>Sheet3!$E$27</c:f>
              <c:strCache>
                <c:ptCount val="1"/>
                <c:pt idx="0">
                  <c:v>新型农村金融机构和邮政储蓄银行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Sheet3!$A$28:$A$32</c:f>
              <c:numCache>
                <c:formatCode>yyyy;@</c:formatCode>
                <c:ptCount val="5"/>
                <c:pt idx="0">
                  <c:v>41274</c:v>
                </c:pt>
                <c:pt idx="1">
                  <c:v>41639</c:v>
                </c:pt>
                <c:pt idx="2">
                  <c:v>42004</c:v>
                </c:pt>
                <c:pt idx="3">
                  <c:v>42369</c:v>
                </c:pt>
                <c:pt idx="4">
                  <c:v>42735</c:v>
                </c:pt>
              </c:numCache>
            </c:numRef>
          </c:cat>
          <c:val>
            <c:numRef>
              <c:f>Sheet3!$E$28:$E$32</c:f>
              <c:numCache>
                <c:formatCode>###,###,###,###,##0_ </c:formatCode>
                <c:ptCount val="5"/>
                <c:pt idx="0">
                  <c:v>864</c:v>
                </c:pt>
                <c:pt idx="1">
                  <c:v>1052</c:v>
                </c:pt>
                <c:pt idx="2">
                  <c:v>1218</c:v>
                </c:pt>
                <c:pt idx="3">
                  <c:v>1375</c:v>
                </c:pt>
                <c:pt idx="4">
                  <c:v>1506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59-45D6-A4BC-8E3CF0365515}"/>
            </c:ext>
          </c:extLst>
        </c:ser>
        <c:ser>
          <c:idx val="4"/>
          <c:order val="4"/>
          <c:tx>
            <c:strRef>
              <c:f>Sheet3!$F$27</c:f>
              <c:strCache>
                <c:ptCount val="1"/>
                <c:pt idx="0">
                  <c:v>总数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Sheet3!$F$28:$F$32</c:f>
              <c:numCache>
                <c:formatCode>###,###,###,###,##0_ </c:formatCode>
                <c:ptCount val="5"/>
                <c:pt idx="0">
                  <c:v>3275</c:v>
                </c:pt>
                <c:pt idx="1">
                  <c:v>3445</c:v>
                </c:pt>
                <c:pt idx="2">
                  <c:v>3568</c:v>
                </c:pt>
                <c:pt idx="3">
                  <c:v>3678</c:v>
                </c:pt>
                <c:pt idx="4">
                  <c:v>3785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59-45D6-A4BC-8E3CF0365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844928"/>
        <c:axId val="495844600"/>
      </c:lineChart>
      <c:dateAx>
        <c:axId val="495844928"/>
        <c:scaling>
          <c:orientation val="minMax"/>
        </c:scaling>
        <c:delete val="0"/>
        <c:axPos val="b"/>
        <c:numFmt formatCode="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844600"/>
        <c:crosses val="autoZero"/>
        <c:auto val="1"/>
        <c:lblOffset val="100"/>
        <c:baseTimeUnit val="years"/>
      </c:dateAx>
      <c:valAx>
        <c:axId val="495844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84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Sheet3!$A$36:$A$42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Sheet3!$B$36:$B$42</c:f>
              <c:numCache>
                <c:formatCode>General</c:formatCode>
                <c:ptCount val="7"/>
                <c:pt idx="0">
                  <c:v>1.48</c:v>
                </c:pt>
                <c:pt idx="1">
                  <c:v>1.7</c:v>
                </c:pt>
                <c:pt idx="2">
                  <c:v>1.94</c:v>
                </c:pt>
                <c:pt idx="3">
                  <c:v>2.14</c:v>
                </c:pt>
                <c:pt idx="4">
                  <c:v>2.37</c:v>
                </c:pt>
                <c:pt idx="5">
                  <c:v>2.58</c:v>
                </c:pt>
                <c:pt idx="6">
                  <c:v>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AB-4A13-BF51-08F43383C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840536"/>
        <c:axId val="505840864"/>
      </c:barChart>
      <c:catAx>
        <c:axId val="505840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5840864"/>
        <c:crosses val="autoZero"/>
        <c:auto val="1"/>
        <c:lblAlgn val="ctr"/>
        <c:lblOffset val="100"/>
        <c:noMultiLvlLbl val="0"/>
      </c:catAx>
      <c:valAx>
        <c:axId val="50584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5840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</xdr:row>
      <xdr:rowOff>128587</xdr:rowOff>
    </xdr:from>
    <xdr:to>
      <xdr:col>9</xdr:col>
      <xdr:colOff>590550</xdr:colOff>
      <xdr:row>18</xdr:row>
      <xdr:rowOff>128587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400050</xdr:colOff>
      <xdr:row>17</xdr:row>
      <xdr:rowOff>147637</xdr:rowOff>
    </xdr:from>
    <xdr:to>
      <xdr:col>13</xdr:col>
      <xdr:colOff>238125</xdr:colOff>
      <xdr:row>33</xdr:row>
      <xdr:rowOff>147637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176212</xdr:colOff>
      <xdr:row>33</xdr:row>
      <xdr:rowOff>147637</xdr:rowOff>
    </xdr:from>
    <xdr:to>
      <xdr:col>10</xdr:col>
      <xdr:colOff>585787</xdr:colOff>
      <xdr:row>49</xdr:row>
      <xdr:rowOff>147637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2" headers="0" disableRefresh="1" disableEdit="1" connectionId="2" autoFormatId="16" applyNumberFormats="0" applyBorderFormats="0" applyFontFormats="1" applyPatternFormats="1" applyAlignmentFormats="0" applyWidthHeightFormats="0">
  <queryTableRefresh headersInLastRefresh="0" nextId="3">
    <queryTableFields/>
  </queryTableRefresh>
</queryTable>
</file>

<file path=xl/queryTables/queryTable2.xml><?xml version="1.0" encoding="utf-8"?>
<queryTable xmlns="http://schemas.openxmlformats.org/spreadsheetml/2006/main" name="ExternalData_1" headers="0" disableRefresh="1" disableEdit="1" connectionId="1" autoFormatId="16" applyNumberFormats="0" applyBorderFormats="0" applyFontFormats="1" applyPatternFormats="1" applyAlignmentFormats="0" applyWidthHeightFormats="0">
  <queryTableRefresh headersInLastRefresh="0" nextId="33">
    <queryTableFields/>
  </queryTableRefresh>
</queryTable>
</file>

<file path=xl/queryTables/queryTable3.xml><?xml version="1.0" encoding="utf-8"?>
<queryTable xmlns="http://schemas.openxmlformats.org/spreadsheetml/2006/main" name="ExternalData_1" headers="0" disableRefresh="1" disableEdit="1" connectionId="3" autoFormatId="16" applyNumberFormats="0" applyBorderFormats="0" applyFontFormats="1" applyPatternFormats="1" applyAlignmentFormats="0" applyWidthHeightFormats="0">
  <queryTableRefresh headersInLastRefresh="0" nextId="33">
    <queryTableFields/>
  </queryTableRefresh>
</queryTable>
</file>

<file path=xl/queryTables/queryTable4.xml><?xml version="1.0" encoding="utf-8"?>
<queryTable xmlns="http://schemas.openxmlformats.org/spreadsheetml/2006/main" name="ExternalData_1" headers="0" disableRefresh="1" disableEdit="1" connectionId="4" autoFormatId="16" applyNumberFormats="0" applyBorderFormats="0" applyFontFormats="1" applyPatternFormats="1" applyAlignmentFormats="0" applyWidthHeightFormats="0">
  <queryTableRefresh headersInLastRefresh="0" nextId="6">
    <queryTableFields count="5">
      <queryTableField id="1" name="Field1"/>
      <queryTableField id="2" name="Field2"/>
      <queryTableField id="3" name="Field3"/>
      <queryTableField id="4" name="Field4"/>
      <queryTableField id="5" name="Field5"/>
    </queryTableFields>
  </queryTableRefresh>
</queryTable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workbookViewId="0">
      <selection activeCell="U28" sqref="U28"/>
    </sheetView>
  </sheetViews>
  <sheetFormatPr defaultRowHeight="12" x14ac:dyDescent="0.15"/>
  <cols>
    <col min="1" max="1" width="12.625" style="4" customWidth="1"/>
    <col min="2" max="2" width="13.125" style="5" bestFit="1" customWidth="1"/>
    <col min="3" max="5" width="12.375" style="5" bestFit="1" customWidth="1"/>
    <col min="6" max="6" width="14.125" style="5" bestFit="1" customWidth="1"/>
    <col min="7" max="8" width="12.375" style="5" bestFit="1" customWidth="1"/>
    <col min="9" max="9" width="14.125" style="5" bestFit="1" customWidth="1"/>
    <col min="10" max="32" width="12.375" style="5" bestFit="1" customWidth="1"/>
    <col min="33" max="256" width="11" style="6" customWidth="1"/>
    <col min="257" max="16384" width="9" style="6"/>
  </cols>
  <sheetData>
    <row r="1" spans="1:32" s="3" customFormat="1" ht="13.5" x14ac:dyDescent="0.15">
      <c r="A1" s="1" t="s">
        <v>0</v>
      </c>
      <c r="B1" t="s">
        <v>16</v>
      </c>
      <c r="C1" t="s">
        <v>17</v>
      </c>
      <c r="D1" t="s">
        <v>18</v>
      </c>
      <c r="E1" t="s">
        <v>11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  <c r="AF1" t="s">
        <v>15</v>
      </c>
    </row>
    <row r="2" spans="1:32" s="3" customFormat="1" x14ac:dyDescent="0.15">
      <c r="A2" s="1" t="s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</row>
    <row r="3" spans="1:32" x14ac:dyDescent="0.15">
      <c r="A3" s="4">
        <v>39447</v>
      </c>
      <c r="B3" s="5">
        <v>740</v>
      </c>
      <c r="C3" s="5">
        <v>287</v>
      </c>
      <c r="D3" s="5">
        <v>762</v>
      </c>
      <c r="E3" s="5">
        <v>536</v>
      </c>
      <c r="F3" s="5">
        <v>322</v>
      </c>
      <c r="G3" s="5">
        <v>786</v>
      </c>
      <c r="H3" s="5">
        <v>438</v>
      </c>
      <c r="I3" s="5">
        <v>476</v>
      </c>
      <c r="J3" s="5">
        <v>830</v>
      </c>
      <c r="K3" s="5">
        <v>1757</v>
      </c>
      <c r="L3" s="5">
        <v>1509</v>
      </c>
      <c r="M3" s="5">
        <v>591</v>
      </c>
      <c r="N3" s="5">
        <v>866</v>
      </c>
      <c r="O3" s="5">
        <v>511</v>
      </c>
      <c r="P3" s="5">
        <v>1256</v>
      </c>
      <c r="Q3" s="5">
        <v>956</v>
      </c>
      <c r="R3" s="5">
        <v>706</v>
      </c>
      <c r="S3" s="5">
        <v>690</v>
      </c>
      <c r="T3" s="5">
        <v>3344</v>
      </c>
      <c r="U3" s="5">
        <v>560</v>
      </c>
      <c r="V3" s="5">
        <v>144</v>
      </c>
      <c r="W3" s="5">
        <v>356</v>
      </c>
      <c r="X3" s="5">
        <v>813</v>
      </c>
      <c r="Y3" s="5">
        <v>225</v>
      </c>
      <c r="Z3" s="5">
        <v>303</v>
      </c>
      <c r="AA3" s="5">
        <v>37</v>
      </c>
      <c r="AB3" s="5">
        <v>517</v>
      </c>
      <c r="AC3" s="5">
        <v>219</v>
      </c>
      <c r="AD3" s="5">
        <v>60</v>
      </c>
      <c r="AE3" s="5">
        <v>64</v>
      </c>
      <c r="AF3" s="5">
        <v>363</v>
      </c>
    </row>
    <row r="4" spans="1:32" x14ac:dyDescent="0.15">
      <c r="A4" s="4">
        <v>39813</v>
      </c>
      <c r="B4" s="5">
        <v>981</v>
      </c>
      <c r="C4" s="5">
        <v>485</v>
      </c>
      <c r="D4" s="5">
        <v>1334</v>
      </c>
      <c r="E4" s="5">
        <v>819</v>
      </c>
      <c r="F4" s="5">
        <v>385</v>
      </c>
      <c r="G4" s="5">
        <v>1142</v>
      </c>
      <c r="H4" s="5">
        <v>521</v>
      </c>
      <c r="I4" s="5">
        <v>620</v>
      </c>
      <c r="J4" s="5">
        <v>1110</v>
      </c>
      <c r="K4" s="5">
        <v>2084</v>
      </c>
      <c r="L4" s="5">
        <v>2108</v>
      </c>
      <c r="M4" s="5">
        <v>727</v>
      </c>
      <c r="N4" s="5">
        <v>1379</v>
      </c>
      <c r="O4" s="5">
        <v>610</v>
      </c>
      <c r="P4" s="5">
        <v>1983</v>
      </c>
      <c r="Q4" s="5">
        <v>1283</v>
      </c>
      <c r="R4" s="5">
        <v>1050</v>
      </c>
      <c r="S4" s="5">
        <v>999</v>
      </c>
      <c r="T4" s="5">
        <v>4554</v>
      </c>
      <c r="U4" s="5">
        <v>734</v>
      </c>
      <c r="V4" s="5">
        <v>216</v>
      </c>
      <c r="W4" s="5">
        <v>598</v>
      </c>
      <c r="X4" s="5">
        <v>1104</v>
      </c>
      <c r="Y4" s="5">
        <v>434</v>
      </c>
      <c r="Z4" s="5">
        <v>548</v>
      </c>
      <c r="AA4" s="5">
        <v>51</v>
      </c>
      <c r="AB4" s="5">
        <v>790</v>
      </c>
      <c r="AC4" s="5">
        <v>327</v>
      </c>
      <c r="AD4" s="5">
        <v>130</v>
      </c>
      <c r="AE4" s="5">
        <v>103</v>
      </c>
      <c r="AF4" s="5">
        <v>625</v>
      </c>
    </row>
    <row r="5" spans="1:32" x14ac:dyDescent="0.15">
      <c r="A5" s="4">
        <v>40178</v>
      </c>
      <c r="B5" s="5">
        <v>1103</v>
      </c>
      <c r="C5" s="5">
        <v>564</v>
      </c>
      <c r="D5" s="5">
        <v>1842</v>
      </c>
      <c r="E5" s="5">
        <v>1064</v>
      </c>
      <c r="F5" s="5">
        <v>575</v>
      </c>
      <c r="G5" s="5">
        <v>1595</v>
      </c>
      <c r="H5" s="5">
        <v>726</v>
      </c>
      <c r="I5" s="5">
        <v>912</v>
      </c>
      <c r="J5" s="5">
        <v>1171</v>
      </c>
      <c r="K5" s="5">
        <v>2765</v>
      </c>
      <c r="L5" s="5">
        <v>2452</v>
      </c>
      <c r="M5" s="5">
        <v>1069</v>
      </c>
      <c r="N5" s="5">
        <v>1629</v>
      </c>
      <c r="O5" s="5">
        <v>790</v>
      </c>
      <c r="P5" s="5">
        <v>2769</v>
      </c>
      <c r="Q5" s="5">
        <v>2007</v>
      </c>
      <c r="R5" s="5">
        <v>1469</v>
      </c>
      <c r="S5" s="5">
        <v>1406</v>
      </c>
      <c r="T5" s="5">
        <v>4860</v>
      </c>
      <c r="U5" s="5">
        <v>1030</v>
      </c>
      <c r="V5" s="5">
        <v>244</v>
      </c>
      <c r="W5" s="5">
        <v>803</v>
      </c>
      <c r="X5" s="5">
        <v>1635</v>
      </c>
      <c r="Y5" s="5">
        <v>573</v>
      </c>
      <c r="Z5" s="5">
        <v>844</v>
      </c>
      <c r="AA5" s="5">
        <v>53</v>
      </c>
      <c r="AB5" s="5">
        <v>995</v>
      </c>
      <c r="AC5" s="5">
        <v>535</v>
      </c>
      <c r="AD5" s="5">
        <v>154</v>
      </c>
      <c r="AE5" s="5">
        <v>141</v>
      </c>
      <c r="AF5" s="5">
        <v>634</v>
      </c>
    </row>
    <row r="6" spans="1:32" x14ac:dyDescent="0.15">
      <c r="A6" s="4">
        <v>40543</v>
      </c>
      <c r="B6" s="5">
        <v>1218</v>
      </c>
      <c r="C6" s="5">
        <v>648</v>
      </c>
      <c r="D6" s="5">
        <v>2197</v>
      </c>
      <c r="E6" s="5">
        <v>1250</v>
      </c>
      <c r="F6" s="5">
        <v>747</v>
      </c>
      <c r="G6" s="5">
        <v>1916</v>
      </c>
      <c r="H6" s="5">
        <v>882</v>
      </c>
      <c r="I6" s="5">
        <v>1127</v>
      </c>
      <c r="J6" s="5">
        <v>1239</v>
      </c>
      <c r="K6" s="5">
        <v>3306</v>
      </c>
      <c r="L6" s="5">
        <v>2786</v>
      </c>
      <c r="M6" s="5">
        <v>1392</v>
      </c>
      <c r="N6" s="5">
        <v>1848</v>
      </c>
      <c r="O6" s="5">
        <v>950</v>
      </c>
      <c r="P6" s="5">
        <v>3332</v>
      </c>
      <c r="Q6" s="5">
        <v>2417</v>
      </c>
      <c r="R6" s="5">
        <v>1902</v>
      </c>
      <c r="S6" s="5">
        <v>1747</v>
      </c>
      <c r="T6" s="5">
        <v>5324</v>
      </c>
      <c r="U6" s="5">
        <v>1226</v>
      </c>
      <c r="V6" s="5">
        <v>303</v>
      </c>
      <c r="W6" s="5">
        <v>990</v>
      </c>
      <c r="X6" s="5">
        <v>1998</v>
      </c>
      <c r="Y6" s="5">
        <v>751</v>
      </c>
      <c r="Z6" s="5">
        <v>1021</v>
      </c>
      <c r="AA6" s="5">
        <v>81</v>
      </c>
      <c r="AB6" s="5">
        <v>1295</v>
      </c>
      <c r="AC6" s="5">
        <v>655</v>
      </c>
      <c r="AD6" s="5">
        <v>188</v>
      </c>
      <c r="AE6" s="5">
        <v>175</v>
      </c>
      <c r="AF6" s="5">
        <v>819</v>
      </c>
    </row>
    <row r="7" spans="1:32" x14ac:dyDescent="0.15">
      <c r="A7" s="4">
        <v>40908</v>
      </c>
      <c r="B7" s="5">
        <v>1379</v>
      </c>
      <c r="C7" s="5">
        <v>719</v>
      </c>
      <c r="D7" s="5">
        <v>2597</v>
      </c>
      <c r="E7" s="5">
        <v>1405</v>
      </c>
      <c r="F7" s="5">
        <v>854</v>
      </c>
      <c r="G7" s="5">
        <v>2092</v>
      </c>
      <c r="H7" s="5">
        <v>966</v>
      </c>
      <c r="I7" s="5">
        <v>1206</v>
      </c>
      <c r="J7" s="5">
        <v>1525</v>
      </c>
      <c r="K7" s="5">
        <v>3685</v>
      </c>
      <c r="L7" s="5">
        <v>3052</v>
      </c>
      <c r="M7" s="5">
        <v>1585</v>
      </c>
      <c r="N7" s="5">
        <v>2102</v>
      </c>
      <c r="O7" s="5">
        <v>1088</v>
      </c>
      <c r="P7" s="5">
        <v>3625</v>
      </c>
      <c r="Q7" s="5">
        <v>2582</v>
      </c>
      <c r="R7" s="5">
        <v>2129</v>
      </c>
      <c r="S7" s="5">
        <v>1936</v>
      </c>
      <c r="T7" s="5">
        <v>6300</v>
      </c>
      <c r="U7" s="5">
        <v>1353</v>
      </c>
      <c r="V7" s="5">
        <v>338</v>
      </c>
      <c r="W7" s="5">
        <v>1068</v>
      </c>
      <c r="X7" s="5">
        <v>2229</v>
      </c>
      <c r="Y7" s="5">
        <v>840</v>
      </c>
      <c r="Z7" s="5">
        <v>1140</v>
      </c>
      <c r="AA7" s="5">
        <v>90</v>
      </c>
      <c r="AB7" s="5">
        <v>1429</v>
      </c>
      <c r="AC7" s="5">
        <v>700</v>
      </c>
      <c r="AD7" s="5">
        <v>208</v>
      </c>
      <c r="AE7" s="5">
        <v>207</v>
      </c>
      <c r="AF7" s="5">
        <v>882</v>
      </c>
    </row>
    <row r="8" spans="1:32" x14ac:dyDescent="0.15">
      <c r="A8" s="4">
        <v>41274</v>
      </c>
      <c r="B8" s="5">
        <v>1458</v>
      </c>
      <c r="C8" s="5">
        <v>793</v>
      </c>
      <c r="D8" s="5">
        <v>3008</v>
      </c>
      <c r="E8" s="5">
        <v>1589</v>
      </c>
      <c r="F8" s="5">
        <v>965</v>
      </c>
      <c r="G8" s="5">
        <v>2199</v>
      </c>
      <c r="H8" s="5">
        <v>1062</v>
      </c>
      <c r="I8" s="5">
        <v>1329</v>
      </c>
      <c r="J8" s="5">
        <v>1606</v>
      </c>
      <c r="K8" s="5">
        <v>3952</v>
      </c>
      <c r="L8" s="5">
        <v>3221</v>
      </c>
      <c r="M8" s="5">
        <v>1869</v>
      </c>
      <c r="N8" s="5">
        <v>2280</v>
      </c>
      <c r="O8" s="5">
        <v>1267</v>
      </c>
      <c r="P8" s="5">
        <v>3866</v>
      </c>
      <c r="Q8" s="5">
        <v>2856</v>
      </c>
      <c r="R8" s="5">
        <v>2309</v>
      </c>
      <c r="S8" s="5">
        <v>2200</v>
      </c>
      <c r="T8" s="5">
        <v>6627</v>
      </c>
      <c r="U8" s="5">
        <v>1586</v>
      </c>
      <c r="V8" s="5">
        <v>384</v>
      </c>
      <c r="W8" s="5">
        <v>1195</v>
      </c>
      <c r="X8" s="5">
        <v>2562</v>
      </c>
      <c r="Y8" s="5">
        <v>991</v>
      </c>
      <c r="Z8" s="5">
        <v>1321</v>
      </c>
      <c r="AA8" s="5">
        <v>101</v>
      </c>
      <c r="AB8" s="5">
        <v>1551</v>
      </c>
      <c r="AC8" s="5">
        <v>795</v>
      </c>
      <c r="AD8" s="5">
        <v>238</v>
      </c>
      <c r="AE8" s="5">
        <v>258</v>
      </c>
      <c r="AF8" s="5">
        <v>962</v>
      </c>
    </row>
    <row r="9" spans="1:32" x14ac:dyDescent="0.15">
      <c r="A9" s="4">
        <v>41639</v>
      </c>
      <c r="B9" s="5">
        <v>1556</v>
      </c>
      <c r="C9" s="5">
        <v>866</v>
      </c>
      <c r="D9" s="5">
        <v>3389</v>
      </c>
      <c r="E9" s="5">
        <v>1755</v>
      </c>
      <c r="F9" s="5">
        <v>1093</v>
      </c>
      <c r="G9" s="5">
        <v>2453</v>
      </c>
      <c r="H9" s="5">
        <v>1163</v>
      </c>
      <c r="I9" s="5">
        <v>1514</v>
      </c>
      <c r="J9" s="5">
        <v>1683</v>
      </c>
      <c r="K9" s="5">
        <v>4095</v>
      </c>
      <c r="L9" s="5">
        <v>3330</v>
      </c>
      <c r="M9" s="5">
        <v>2150</v>
      </c>
      <c r="N9" s="5">
        <v>2402</v>
      </c>
      <c r="O9" s="5">
        <v>1468</v>
      </c>
      <c r="P9" s="5">
        <v>4329</v>
      </c>
      <c r="Q9" s="5">
        <v>3283</v>
      </c>
      <c r="R9" s="5">
        <v>2491</v>
      </c>
      <c r="S9" s="5">
        <v>2410</v>
      </c>
      <c r="T9" s="5">
        <v>6992</v>
      </c>
      <c r="U9" s="5">
        <v>1774</v>
      </c>
      <c r="V9" s="5">
        <v>411</v>
      </c>
      <c r="W9" s="5">
        <v>1293</v>
      </c>
      <c r="X9" s="5">
        <v>2835</v>
      </c>
      <c r="Y9" s="5">
        <v>1146</v>
      </c>
      <c r="Z9" s="5">
        <v>1528</v>
      </c>
      <c r="AA9" s="5">
        <v>115</v>
      </c>
      <c r="AB9" s="5">
        <v>1689</v>
      </c>
      <c r="AC9" s="5">
        <v>894</v>
      </c>
      <c r="AD9" s="5">
        <v>274</v>
      </c>
      <c r="AE9" s="5">
        <v>283</v>
      </c>
      <c r="AF9" s="5">
        <v>1094</v>
      </c>
    </row>
    <row r="10" spans="1:32" x14ac:dyDescent="0.15">
      <c r="A10" s="4">
        <v>42004</v>
      </c>
      <c r="B10" s="5">
        <v>1593</v>
      </c>
      <c r="C10" s="5">
        <v>904</v>
      </c>
      <c r="D10" s="5">
        <v>3603</v>
      </c>
      <c r="E10" s="5">
        <v>1838</v>
      </c>
      <c r="F10" s="5">
        <v>1142</v>
      </c>
      <c r="G10" s="5">
        <v>2580</v>
      </c>
      <c r="H10" s="5">
        <v>1243</v>
      </c>
      <c r="I10" s="5">
        <v>1599</v>
      </c>
      <c r="J10" s="5">
        <v>1716</v>
      </c>
      <c r="K10" s="5">
        <v>4274</v>
      </c>
      <c r="L10" s="5">
        <v>3458</v>
      </c>
      <c r="M10" s="5">
        <v>2225</v>
      </c>
      <c r="N10" s="5">
        <v>2471</v>
      </c>
      <c r="O10" s="5">
        <v>1543</v>
      </c>
      <c r="P10" s="5">
        <v>4634</v>
      </c>
      <c r="Q10" s="5">
        <v>3474</v>
      </c>
      <c r="R10" s="5">
        <v>2625</v>
      </c>
      <c r="S10" s="5">
        <v>2579</v>
      </c>
      <c r="T10" s="5">
        <v>7286</v>
      </c>
      <c r="U10" s="5">
        <v>1848</v>
      </c>
      <c r="V10" s="5">
        <v>421</v>
      </c>
      <c r="W10" s="5">
        <v>1357</v>
      </c>
      <c r="X10" s="5">
        <v>3022</v>
      </c>
      <c r="Y10" s="5">
        <v>1222</v>
      </c>
      <c r="Z10" s="5">
        <v>1643</v>
      </c>
      <c r="AA10" s="5">
        <v>123</v>
      </c>
      <c r="AB10" s="5">
        <v>1745</v>
      </c>
      <c r="AC10" s="5">
        <v>951</v>
      </c>
      <c r="AD10" s="5">
        <v>289</v>
      </c>
      <c r="AE10" s="5">
        <v>295</v>
      </c>
      <c r="AF10" s="5">
        <v>1139</v>
      </c>
    </row>
    <row r="11" spans="1:32" x14ac:dyDescent="0.15">
      <c r="A11" s="4">
        <v>42369</v>
      </c>
      <c r="B11" s="5">
        <v>1647</v>
      </c>
      <c r="C11" s="5">
        <v>956</v>
      </c>
      <c r="D11" s="5">
        <v>3731</v>
      </c>
      <c r="E11" s="5">
        <v>1975</v>
      </c>
      <c r="F11" s="5">
        <v>1259</v>
      </c>
      <c r="G11" s="5">
        <v>2731</v>
      </c>
      <c r="H11" s="5">
        <v>1313</v>
      </c>
      <c r="I11" s="5">
        <v>1707</v>
      </c>
      <c r="J11" s="5">
        <v>1773</v>
      </c>
      <c r="K11" s="5">
        <v>4416</v>
      </c>
      <c r="L11" s="5">
        <v>3596</v>
      </c>
      <c r="M11" s="5">
        <v>2395</v>
      </c>
      <c r="N11" s="5">
        <v>2648</v>
      </c>
      <c r="O11" s="5">
        <v>1759</v>
      </c>
      <c r="P11" s="5">
        <v>4789</v>
      </c>
      <c r="Q11" s="5">
        <v>3703</v>
      </c>
      <c r="R11" s="5">
        <v>2723</v>
      </c>
      <c r="S11" s="5">
        <v>2685</v>
      </c>
      <c r="T11" s="5">
        <v>7768</v>
      </c>
      <c r="U11" s="5">
        <v>2033</v>
      </c>
      <c r="V11" s="5">
        <v>466</v>
      </c>
      <c r="W11" s="5">
        <v>1445</v>
      </c>
      <c r="X11" s="5">
        <v>3260</v>
      </c>
      <c r="Y11" s="5">
        <v>1346</v>
      </c>
      <c r="Z11" s="5">
        <v>1761</v>
      </c>
      <c r="AA11" s="5">
        <v>142</v>
      </c>
      <c r="AB11" s="5">
        <v>1886</v>
      </c>
      <c r="AC11" s="5">
        <v>1005</v>
      </c>
      <c r="AD11" s="5">
        <v>318</v>
      </c>
      <c r="AE11" s="5">
        <v>326</v>
      </c>
      <c r="AF11" s="5">
        <v>1262</v>
      </c>
    </row>
    <row r="12" spans="1:32" x14ac:dyDescent="0.15">
      <c r="A12" s="4">
        <v>42735</v>
      </c>
      <c r="B12" s="5">
        <v>1690</v>
      </c>
      <c r="C12" s="5">
        <v>999</v>
      </c>
      <c r="D12" s="5">
        <v>3956</v>
      </c>
      <c r="E12" s="5">
        <v>2035</v>
      </c>
      <c r="F12" s="5">
        <v>1311</v>
      </c>
      <c r="G12" s="5">
        <v>2741</v>
      </c>
      <c r="H12" s="5">
        <v>1402</v>
      </c>
      <c r="I12" s="5">
        <v>1835</v>
      </c>
      <c r="J12" s="5">
        <v>1791</v>
      </c>
      <c r="K12" s="5">
        <v>4513</v>
      </c>
      <c r="L12" s="5">
        <v>3632</v>
      </c>
      <c r="M12" s="5">
        <v>2721</v>
      </c>
      <c r="N12" s="5">
        <v>2678</v>
      </c>
      <c r="O12" s="5">
        <v>2035</v>
      </c>
      <c r="P12" s="5">
        <v>5207</v>
      </c>
      <c r="Q12" s="5">
        <v>4110</v>
      </c>
      <c r="R12" s="5">
        <v>3009</v>
      </c>
      <c r="S12" s="5">
        <v>3013</v>
      </c>
      <c r="T12" s="5">
        <v>8024</v>
      </c>
      <c r="U12" s="5">
        <v>2213</v>
      </c>
      <c r="V12" s="5">
        <v>470</v>
      </c>
      <c r="W12" s="5">
        <v>1556</v>
      </c>
      <c r="X12" s="5">
        <v>3575</v>
      </c>
      <c r="Y12" s="5">
        <v>1524</v>
      </c>
      <c r="Z12" s="5">
        <v>1892</v>
      </c>
      <c r="AA12" s="5">
        <v>149</v>
      </c>
      <c r="AB12" s="5">
        <v>1989</v>
      </c>
      <c r="AC12" s="5">
        <v>1101</v>
      </c>
      <c r="AD12" s="5">
        <v>320</v>
      </c>
      <c r="AE12" s="5">
        <v>339</v>
      </c>
      <c r="AF12" s="5">
        <v>1296</v>
      </c>
    </row>
    <row r="14" spans="1:32" x14ac:dyDescent="0.15">
      <c r="A14" s="4">
        <v>39447</v>
      </c>
      <c r="B14" s="7">
        <f t="shared" ref="B14:AF14" si="0">B3*$B26/100</f>
        <v>185.74</v>
      </c>
      <c r="C14" s="7">
        <f t="shared" si="0"/>
        <v>72.037000000000006</v>
      </c>
      <c r="D14" s="7">
        <f t="shared" si="0"/>
        <v>191.262</v>
      </c>
      <c r="E14" s="7">
        <f t="shared" si="0"/>
        <v>134.536</v>
      </c>
      <c r="F14" s="7">
        <f t="shared" si="0"/>
        <v>80.822000000000003</v>
      </c>
      <c r="G14" s="7">
        <f t="shared" si="0"/>
        <v>197.28600000000003</v>
      </c>
      <c r="H14" s="7">
        <f t="shared" si="0"/>
        <v>109.93800000000002</v>
      </c>
      <c r="I14" s="7">
        <f t="shared" si="0"/>
        <v>119.476</v>
      </c>
      <c r="J14" s="7">
        <f t="shared" si="0"/>
        <v>208.33</v>
      </c>
      <c r="K14" s="7">
        <f t="shared" si="0"/>
        <v>441.00700000000006</v>
      </c>
      <c r="L14" s="7">
        <f t="shared" si="0"/>
        <v>378.75900000000001</v>
      </c>
      <c r="M14" s="7">
        <f t="shared" si="0"/>
        <v>148.34100000000001</v>
      </c>
      <c r="N14" s="7">
        <f t="shared" si="0"/>
        <v>217.36600000000001</v>
      </c>
      <c r="O14" s="7">
        <f t="shared" si="0"/>
        <v>128.261</v>
      </c>
      <c r="P14" s="7">
        <f t="shared" si="0"/>
        <v>315.25600000000003</v>
      </c>
      <c r="Q14" s="7">
        <f t="shared" si="0"/>
        <v>239.95600000000002</v>
      </c>
      <c r="R14" s="7">
        <f t="shared" si="0"/>
        <v>177.20600000000002</v>
      </c>
      <c r="S14" s="7">
        <f t="shared" si="0"/>
        <v>173.19</v>
      </c>
      <c r="T14" s="7">
        <f t="shared" si="0"/>
        <v>839.34400000000005</v>
      </c>
      <c r="U14" s="7">
        <f t="shared" si="0"/>
        <v>140.56</v>
      </c>
      <c r="V14" s="7">
        <f t="shared" si="0"/>
        <v>36.143999999999998</v>
      </c>
      <c r="W14" s="7">
        <f t="shared" si="0"/>
        <v>89.356000000000009</v>
      </c>
      <c r="X14" s="7">
        <f t="shared" si="0"/>
        <v>204.06300000000002</v>
      </c>
      <c r="Y14" s="7">
        <f t="shared" si="0"/>
        <v>56.475000000000001</v>
      </c>
      <c r="Z14" s="7">
        <f t="shared" si="0"/>
        <v>76.052999999999997</v>
      </c>
      <c r="AA14" s="7">
        <f t="shared" si="0"/>
        <v>9.2870000000000008</v>
      </c>
      <c r="AB14" s="7">
        <f t="shared" si="0"/>
        <v>129.767</v>
      </c>
      <c r="AC14" s="7">
        <f t="shared" si="0"/>
        <v>54.969000000000008</v>
      </c>
      <c r="AD14" s="7">
        <f t="shared" si="0"/>
        <v>15.06</v>
      </c>
      <c r="AE14" s="7">
        <f t="shared" si="0"/>
        <v>16.064</v>
      </c>
      <c r="AF14" s="7">
        <f t="shared" si="0"/>
        <v>91.113000000000014</v>
      </c>
    </row>
    <row r="15" spans="1:32" x14ac:dyDescent="0.15">
      <c r="A15" s="4">
        <v>39813</v>
      </c>
      <c r="B15" s="7">
        <f t="shared" ref="B15:AF15" si="1">B4*$B27/100</f>
        <v>278.60399999999998</v>
      </c>
      <c r="C15" s="7">
        <f t="shared" si="1"/>
        <v>137.74</v>
      </c>
      <c r="D15" s="7">
        <f t="shared" si="1"/>
        <v>378.85599999999999</v>
      </c>
      <c r="E15" s="7">
        <f t="shared" si="1"/>
        <v>232.59599999999998</v>
      </c>
      <c r="F15" s="7">
        <f t="shared" si="1"/>
        <v>109.34</v>
      </c>
      <c r="G15" s="7">
        <f t="shared" si="1"/>
        <v>324.32799999999997</v>
      </c>
      <c r="H15" s="7">
        <f t="shared" si="1"/>
        <v>147.964</v>
      </c>
      <c r="I15" s="7">
        <f t="shared" si="1"/>
        <v>176.08</v>
      </c>
      <c r="J15" s="7">
        <f t="shared" si="1"/>
        <v>315.24</v>
      </c>
      <c r="K15" s="7">
        <f t="shared" si="1"/>
        <v>591.85599999999999</v>
      </c>
      <c r="L15" s="7">
        <f t="shared" si="1"/>
        <v>598.67200000000003</v>
      </c>
      <c r="M15" s="7">
        <f t="shared" si="1"/>
        <v>206.46799999999999</v>
      </c>
      <c r="N15" s="7">
        <f t="shared" si="1"/>
        <v>391.63599999999997</v>
      </c>
      <c r="O15" s="7">
        <f t="shared" si="1"/>
        <v>173.24</v>
      </c>
      <c r="P15" s="7">
        <f t="shared" si="1"/>
        <v>563.17200000000003</v>
      </c>
      <c r="Q15" s="7">
        <f t="shared" si="1"/>
        <v>364.37199999999996</v>
      </c>
      <c r="R15" s="7">
        <f t="shared" si="1"/>
        <v>298.2</v>
      </c>
      <c r="S15" s="7">
        <f t="shared" si="1"/>
        <v>283.71600000000001</v>
      </c>
      <c r="T15" s="7">
        <f t="shared" si="1"/>
        <v>1293.336</v>
      </c>
      <c r="U15" s="7">
        <f t="shared" si="1"/>
        <v>208.45599999999999</v>
      </c>
      <c r="V15" s="7">
        <f t="shared" si="1"/>
        <v>61.343999999999994</v>
      </c>
      <c r="W15" s="7">
        <f t="shared" si="1"/>
        <v>169.83199999999999</v>
      </c>
      <c r="X15" s="7">
        <f t="shared" si="1"/>
        <v>313.536</v>
      </c>
      <c r="Y15" s="7">
        <f t="shared" si="1"/>
        <v>123.25599999999999</v>
      </c>
      <c r="Z15" s="7">
        <f t="shared" si="1"/>
        <v>155.63199999999998</v>
      </c>
      <c r="AA15" s="7">
        <f t="shared" si="1"/>
        <v>14.483999999999998</v>
      </c>
      <c r="AB15" s="7">
        <f t="shared" si="1"/>
        <v>224.36</v>
      </c>
      <c r="AC15" s="7">
        <f t="shared" si="1"/>
        <v>92.867999999999995</v>
      </c>
      <c r="AD15" s="7">
        <f t="shared" si="1"/>
        <v>36.92</v>
      </c>
      <c r="AE15" s="7">
        <f t="shared" si="1"/>
        <v>29.251999999999999</v>
      </c>
      <c r="AF15" s="7">
        <f t="shared" si="1"/>
        <v>177.5</v>
      </c>
    </row>
    <row r="16" spans="1:32" x14ac:dyDescent="0.15">
      <c r="A16" s="4">
        <v>40178</v>
      </c>
      <c r="B16" s="7">
        <f t="shared" ref="B16:AF16" si="2">B5*$B28/100</f>
        <v>306.63400000000001</v>
      </c>
      <c r="C16" s="7">
        <f t="shared" si="2"/>
        <v>156.792</v>
      </c>
      <c r="D16" s="7">
        <f t="shared" si="2"/>
        <v>512.07600000000002</v>
      </c>
      <c r="E16" s="7">
        <f t="shared" si="2"/>
        <v>295.79200000000003</v>
      </c>
      <c r="F16" s="7">
        <f t="shared" si="2"/>
        <v>159.85</v>
      </c>
      <c r="G16" s="7">
        <f t="shared" si="2"/>
        <v>443.41</v>
      </c>
      <c r="H16" s="7">
        <f t="shared" si="2"/>
        <v>201.828</v>
      </c>
      <c r="I16" s="7">
        <f t="shared" si="2"/>
        <v>253.53600000000003</v>
      </c>
      <c r="J16" s="7">
        <f t="shared" si="2"/>
        <v>325.53800000000001</v>
      </c>
      <c r="K16" s="7">
        <f t="shared" si="2"/>
        <v>768.67</v>
      </c>
      <c r="L16" s="7">
        <f t="shared" si="2"/>
        <v>681.65600000000006</v>
      </c>
      <c r="M16" s="7">
        <f t="shared" si="2"/>
        <v>297.18200000000002</v>
      </c>
      <c r="N16" s="7">
        <f t="shared" si="2"/>
        <v>452.86200000000002</v>
      </c>
      <c r="O16" s="7">
        <f t="shared" si="2"/>
        <v>219.62</v>
      </c>
      <c r="P16" s="7">
        <f t="shared" si="2"/>
        <v>769.78199999999993</v>
      </c>
      <c r="Q16" s="7">
        <f t="shared" si="2"/>
        <v>557.94600000000003</v>
      </c>
      <c r="R16" s="7">
        <f t="shared" si="2"/>
        <v>408.38200000000006</v>
      </c>
      <c r="S16" s="7">
        <f t="shared" si="2"/>
        <v>390.86800000000005</v>
      </c>
      <c r="T16" s="7">
        <f t="shared" si="2"/>
        <v>1351.08</v>
      </c>
      <c r="U16" s="7">
        <f t="shared" si="2"/>
        <v>286.33999999999997</v>
      </c>
      <c r="V16" s="7">
        <f t="shared" si="2"/>
        <v>67.831999999999994</v>
      </c>
      <c r="W16" s="7">
        <f t="shared" si="2"/>
        <v>223.23400000000001</v>
      </c>
      <c r="X16" s="7">
        <f t="shared" si="2"/>
        <v>454.53</v>
      </c>
      <c r="Y16" s="7">
        <f t="shared" si="2"/>
        <v>159.29399999999998</v>
      </c>
      <c r="Z16" s="7">
        <f t="shared" si="2"/>
        <v>234.63200000000001</v>
      </c>
      <c r="AA16" s="7">
        <f t="shared" si="2"/>
        <v>14.734000000000002</v>
      </c>
      <c r="AB16" s="7">
        <f t="shared" si="2"/>
        <v>276.61</v>
      </c>
      <c r="AC16" s="7">
        <f t="shared" si="2"/>
        <v>148.72999999999999</v>
      </c>
      <c r="AD16" s="7">
        <f t="shared" si="2"/>
        <v>42.811999999999998</v>
      </c>
      <c r="AE16" s="7">
        <f t="shared" si="2"/>
        <v>39.198</v>
      </c>
      <c r="AF16" s="7">
        <f t="shared" si="2"/>
        <v>176.25200000000001</v>
      </c>
    </row>
    <row r="17" spans="1:32" x14ac:dyDescent="0.15">
      <c r="A17" s="4">
        <v>40543</v>
      </c>
      <c r="B17" s="7">
        <f t="shared" ref="B17:AF17" si="3">B6*$B29/100</f>
        <v>332.51400000000001</v>
      </c>
      <c r="C17" s="7">
        <f t="shared" si="3"/>
        <v>176.90400000000002</v>
      </c>
      <c r="D17" s="7">
        <f t="shared" si="3"/>
        <v>599.78099999999995</v>
      </c>
      <c r="E17" s="7">
        <f t="shared" si="3"/>
        <v>341.25</v>
      </c>
      <c r="F17" s="7">
        <f t="shared" si="3"/>
        <v>203.93100000000001</v>
      </c>
      <c r="G17" s="7">
        <f t="shared" si="3"/>
        <v>523.06799999999998</v>
      </c>
      <c r="H17" s="7">
        <f t="shared" si="3"/>
        <v>240.78600000000003</v>
      </c>
      <c r="I17" s="7">
        <f t="shared" si="3"/>
        <v>307.67100000000005</v>
      </c>
      <c r="J17" s="7">
        <f t="shared" si="3"/>
        <v>338.24700000000007</v>
      </c>
      <c r="K17" s="7">
        <f t="shared" si="3"/>
        <v>902.53800000000001</v>
      </c>
      <c r="L17" s="7">
        <f t="shared" si="3"/>
        <v>760.57799999999997</v>
      </c>
      <c r="M17" s="7">
        <f t="shared" si="3"/>
        <v>380.01599999999996</v>
      </c>
      <c r="N17" s="7">
        <f t="shared" si="3"/>
        <v>504.50400000000002</v>
      </c>
      <c r="O17" s="7">
        <f t="shared" si="3"/>
        <v>259.35000000000002</v>
      </c>
      <c r="P17" s="7">
        <f t="shared" si="3"/>
        <v>909.63600000000008</v>
      </c>
      <c r="Q17" s="7">
        <f t="shared" si="3"/>
        <v>659.84100000000001</v>
      </c>
      <c r="R17" s="7">
        <f t="shared" si="3"/>
        <v>519.24599999999998</v>
      </c>
      <c r="S17" s="7">
        <f t="shared" si="3"/>
        <v>476.93099999999998</v>
      </c>
      <c r="T17" s="7">
        <f t="shared" si="3"/>
        <v>1453.4520000000002</v>
      </c>
      <c r="U17" s="7">
        <f t="shared" si="3"/>
        <v>334.69800000000004</v>
      </c>
      <c r="V17" s="7">
        <f t="shared" si="3"/>
        <v>82.718999999999994</v>
      </c>
      <c r="W17" s="7">
        <f t="shared" si="3"/>
        <v>270.27</v>
      </c>
      <c r="X17" s="7">
        <f t="shared" si="3"/>
        <v>545.45400000000006</v>
      </c>
      <c r="Y17" s="7">
        <f t="shared" si="3"/>
        <v>205.023</v>
      </c>
      <c r="Z17" s="7">
        <f t="shared" si="3"/>
        <v>278.733</v>
      </c>
      <c r="AA17" s="7">
        <f t="shared" si="3"/>
        <v>22.113000000000003</v>
      </c>
      <c r="AB17" s="7">
        <f t="shared" si="3"/>
        <v>353.53500000000003</v>
      </c>
      <c r="AC17" s="7">
        <f t="shared" si="3"/>
        <v>178.815</v>
      </c>
      <c r="AD17" s="7">
        <f t="shared" si="3"/>
        <v>51.324000000000005</v>
      </c>
      <c r="AE17" s="7">
        <f t="shared" si="3"/>
        <v>47.774999999999999</v>
      </c>
      <c r="AF17" s="7">
        <f t="shared" si="3"/>
        <v>223.58700000000002</v>
      </c>
    </row>
    <row r="18" spans="1:32" x14ac:dyDescent="0.15">
      <c r="A18" s="4">
        <v>40908</v>
      </c>
      <c r="B18" s="7">
        <f t="shared" ref="B18:AF18" si="4">B7*$B30/100</f>
        <v>365.435</v>
      </c>
      <c r="C18" s="7">
        <f t="shared" si="4"/>
        <v>190.535</v>
      </c>
      <c r="D18" s="7">
        <f t="shared" si="4"/>
        <v>688.20500000000004</v>
      </c>
      <c r="E18" s="7">
        <f t="shared" si="4"/>
        <v>372.32499999999999</v>
      </c>
      <c r="F18" s="7">
        <f t="shared" si="4"/>
        <v>226.31</v>
      </c>
      <c r="G18" s="7">
        <f t="shared" si="4"/>
        <v>554.38</v>
      </c>
      <c r="H18" s="7">
        <f t="shared" si="4"/>
        <v>255.99</v>
      </c>
      <c r="I18" s="7">
        <f t="shared" si="4"/>
        <v>319.58999999999997</v>
      </c>
      <c r="J18" s="7">
        <f t="shared" si="4"/>
        <v>404.125</v>
      </c>
      <c r="K18" s="7">
        <f t="shared" si="4"/>
        <v>976.52499999999998</v>
      </c>
      <c r="L18" s="7">
        <f t="shared" si="4"/>
        <v>808.78</v>
      </c>
      <c r="M18" s="7">
        <f t="shared" si="4"/>
        <v>420.02499999999998</v>
      </c>
      <c r="N18" s="7">
        <f t="shared" si="4"/>
        <v>557.03</v>
      </c>
      <c r="O18" s="7">
        <f t="shared" si="4"/>
        <v>288.32</v>
      </c>
      <c r="P18" s="7">
        <f t="shared" si="4"/>
        <v>960.625</v>
      </c>
      <c r="Q18" s="7">
        <f t="shared" si="4"/>
        <v>684.23</v>
      </c>
      <c r="R18" s="7">
        <f t="shared" si="4"/>
        <v>564.18499999999995</v>
      </c>
      <c r="S18" s="7">
        <f t="shared" si="4"/>
        <v>513.04</v>
      </c>
      <c r="T18" s="7">
        <f t="shared" si="4"/>
        <v>1669.5</v>
      </c>
      <c r="U18" s="7">
        <f t="shared" si="4"/>
        <v>358.54500000000002</v>
      </c>
      <c r="V18" s="7">
        <f t="shared" si="4"/>
        <v>89.57</v>
      </c>
      <c r="W18" s="7">
        <f t="shared" si="4"/>
        <v>283.02</v>
      </c>
      <c r="X18" s="7">
        <f t="shared" si="4"/>
        <v>590.68499999999995</v>
      </c>
      <c r="Y18" s="7">
        <f t="shared" si="4"/>
        <v>222.6</v>
      </c>
      <c r="Z18" s="7">
        <f t="shared" si="4"/>
        <v>302.10000000000002</v>
      </c>
      <c r="AA18" s="7">
        <f t="shared" si="4"/>
        <v>23.85</v>
      </c>
      <c r="AB18" s="7">
        <f t="shared" si="4"/>
        <v>378.685</v>
      </c>
      <c r="AC18" s="7">
        <f t="shared" si="4"/>
        <v>185.5</v>
      </c>
      <c r="AD18" s="7">
        <f t="shared" si="4"/>
        <v>55.12</v>
      </c>
      <c r="AE18" s="7">
        <f t="shared" si="4"/>
        <v>54.854999999999997</v>
      </c>
      <c r="AF18" s="7">
        <f t="shared" si="4"/>
        <v>233.73</v>
      </c>
    </row>
    <row r="19" spans="1:32" x14ac:dyDescent="0.15">
      <c r="A19" s="4">
        <v>41274</v>
      </c>
      <c r="B19" s="7">
        <f t="shared" ref="B19:AF19" si="5">B8*$B31/100</f>
        <v>402.40800000000002</v>
      </c>
      <c r="C19" s="7">
        <f t="shared" si="5"/>
        <v>218.86800000000002</v>
      </c>
      <c r="D19" s="7">
        <f t="shared" si="5"/>
        <v>830.20800000000008</v>
      </c>
      <c r="E19" s="7">
        <f t="shared" si="5"/>
        <v>438.56400000000002</v>
      </c>
      <c r="F19" s="7">
        <f t="shared" si="5"/>
        <v>266.33999999999997</v>
      </c>
      <c r="G19" s="7">
        <f t="shared" si="5"/>
        <v>606.92399999999998</v>
      </c>
      <c r="H19" s="7">
        <f t="shared" si="5"/>
        <v>293.11200000000002</v>
      </c>
      <c r="I19" s="7">
        <f t="shared" si="5"/>
        <v>366.80400000000003</v>
      </c>
      <c r="J19" s="7">
        <f t="shared" si="5"/>
        <v>443.25600000000009</v>
      </c>
      <c r="K19" s="7">
        <f t="shared" si="5"/>
        <v>1090.7520000000002</v>
      </c>
      <c r="L19" s="7">
        <f t="shared" si="5"/>
        <v>888.99600000000009</v>
      </c>
      <c r="M19" s="7">
        <f t="shared" si="5"/>
        <v>515.84400000000005</v>
      </c>
      <c r="N19" s="7">
        <f t="shared" si="5"/>
        <v>629.28</v>
      </c>
      <c r="O19" s="7">
        <f t="shared" si="5"/>
        <v>349.69200000000006</v>
      </c>
      <c r="P19" s="7">
        <f t="shared" si="5"/>
        <v>1067.0160000000001</v>
      </c>
      <c r="Q19" s="7">
        <f t="shared" si="5"/>
        <v>788.25600000000009</v>
      </c>
      <c r="R19" s="7">
        <f t="shared" si="5"/>
        <v>637.28399999999999</v>
      </c>
      <c r="S19" s="7">
        <f t="shared" si="5"/>
        <v>607.20000000000005</v>
      </c>
      <c r="T19" s="7">
        <f t="shared" si="5"/>
        <v>1829.0520000000001</v>
      </c>
      <c r="U19" s="7">
        <f t="shared" si="5"/>
        <v>437.73600000000005</v>
      </c>
      <c r="V19" s="7">
        <f t="shared" si="5"/>
        <v>105.98400000000001</v>
      </c>
      <c r="W19" s="7">
        <f t="shared" si="5"/>
        <v>329.82</v>
      </c>
      <c r="X19" s="7">
        <f t="shared" si="5"/>
        <v>707.11199999999997</v>
      </c>
      <c r="Y19" s="7">
        <f t="shared" si="5"/>
        <v>273.51600000000002</v>
      </c>
      <c r="Z19" s="7">
        <f t="shared" si="5"/>
        <v>364.596</v>
      </c>
      <c r="AA19" s="7">
        <f t="shared" si="5"/>
        <v>27.876000000000005</v>
      </c>
      <c r="AB19" s="7">
        <f t="shared" si="5"/>
        <v>428.07600000000008</v>
      </c>
      <c r="AC19" s="7">
        <f t="shared" si="5"/>
        <v>219.42</v>
      </c>
      <c r="AD19" s="7">
        <f t="shared" si="5"/>
        <v>65.688000000000002</v>
      </c>
      <c r="AE19" s="7">
        <f t="shared" si="5"/>
        <v>71.207999999999998</v>
      </c>
      <c r="AF19" s="7">
        <f t="shared" si="5"/>
        <v>265.512</v>
      </c>
    </row>
    <row r="20" spans="1:32" x14ac:dyDescent="0.15">
      <c r="A20" s="4">
        <v>41639</v>
      </c>
      <c r="B20" s="7">
        <f t="shared" ref="B20:AF20" si="6">B9*$B32/100</f>
        <v>445.01600000000008</v>
      </c>
      <c r="C20" s="7">
        <f t="shared" si="6"/>
        <v>247.67600000000002</v>
      </c>
      <c r="D20" s="7">
        <f t="shared" si="6"/>
        <v>969.25400000000013</v>
      </c>
      <c r="E20" s="7">
        <f t="shared" si="6"/>
        <v>501.93</v>
      </c>
      <c r="F20" s="7">
        <f t="shared" si="6"/>
        <v>312.59800000000001</v>
      </c>
      <c r="G20" s="7">
        <f t="shared" si="6"/>
        <v>701.55799999999999</v>
      </c>
      <c r="H20" s="7">
        <f t="shared" si="6"/>
        <v>332.61800000000005</v>
      </c>
      <c r="I20" s="7">
        <f t="shared" si="6"/>
        <v>433.00400000000002</v>
      </c>
      <c r="J20" s="7">
        <f t="shared" si="6"/>
        <v>481.33800000000002</v>
      </c>
      <c r="K20" s="7">
        <f t="shared" si="6"/>
        <v>1171.17</v>
      </c>
      <c r="L20" s="7">
        <f t="shared" si="6"/>
        <v>952.38</v>
      </c>
      <c r="M20" s="7">
        <f t="shared" si="6"/>
        <v>614.9</v>
      </c>
      <c r="N20" s="7">
        <f t="shared" si="6"/>
        <v>686.97199999999998</v>
      </c>
      <c r="O20" s="7">
        <f t="shared" si="6"/>
        <v>419.84800000000001</v>
      </c>
      <c r="P20" s="7">
        <f t="shared" si="6"/>
        <v>1238.0940000000001</v>
      </c>
      <c r="Q20" s="7">
        <f t="shared" si="6"/>
        <v>938.93799999999999</v>
      </c>
      <c r="R20" s="7">
        <f t="shared" si="6"/>
        <v>712.42600000000004</v>
      </c>
      <c r="S20" s="7">
        <f t="shared" si="6"/>
        <v>689.26</v>
      </c>
      <c r="T20" s="7">
        <f t="shared" si="6"/>
        <v>1999.7120000000002</v>
      </c>
      <c r="U20" s="7">
        <f t="shared" si="6"/>
        <v>507.36400000000003</v>
      </c>
      <c r="V20" s="7">
        <f t="shared" si="6"/>
        <v>117.54600000000001</v>
      </c>
      <c r="W20" s="7">
        <f t="shared" si="6"/>
        <v>369.798</v>
      </c>
      <c r="X20" s="7">
        <f t="shared" si="6"/>
        <v>810.81</v>
      </c>
      <c r="Y20" s="7">
        <f t="shared" si="6"/>
        <v>327.75599999999997</v>
      </c>
      <c r="Z20" s="7">
        <f t="shared" si="6"/>
        <v>437.00800000000004</v>
      </c>
      <c r="AA20" s="7">
        <f t="shared" si="6"/>
        <v>32.89</v>
      </c>
      <c r="AB20" s="7">
        <f t="shared" si="6"/>
        <v>483.05400000000003</v>
      </c>
      <c r="AC20" s="7">
        <f t="shared" si="6"/>
        <v>255.68400000000003</v>
      </c>
      <c r="AD20" s="7">
        <f t="shared" si="6"/>
        <v>78.364000000000004</v>
      </c>
      <c r="AE20" s="7">
        <f t="shared" si="6"/>
        <v>80.938000000000002</v>
      </c>
      <c r="AF20" s="7">
        <f t="shared" si="6"/>
        <v>312.88400000000001</v>
      </c>
    </row>
    <row r="21" spans="1:32" x14ac:dyDescent="0.15">
      <c r="A21" s="4">
        <v>42004</v>
      </c>
      <c r="B21" s="7">
        <f t="shared" ref="B21:AF21" si="7">B10*$B33/100</f>
        <v>438.07499999999999</v>
      </c>
      <c r="C21" s="7">
        <f t="shared" si="7"/>
        <v>248.6</v>
      </c>
      <c r="D21" s="7">
        <f t="shared" si="7"/>
        <v>990.82500000000005</v>
      </c>
      <c r="E21" s="7">
        <f t="shared" si="7"/>
        <v>505.45</v>
      </c>
      <c r="F21" s="7">
        <f t="shared" si="7"/>
        <v>314.05</v>
      </c>
      <c r="G21" s="7">
        <f t="shared" si="7"/>
        <v>709.5</v>
      </c>
      <c r="H21" s="7">
        <f t="shared" si="7"/>
        <v>341.82499999999999</v>
      </c>
      <c r="I21" s="7">
        <f t="shared" si="7"/>
        <v>439.72500000000002</v>
      </c>
      <c r="J21" s="7">
        <f t="shared" si="7"/>
        <v>471.9</v>
      </c>
      <c r="K21" s="7">
        <f t="shared" si="7"/>
        <v>1175.3499999999999</v>
      </c>
      <c r="L21" s="7">
        <f t="shared" si="7"/>
        <v>950.95</v>
      </c>
      <c r="M21" s="7">
        <f t="shared" si="7"/>
        <v>611.875</v>
      </c>
      <c r="N21" s="7">
        <f t="shared" si="7"/>
        <v>679.52499999999998</v>
      </c>
      <c r="O21" s="7">
        <f t="shared" si="7"/>
        <v>424.32499999999999</v>
      </c>
      <c r="P21" s="7">
        <f t="shared" si="7"/>
        <v>1274.3499999999999</v>
      </c>
      <c r="Q21" s="7">
        <f t="shared" si="7"/>
        <v>955.35</v>
      </c>
      <c r="R21" s="7">
        <f t="shared" si="7"/>
        <v>721.875</v>
      </c>
      <c r="S21" s="7">
        <f t="shared" si="7"/>
        <v>709.22500000000002</v>
      </c>
      <c r="T21" s="7">
        <f t="shared" si="7"/>
        <v>2003.65</v>
      </c>
      <c r="U21" s="7">
        <f t="shared" si="7"/>
        <v>508.2</v>
      </c>
      <c r="V21" s="7">
        <f t="shared" si="7"/>
        <v>115.77500000000001</v>
      </c>
      <c r="W21" s="7">
        <f t="shared" si="7"/>
        <v>373.17500000000001</v>
      </c>
      <c r="X21" s="7">
        <f t="shared" si="7"/>
        <v>831.05</v>
      </c>
      <c r="Y21" s="7">
        <f t="shared" si="7"/>
        <v>336.05</v>
      </c>
      <c r="Z21" s="7">
        <f t="shared" si="7"/>
        <v>451.82499999999999</v>
      </c>
      <c r="AA21" s="7">
        <f t="shared" si="7"/>
        <v>33.825000000000003</v>
      </c>
      <c r="AB21" s="7">
        <f t="shared" si="7"/>
        <v>479.875</v>
      </c>
      <c r="AC21" s="7">
        <f t="shared" si="7"/>
        <v>261.52499999999998</v>
      </c>
      <c r="AD21" s="7">
        <f t="shared" si="7"/>
        <v>79.474999999999994</v>
      </c>
      <c r="AE21" s="7">
        <f t="shared" si="7"/>
        <v>81.125</v>
      </c>
      <c r="AF21" s="7">
        <f t="shared" si="7"/>
        <v>313.22500000000002</v>
      </c>
    </row>
    <row r="22" spans="1:32" x14ac:dyDescent="0.15">
      <c r="A22" s="4">
        <v>42369</v>
      </c>
      <c r="B22" s="7">
        <f t="shared" ref="B22:AF22" si="8">B11*$B34/100</f>
        <v>467.74799999999993</v>
      </c>
      <c r="C22" s="7">
        <f t="shared" si="8"/>
        <v>271.50399999999996</v>
      </c>
      <c r="D22" s="7">
        <f t="shared" si="8"/>
        <v>1059.604</v>
      </c>
      <c r="E22" s="7">
        <f t="shared" si="8"/>
        <v>560.9</v>
      </c>
      <c r="F22" s="7">
        <f t="shared" si="8"/>
        <v>357.55599999999998</v>
      </c>
      <c r="G22" s="7">
        <f t="shared" si="8"/>
        <v>775.60399999999993</v>
      </c>
      <c r="H22" s="7">
        <f t="shared" si="8"/>
        <v>372.892</v>
      </c>
      <c r="I22" s="7">
        <f t="shared" si="8"/>
        <v>484.78799999999995</v>
      </c>
      <c r="J22" s="7">
        <f t="shared" si="8"/>
        <v>503.53199999999998</v>
      </c>
      <c r="K22" s="7">
        <f t="shared" si="8"/>
        <v>1254.144</v>
      </c>
      <c r="L22" s="7">
        <f t="shared" si="8"/>
        <v>1021.2639999999999</v>
      </c>
      <c r="M22" s="7">
        <f t="shared" si="8"/>
        <v>680.18</v>
      </c>
      <c r="N22" s="7">
        <f t="shared" si="8"/>
        <v>752.03199999999993</v>
      </c>
      <c r="O22" s="7">
        <f t="shared" si="8"/>
        <v>499.55599999999998</v>
      </c>
      <c r="P22" s="7">
        <f t="shared" si="8"/>
        <v>1360.076</v>
      </c>
      <c r="Q22" s="7">
        <f t="shared" si="8"/>
        <v>1051.652</v>
      </c>
      <c r="R22" s="7">
        <f t="shared" si="8"/>
        <v>773.33199999999999</v>
      </c>
      <c r="S22" s="7">
        <f t="shared" si="8"/>
        <v>762.54</v>
      </c>
      <c r="T22" s="7">
        <f t="shared" si="8"/>
        <v>2206.1119999999996</v>
      </c>
      <c r="U22" s="7">
        <f t="shared" si="8"/>
        <v>577.37199999999996</v>
      </c>
      <c r="V22" s="7">
        <f t="shared" si="8"/>
        <v>132.34399999999999</v>
      </c>
      <c r="W22" s="7">
        <f t="shared" si="8"/>
        <v>410.38</v>
      </c>
      <c r="X22" s="7">
        <f t="shared" si="8"/>
        <v>925.84</v>
      </c>
      <c r="Y22" s="7">
        <f t="shared" si="8"/>
        <v>382.26400000000001</v>
      </c>
      <c r="Z22" s="7">
        <f t="shared" si="8"/>
        <v>500.12399999999997</v>
      </c>
      <c r="AA22" s="7">
        <f t="shared" si="8"/>
        <v>40.327999999999996</v>
      </c>
      <c r="AB22" s="7">
        <f t="shared" si="8"/>
        <v>535.62399999999991</v>
      </c>
      <c r="AC22" s="7">
        <f t="shared" si="8"/>
        <v>285.42</v>
      </c>
      <c r="AD22" s="7">
        <f t="shared" si="8"/>
        <v>90.311999999999983</v>
      </c>
      <c r="AE22" s="7">
        <f t="shared" si="8"/>
        <v>92.584000000000003</v>
      </c>
      <c r="AF22" s="7">
        <f t="shared" si="8"/>
        <v>358.40799999999996</v>
      </c>
    </row>
    <row r="23" spans="1:32" x14ac:dyDescent="0.15">
      <c r="A23" s="4">
        <v>42735</v>
      </c>
      <c r="B23" s="7">
        <f t="shared" ref="B23:AF23" si="9">B12*$B35/100</f>
        <v>463.06</v>
      </c>
      <c r="C23" s="7">
        <f t="shared" si="9"/>
        <v>273.726</v>
      </c>
      <c r="D23" s="7">
        <f t="shared" si="9"/>
        <v>1083.944</v>
      </c>
      <c r="E23" s="7">
        <f t="shared" si="9"/>
        <v>557.59</v>
      </c>
      <c r="F23" s="7">
        <f t="shared" si="9"/>
        <v>359.214</v>
      </c>
      <c r="G23" s="7">
        <f t="shared" si="9"/>
        <v>751.03399999999999</v>
      </c>
      <c r="H23" s="7">
        <f t="shared" si="9"/>
        <v>384.14799999999997</v>
      </c>
      <c r="I23" s="7">
        <f t="shared" si="9"/>
        <v>502.79</v>
      </c>
      <c r="J23" s="7">
        <f t="shared" si="9"/>
        <v>490.73399999999992</v>
      </c>
      <c r="K23" s="7">
        <f t="shared" si="9"/>
        <v>1236.5619999999999</v>
      </c>
      <c r="L23" s="7">
        <f t="shared" si="9"/>
        <v>995.16799999999989</v>
      </c>
      <c r="M23" s="7">
        <f t="shared" si="9"/>
        <v>745.55399999999997</v>
      </c>
      <c r="N23" s="7">
        <f t="shared" si="9"/>
        <v>733.77199999999993</v>
      </c>
      <c r="O23" s="7">
        <f t="shared" si="9"/>
        <v>557.59</v>
      </c>
      <c r="P23" s="7">
        <f t="shared" si="9"/>
        <v>1426.7179999999998</v>
      </c>
      <c r="Q23" s="7">
        <f t="shared" si="9"/>
        <v>1126.1400000000001</v>
      </c>
      <c r="R23" s="7">
        <f t="shared" si="9"/>
        <v>824.46599999999989</v>
      </c>
      <c r="S23" s="7">
        <f t="shared" si="9"/>
        <v>825.56200000000001</v>
      </c>
      <c r="T23" s="7">
        <f t="shared" si="9"/>
        <v>2198.5759999999996</v>
      </c>
      <c r="U23" s="7">
        <f t="shared" si="9"/>
        <v>606.36199999999997</v>
      </c>
      <c r="V23" s="7">
        <f t="shared" si="9"/>
        <v>128.78</v>
      </c>
      <c r="W23" s="7">
        <f t="shared" si="9"/>
        <v>426.34399999999994</v>
      </c>
      <c r="X23" s="7">
        <f t="shared" si="9"/>
        <v>979.55</v>
      </c>
      <c r="Y23" s="7">
        <f t="shared" si="9"/>
        <v>417.57599999999996</v>
      </c>
      <c r="Z23" s="7">
        <f t="shared" si="9"/>
        <v>518.4079999999999</v>
      </c>
      <c r="AA23" s="7">
        <f t="shared" si="9"/>
        <v>40.826000000000001</v>
      </c>
      <c r="AB23" s="7">
        <f t="shared" si="9"/>
        <v>544.98599999999999</v>
      </c>
      <c r="AC23" s="7">
        <f t="shared" si="9"/>
        <v>301.67399999999998</v>
      </c>
      <c r="AD23" s="7">
        <f t="shared" si="9"/>
        <v>87.68</v>
      </c>
      <c r="AE23" s="7">
        <f t="shared" si="9"/>
        <v>92.88600000000001</v>
      </c>
      <c r="AF23" s="7">
        <f t="shared" si="9"/>
        <v>355.10400000000004</v>
      </c>
    </row>
    <row r="26" spans="1:32" x14ac:dyDescent="0.15">
      <c r="A26" s="4">
        <v>39447</v>
      </c>
      <c r="B26" s="5">
        <v>25.1</v>
      </c>
    </row>
    <row r="27" spans="1:32" x14ac:dyDescent="0.15">
      <c r="A27" s="4">
        <v>39813</v>
      </c>
      <c r="B27" s="5">
        <v>28.4</v>
      </c>
    </row>
    <row r="28" spans="1:32" x14ac:dyDescent="0.15">
      <c r="A28" s="4">
        <v>40178</v>
      </c>
      <c r="B28" s="5">
        <v>27.8</v>
      </c>
    </row>
    <row r="29" spans="1:32" x14ac:dyDescent="0.15">
      <c r="A29" s="4">
        <v>40543</v>
      </c>
      <c r="B29" s="5">
        <v>27.3</v>
      </c>
    </row>
    <row r="30" spans="1:32" x14ac:dyDescent="0.15">
      <c r="A30" s="4">
        <v>40908</v>
      </c>
      <c r="B30" s="5">
        <v>26.5</v>
      </c>
    </row>
    <row r="31" spans="1:32" x14ac:dyDescent="0.15">
      <c r="A31" s="4">
        <v>41274</v>
      </c>
      <c r="B31" s="5">
        <v>27.6</v>
      </c>
    </row>
    <row r="32" spans="1:32" x14ac:dyDescent="0.15">
      <c r="A32" s="4">
        <v>41639</v>
      </c>
      <c r="B32" s="5">
        <v>28.6</v>
      </c>
    </row>
    <row r="33" spans="1:2" x14ac:dyDescent="0.15">
      <c r="A33" s="4">
        <v>42004</v>
      </c>
      <c r="B33" s="5">
        <v>27.5</v>
      </c>
    </row>
    <row r="34" spans="1:2" x14ac:dyDescent="0.15">
      <c r="A34" s="4">
        <v>42369</v>
      </c>
      <c r="B34" s="5">
        <v>28.4</v>
      </c>
    </row>
    <row r="35" spans="1:2" x14ac:dyDescent="0.15">
      <c r="A35" s="4">
        <v>42735</v>
      </c>
      <c r="B35" s="5">
        <v>27.4</v>
      </c>
    </row>
    <row r="36" spans="1:2" x14ac:dyDescent="0.15">
      <c r="A36" s="4">
        <v>43100</v>
      </c>
      <c r="B36" s="5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0"/>
  <sheetViews>
    <sheetView topLeftCell="A53" workbookViewId="0">
      <selection activeCell="A74" sqref="A74"/>
    </sheetView>
  </sheetViews>
  <sheetFormatPr defaultColWidth="8.875" defaultRowHeight="13.5" x14ac:dyDescent="0.15"/>
  <cols>
    <col min="1" max="1" width="18.125" customWidth="1"/>
    <col min="2" max="2" width="11.125" bestFit="1" customWidth="1"/>
  </cols>
  <sheetData>
    <row r="1" spans="1:32" x14ac:dyDescent="0.15">
      <c r="A1" s="8" t="s">
        <v>33</v>
      </c>
      <c r="B1" t="s">
        <v>16</v>
      </c>
      <c r="C1" t="s">
        <v>17</v>
      </c>
      <c r="D1" t="s">
        <v>18</v>
      </c>
      <c r="E1" s="8" t="s">
        <v>36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s="8" t="s">
        <v>35</v>
      </c>
      <c r="AC1" t="s">
        <v>12</v>
      </c>
      <c r="AD1" t="s">
        <v>13</v>
      </c>
      <c r="AE1" t="s">
        <v>14</v>
      </c>
      <c r="AF1" t="s">
        <v>15</v>
      </c>
    </row>
    <row r="2" spans="1:32" x14ac:dyDescent="0.15">
      <c r="A2" s="4">
        <v>40178</v>
      </c>
      <c r="B2">
        <v>306.63400000000001</v>
      </c>
      <c r="C2">
        <v>156.792</v>
      </c>
      <c r="D2">
        <v>512.07600000000002</v>
      </c>
      <c r="E2">
        <v>295.79200000000003</v>
      </c>
      <c r="F2">
        <v>159.85</v>
      </c>
      <c r="G2">
        <v>443.41</v>
      </c>
      <c r="H2">
        <v>201.828</v>
      </c>
      <c r="I2">
        <v>253.53600000000003</v>
      </c>
      <c r="J2">
        <v>325.53800000000001</v>
      </c>
      <c r="K2">
        <v>768.67</v>
      </c>
      <c r="L2">
        <v>681.65600000000006</v>
      </c>
      <c r="M2">
        <v>297.18200000000002</v>
      </c>
      <c r="N2">
        <v>452.86200000000002</v>
      </c>
      <c r="O2">
        <v>219.62</v>
      </c>
      <c r="P2">
        <v>769.78199999999993</v>
      </c>
      <c r="Q2">
        <v>557.94600000000003</v>
      </c>
      <c r="R2">
        <v>408.38200000000006</v>
      </c>
      <c r="S2">
        <v>390.86800000000005</v>
      </c>
      <c r="T2">
        <v>1351.08</v>
      </c>
      <c r="U2">
        <v>286.33999999999997</v>
      </c>
      <c r="V2">
        <v>67.831999999999994</v>
      </c>
      <c r="W2">
        <v>223.23400000000001</v>
      </c>
      <c r="X2">
        <v>454.53</v>
      </c>
      <c r="Y2">
        <v>159.29399999999998</v>
      </c>
      <c r="Z2">
        <v>234.63200000000001</v>
      </c>
      <c r="AA2">
        <v>14.734000000000002</v>
      </c>
      <c r="AB2">
        <v>276.61</v>
      </c>
      <c r="AC2">
        <v>148.72999999999999</v>
      </c>
      <c r="AD2">
        <v>42.811999999999998</v>
      </c>
      <c r="AE2">
        <v>39.198</v>
      </c>
      <c r="AF2">
        <v>176.25200000000001</v>
      </c>
    </row>
    <row r="3" spans="1:32" x14ac:dyDescent="0.15">
      <c r="A3" s="4">
        <v>40543</v>
      </c>
      <c r="B3">
        <v>332.51400000000001</v>
      </c>
      <c r="C3">
        <v>176.90400000000002</v>
      </c>
      <c r="D3">
        <v>599.78099999999995</v>
      </c>
      <c r="E3">
        <v>341.25</v>
      </c>
      <c r="F3">
        <v>203.93100000000001</v>
      </c>
      <c r="G3">
        <v>523.06799999999998</v>
      </c>
      <c r="H3">
        <v>240.78600000000003</v>
      </c>
      <c r="I3">
        <v>307.67100000000005</v>
      </c>
      <c r="J3">
        <v>338.24700000000007</v>
      </c>
      <c r="K3">
        <v>902.53800000000001</v>
      </c>
      <c r="L3">
        <v>760.57799999999997</v>
      </c>
      <c r="M3">
        <v>380.01599999999996</v>
      </c>
      <c r="N3">
        <v>504.50400000000002</v>
      </c>
      <c r="O3">
        <v>259.35000000000002</v>
      </c>
      <c r="P3">
        <v>909.63600000000008</v>
      </c>
      <c r="Q3">
        <v>659.84100000000001</v>
      </c>
      <c r="R3">
        <v>519.24599999999998</v>
      </c>
      <c r="S3">
        <v>476.93099999999998</v>
      </c>
      <c r="T3">
        <v>1453.4520000000002</v>
      </c>
      <c r="U3">
        <v>334.69800000000004</v>
      </c>
      <c r="V3">
        <v>82.718999999999994</v>
      </c>
      <c r="W3">
        <v>270.27</v>
      </c>
      <c r="X3">
        <v>545.45400000000006</v>
      </c>
      <c r="Y3">
        <v>205.023</v>
      </c>
      <c r="Z3">
        <v>278.733</v>
      </c>
      <c r="AA3">
        <v>22.113000000000003</v>
      </c>
      <c r="AB3">
        <v>353.53500000000003</v>
      </c>
      <c r="AC3">
        <v>178.815</v>
      </c>
      <c r="AD3">
        <v>51.324000000000005</v>
      </c>
      <c r="AE3">
        <v>47.774999999999999</v>
      </c>
      <c r="AF3">
        <v>223.58700000000002</v>
      </c>
    </row>
    <row r="4" spans="1:32" x14ac:dyDescent="0.15">
      <c r="A4" s="4">
        <v>40908</v>
      </c>
      <c r="B4">
        <v>365.435</v>
      </c>
      <c r="C4">
        <v>190.535</v>
      </c>
      <c r="D4">
        <v>688.20500000000004</v>
      </c>
      <c r="E4">
        <v>372.32499999999999</v>
      </c>
      <c r="F4">
        <v>226.31</v>
      </c>
      <c r="G4">
        <v>554.38</v>
      </c>
      <c r="H4">
        <v>255.99</v>
      </c>
      <c r="I4">
        <v>319.58999999999997</v>
      </c>
      <c r="J4">
        <v>404.125</v>
      </c>
      <c r="K4">
        <v>976.52499999999998</v>
      </c>
      <c r="L4">
        <v>808.78</v>
      </c>
      <c r="M4">
        <v>420.02499999999998</v>
      </c>
      <c r="N4">
        <v>557.03</v>
      </c>
      <c r="O4">
        <v>288.32</v>
      </c>
      <c r="P4">
        <v>960.625</v>
      </c>
      <c r="Q4">
        <v>684.23</v>
      </c>
      <c r="R4">
        <v>564.18499999999995</v>
      </c>
      <c r="S4">
        <v>513.04</v>
      </c>
      <c r="T4">
        <v>1669.5</v>
      </c>
      <c r="U4">
        <v>358.54500000000002</v>
      </c>
      <c r="V4">
        <v>89.57</v>
      </c>
      <c r="W4">
        <v>283.02</v>
      </c>
      <c r="X4">
        <v>590.68499999999995</v>
      </c>
      <c r="Y4">
        <v>222.6</v>
      </c>
      <c r="Z4">
        <v>302.10000000000002</v>
      </c>
      <c r="AA4">
        <v>23.85</v>
      </c>
      <c r="AB4">
        <v>378.685</v>
      </c>
      <c r="AC4">
        <v>185.5</v>
      </c>
      <c r="AD4">
        <v>55.12</v>
      </c>
      <c r="AE4">
        <v>54.854999999999997</v>
      </c>
      <c r="AF4">
        <v>233.73</v>
      </c>
    </row>
    <row r="5" spans="1:32" x14ac:dyDescent="0.15">
      <c r="A5" s="4">
        <v>41274</v>
      </c>
      <c r="B5">
        <v>402.40800000000002</v>
      </c>
      <c r="C5">
        <v>218.86800000000002</v>
      </c>
      <c r="D5">
        <v>830.20800000000008</v>
      </c>
      <c r="E5">
        <v>438.56400000000002</v>
      </c>
      <c r="F5">
        <v>266.33999999999997</v>
      </c>
      <c r="G5">
        <v>606.92399999999998</v>
      </c>
      <c r="H5">
        <v>293.11200000000002</v>
      </c>
      <c r="I5">
        <v>366.80400000000003</v>
      </c>
      <c r="J5">
        <v>443.25600000000009</v>
      </c>
      <c r="K5">
        <v>1090.7520000000002</v>
      </c>
      <c r="L5">
        <v>888.99600000000009</v>
      </c>
      <c r="M5">
        <v>515.84400000000005</v>
      </c>
      <c r="N5">
        <v>629.28</v>
      </c>
      <c r="O5">
        <v>349.69200000000006</v>
      </c>
      <c r="P5">
        <v>1067.0160000000001</v>
      </c>
      <c r="Q5">
        <v>788.25600000000009</v>
      </c>
      <c r="R5">
        <v>637.28399999999999</v>
      </c>
      <c r="S5">
        <v>607.20000000000005</v>
      </c>
      <c r="T5">
        <v>1829.0520000000001</v>
      </c>
      <c r="U5">
        <v>437.73600000000005</v>
      </c>
      <c r="V5">
        <v>105.98400000000001</v>
      </c>
      <c r="W5">
        <v>329.82</v>
      </c>
      <c r="X5">
        <v>707.11199999999997</v>
      </c>
      <c r="Y5">
        <v>273.51600000000002</v>
      </c>
      <c r="Z5">
        <v>364.596</v>
      </c>
      <c r="AA5">
        <v>27.876000000000005</v>
      </c>
      <c r="AB5">
        <v>428.07600000000008</v>
      </c>
      <c r="AC5">
        <v>219.42</v>
      </c>
      <c r="AD5">
        <v>65.688000000000002</v>
      </c>
      <c r="AE5">
        <v>71.207999999999998</v>
      </c>
      <c r="AF5">
        <v>265.512</v>
      </c>
    </row>
    <row r="6" spans="1:32" x14ac:dyDescent="0.15">
      <c r="A6" s="4">
        <v>41639</v>
      </c>
      <c r="B6">
        <v>445.01600000000008</v>
      </c>
      <c r="C6">
        <v>247.67600000000002</v>
      </c>
      <c r="D6">
        <v>969.25400000000013</v>
      </c>
      <c r="E6">
        <v>501.93</v>
      </c>
      <c r="F6">
        <v>312.59800000000001</v>
      </c>
      <c r="G6">
        <v>701.55799999999999</v>
      </c>
      <c r="H6">
        <v>332.61800000000005</v>
      </c>
      <c r="I6">
        <v>433.00400000000002</v>
      </c>
      <c r="J6">
        <v>481.33800000000002</v>
      </c>
      <c r="K6">
        <v>1171.17</v>
      </c>
      <c r="L6">
        <v>952.38</v>
      </c>
      <c r="M6">
        <v>614.9</v>
      </c>
      <c r="N6">
        <v>686.97199999999998</v>
      </c>
      <c r="O6">
        <v>419.84800000000001</v>
      </c>
      <c r="P6">
        <v>1238.0940000000001</v>
      </c>
      <c r="Q6">
        <v>938.93799999999999</v>
      </c>
      <c r="R6">
        <v>712.42600000000004</v>
      </c>
      <c r="S6">
        <v>689.26</v>
      </c>
      <c r="T6">
        <v>1999.7120000000002</v>
      </c>
      <c r="U6">
        <v>507.36400000000003</v>
      </c>
      <c r="V6">
        <v>117.54600000000001</v>
      </c>
      <c r="W6">
        <v>369.798</v>
      </c>
      <c r="X6">
        <v>810.81</v>
      </c>
      <c r="Y6">
        <v>327.75599999999997</v>
      </c>
      <c r="Z6">
        <v>437.00800000000004</v>
      </c>
      <c r="AA6">
        <v>32.89</v>
      </c>
      <c r="AB6">
        <v>483.05400000000003</v>
      </c>
      <c r="AC6">
        <v>255.68400000000003</v>
      </c>
      <c r="AD6">
        <v>78.364000000000004</v>
      </c>
      <c r="AE6">
        <v>80.938000000000002</v>
      </c>
      <c r="AF6">
        <v>312.88400000000001</v>
      </c>
    </row>
    <row r="7" spans="1:32" x14ac:dyDescent="0.15">
      <c r="A7" s="4">
        <v>42004</v>
      </c>
      <c r="B7">
        <v>438.07499999999999</v>
      </c>
      <c r="C7">
        <v>248.6</v>
      </c>
      <c r="D7">
        <v>990.82500000000005</v>
      </c>
      <c r="E7">
        <v>505.45</v>
      </c>
      <c r="F7">
        <v>314.05</v>
      </c>
      <c r="G7">
        <v>709.5</v>
      </c>
      <c r="H7">
        <v>341.82499999999999</v>
      </c>
      <c r="I7">
        <v>439.72500000000002</v>
      </c>
      <c r="J7">
        <v>471.9</v>
      </c>
      <c r="K7">
        <v>1175.3499999999999</v>
      </c>
      <c r="L7">
        <v>950.95</v>
      </c>
      <c r="M7">
        <v>611.875</v>
      </c>
      <c r="N7">
        <v>679.52499999999998</v>
      </c>
      <c r="O7">
        <v>424.32499999999999</v>
      </c>
      <c r="P7">
        <v>1274.3499999999999</v>
      </c>
      <c r="Q7">
        <v>955.35</v>
      </c>
      <c r="R7">
        <v>721.875</v>
      </c>
      <c r="S7">
        <v>709.22500000000002</v>
      </c>
      <c r="T7">
        <v>2003.65</v>
      </c>
      <c r="U7">
        <v>508.2</v>
      </c>
      <c r="V7">
        <v>115.77500000000001</v>
      </c>
      <c r="W7">
        <v>373.17500000000001</v>
      </c>
      <c r="X7">
        <v>831.05</v>
      </c>
      <c r="Y7">
        <v>336.05</v>
      </c>
      <c r="Z7">
        <v>451.82499999999999</v>
      </c>
      <c r="AA7">
        <v>33.825000000000003</v>
      </c>
      <c r="AB7">
        <v>479.875</v>
      </c>
      <c r="AC7">
        <v>261.52499999999998</v>
      </c>
      <c r="AD7">
        <v>79.474999999999994</v>
      </c>
      <c r="AE7">
        <v>81.125</v>
      </c>
      <c r="AF7">
        <v>313.22500000000002</v>
      </c>
    </row>
    <row r="8" spans="1:32" x14ac:dyDescent="0.15">
      <c r="A8" s="4">
        <v>42369</v>
      </c>
      <c r="B8">
        <v>467.74799999999993</v>
      </c>
      <c r="C8">
        <v>271.50399999999996</v>
      </c>
      <c r="D8">
        <v>1059.604</v>
      </c>
      <c r="E8">
        <v>560.9</v>
      </c>
      <c r="F8">
        <v>357.55599999999998</v>
      </c>
      <c r="G8">
        <v>775.60399999999993</v>
      </c>
      <c r="H8">
        <v>372.892</v>
      </c>
      <c r="I8">
        <v>484.78799999999995</v>
      </c>
      <c r="J8">
        <v>503.53199999999998</v>
      </c>
      <c r="K8">
        <v>1254.144</v>
      </c>
      <c r="L8">
        <v>1021.2639999999999</v>
      </c>
      <c r="M8">
        <v>680.18</v>
      </c>
      <c r="N8">
        <v>752.03199999999993</v>
      </c>
      <c r="O8">
        <v>499.55599999999998</v>
      </c>
      <c r="P8">
        <v>1360.076</v>
      </c>
      <c r="Q8">
        <v>1051.652</v>
      </c>
      <c r="R8">
        <v>773.33199999999999</v>
      </c>
      <c r="S8">
        <v>762.54</v>
      </c>
      <c r="T8">
        <v>2206.1119999999996</v>
      </c>
      <c r="U8">
        <v>577.37199999999996</v>
      </c>
      <c r="V8">
        <v>132.34399999999999</v>
      </c>
      <c r="W8">
        <v>410.38</v>
      </c>
      <c r="X8">
        <v>925.84</v>
      </c>
      <c r="Y8">
        <v>382.26400000000001</v>
      </c>
      <c r="Z8">
        <v>500.12399999999997</v>
      </c>
      <c r="AA8">
        <v>40.327999999999996</v>
      </c>
      <c r="AB8">
        <v>535.62399999999991</v>
      </c>
      <c r="AC8">
        <v>285.42</v>
      </c>
      <c r="AD8">
        <v>90.311999999999983</v>
      </c>
      <c r="AE8">
        <v>92.584000000000003</v>
      </c>
      <c r="AF8">
        <v>358.40799999999996</v>
      </c>
    </row>
    <row r="9" spans="1:32" x14ac:dyDescent="0.15">
      <c r="A9" s="4">
        <v>42735</v>
      </c>
      <c r="B9">
        <v>463.06</v>
      </c>
      <c r="C9">
        <v>273.726</v>
      </c>
      <c r="D9">
        <v>1083.944</v>
      </c>
      <c r="E9">
        <v>557.59</v>
      </c>
      <c r="F9">
        <v>359.214</v>
      </c>
      <c r="G9">
        <v>751.03399999999999</v>
      </c>
      <c r="H9">
        <v>384.14799999999997</v>
      </c>
      <c r="I9">
        <v>502.79</v>
      </c>
      <c r="J9">
        <v>490.73399999999992</v>
      </c>
      <c r="K9">
        <v>1236.5619999999999</v>
      </c>
      <c r="L9">
        <v>995.16799999999989</v>
      </c>
      <c r="M9">
        <v>745.55399999999997</v>
      </c>
      <c r="N9">
        <v>733.77199999999993</v>
      </c>
      <c r="O9">
        <v>557.59</v>
      </c>
      <c r="P9">
        <v>1426.7179999999998</v>
      </c>
      <c r="Q9">
        <v>1126.1400000000001</v>
      </c>
      <c r="R9">
        <v>824.46599999999989</v>
      </c>
      <c r="S9">
        <v>825.56200000000001</v>
      </c>
      <c r="T9">
        <v>2198.5759999999996</v>
      </c>
      <c r="U9">
        <v>606.36199999999997</v>
      </c>
      <c r="V9">
        <v>128.78</v>
      </c>
      <c r="W9">
        <v>426.34399999999994</v>
      </c>
      <c r="X9">
        <v>979.55</v>
      </c>
      <c r="Y9">
        <v>417.57599999999996</v>
      </c>
      <c r="Z9">
        <v>518.4079999999999</v>
      </c>
      <c r="AA9">
        <v>40.826000000000001</v>
      </c>
      <c r="AB9">
        <v>544.98599999999999</v>
      </c>
      <c r="AC9">
        <v>301.67399999999998</v>
      </c>
      <c r="AD9">
        <v>87.68</v>
      </c>
      <c r="AE9">
        <v>92.88600000000001</v>
      </c>
      <c r="AF9">
        <v>355.10400000000004</v>
      </c>
    </row>
    <row r="10" spans="1:32" x14ac:dyDescent="0.15">
      <c r="A10" s="8" t="s">
        <v>34</v>
      </c>
    </row>
    <row r="11" spans="1:32" s="11" customFormat="1" ht="12" x14ac:dyDescent="0.15">
      <c r="A11" s="9">
        <v>40178</v>
      </c>
      <c r="B11" s="10">
        <v>817.07</v>
      </c>
      <c r="C11" s="10">
        <v>714.12</v>
      </c>
      <c r="D11" s="10">
        <v>4010.37</v>
      </c>
      <c r="E11" s="10">
        <v>2423.29</v>
      </c>
      <c r="F11" s="10">
        <v>1530.77</v>
      </c>
      <c r="G11" s="10">
        <v>2251.9899999999998</v>
      </c>
      <c r="H11" s="10">
        <v>1686.77</v>
      </c>
      <c r="I11" s="10">
        <v>2067.8200000000002</v>
      </c>
      <c r="J11" s="10">
        <v>813.24</v>
      </c>
      <c r="K11" s="10">
        <v>11556.9</v>
      </c>
      <c r="L11" s="10">
        <v>14125.17</v>
      </c>
      <c r="M11" s="10">
        <v>2314.12</v>
      </c>
      <c r="N11" s="10">
        <v>3461.15</v>
      </c>
      <c r="O11" s="10">
        <v>2173.75</v>
      </c>
      <c r="P11" s="10">
        <v>9202.68</v>
      </c>
      <c r="Q11" s="10">
        <v>4699.54</v>
      </c>
      <c r="R11" s="10">
        <v>2242.7600000000002</v>
      </c>
      <c r="S11" s="10">
        <v>2594.23</v>
      </c>
      <c r="T11" s="10">
        <v>3917.76</v>
      </c>
      <c r="U11" s="10">
        <v>1907.76</v>
      </c>
      <c r="V11" s="10">
        <v>360.92</v>
      </c>
      <c r="W11" s="10">
        <v>1570.64</v>
      </c>
      <c r="X11" s="10">
        <v>4443.68</v>
      </c>
      <c r="Y11" s="10">
        <v>1480.64</v>
      </c>
      <c r="Z11" s="10">
        <v>2936.58</v>
      </c>
      <c r="AA11" s="10">
        <v>50.63</v>
      </c>
      <c r="AB11" s="10">
        <v>1561.41</v>
      </c>
      <c r="AC11" s="10">
        <v>1186.04</v>
      </c>
      <c r="AD11" s="10">
        <v>457.12</v>
      </c>
      <c r="AE11" s="10">
        <v>588.15</v>
      </c>
      <c r="AF11" s="10">
        <v>1609.74</v>
      </c>
    </row>
    <row r="12" spans="1:32" s="11" customFormat="1" ht="12" x14ac:dyDescent="0.15">
      <c r="A12" s="9">
        <v>40543</v>
      </c>
      <c r="B12" s="10">
        <v>1162.69</v>
      </c>
      <c r="C12" s="10">
        <v>1138.0899999999999</v>
      </c>
      <c r="D12" s="10">
        <v>5149.32</v>
      </c>
      <c r="E12" s="10">
        <v>3283.56</v>
      </c>
      <c r="F12" s="10">
        <v>2414.4899999999998</v>
      </c>
      <c r="G12" s="10">
        <v>2990.19</v>
      </c>
      <c r="H12" s="10">
        <v>2056.17</v>
      </c>
      <c r="I12" s="10">
        <v>2754.96</v>
      </c>
      <c r="J12" s="10">
        <v>936.93</v>
      </c>
      <c r="K12" s="10">
        <v>14939.6</v>
      </c>
      <c r="L12" s="10">
        <v>17851.39</v>
      </c>
      <c r="M12" s="10">
        <v>3093.29</v>
      </c>
      <c r="N12" s="10">
        <v>4561.8</v>
      </c>
      <c r="O12" s="10">
        <v>2696.97</v>
      </c>
      <c r="P12" s="10">
        <v>11590.77</v>
      </c>
      <c r="Q12" s="10">
        <v>5997.08</v>
      </c>
      <c r="R12" s="10">
        <v>2985.11</v>
      </c>
      <c r="S12" s="10">
        <v>3109.96</v>
      </c>
      <c r="T12" s="10">
        <v>4555.57</v>
      </c>
      <c r="U12" s="10">
        <v>2556.02</v>
      </c>
      <c r="V12" s="10">
        <v>538.45000000000005</v>
      </c>
      <c r="W12" s="10">
        <v>1970.52</v>
      </c>
      <c r="X12" s="10">
        <v>5799.89</v>
      </c>
      <c r="Y12" s="10">
        <v>2088.14</v>
      </c>
      <c r="Z12" s="10">
        <v>3604.94</v>
      </c>
      <c r="AA12" s="10">
        <v>56.27</v>
      </c>
      <c r="AB12" s="10">
        <v>1952.23</v>
      </c>
      <c r="AC12" s="10">
        <v>1648</v>
      </c>
      <c r="AD12" s="10">
        <v>641.25</v>
      </c>
      <c r="AE12" s="10">
        <v>738.89</v>
      </c>
      <c r="AF12" s="10">
        <v>2278.59</v>
      </c>
    </row>
    <row r="13" spans="1:32" s="11" customFormat="1" ht="12" x14ac:dyDescent="0.15">
      <c r="A13" s="9">
        <v>40908</v>
      </c>
      <c r="B13" s="10">
        <v>1666.67</v>
      </c>
      <c r="C13" s="10">
        <v>1456.79</v>
      </c>
      <c r="D13" s="10">
        <v>6805.83</v>
      </c>
      <c r="E13" s="10">
        <v>4391.87</v>
      </c>
      <c r="F13" s="10">
        <v>3128.55</v>
      </c>
      <c r="G13" s="10">
        <v>3864.73</v>
      </c>
      <c r="H13" s="10">
        <v>2254.2399999999998</v>
      </c>
      <c r="I13" s="10">
        <v>3301.52</v>
      </c>
      <c r="J13" s="10">
        <v>1338.13</v>
      </c>
      <c r="K13" s="10">
        <v>17992.21</v>
      </c>
      <c r="L13" s="10">
        <v>21177.82</v>
      </c>
      <c r="M13" s="10">
        <v>4045.06</v>
      </c>
      <c r="N13" s="10">
        <v>5745.16</v>
      </c>
      <c r="O13" s="10">
        <v>3336.25</v>
      </c>
      <c r="P13" s="10">
        <v>14131.53</v>
      </c>
      <c r="Q13" s="10">
        <v>7103.51</v>
      </c>
      <c r="R13" s="10">
        <v>3781.22</v>
      </c>
      <c r="S13" s="10">
        <v>3943.79</v>
      </c>
      <c r="T13" s="10">
        <v>5515.81</v>
      </c>
      <c r="U13" s="10">
        <v>3197.25</v>
      </c>
      <c r="V13" s="10">
        <v>764.08</v>
      </c>
      <c r="W13" s="10">
        <v>2416.38</v>
      </c>
      <c r="X13" s="10">
        <v>7307.63</v>
      </c>
      <c r="Y13" s="10">
        <v>2643.16</v>
      </c>
      <c r="Z13" s="10">
        <v>4192.83</v>
      </c>
      <c r="AA13" s="10">
        <v>78.760000000000005</v>
      </c>
      <c r="AB13" s="10">
        <v>2536.5300000000002</v>
      </c>
      <c r="AC13" s="10">
        <v>2067.35</v>
      </c>
      <c r="AD13" s="10">
        <v>829.91</v>
      </c>
      <c r="AE13" s="10">
        <v>928.05</v>
      </c>
      <c r="AF13" s="10">
        <v>3058.36</v>
      </c>
    </row>
    <row r="14" spans="1:32" s="11" customFormat="1" ht="12" x14ac:dyDescent="0.15">
      <c r="A14" s="9">
        <v>41274</v>
      </c>
      <c r="B14" s="10">
        <v>1810</v>
      </c>
      <c r="C14" s="10">
        <v>1652</v>
      </c>
      <c r="D14" s="10">
        <v>8412</v>
      </c>
      <c r="E14" s="10">
        <v>5402</v>
      </c>
      <c r="F14" s="10">
        <v>3967</v>
      </c>
      <c r="G14" s="10">
        <v>4800</v>
      </c>
      <c r="H14" s="10">
        <v>2660</v>
      </c>
      <c r="I14" s="10">
        <v>3909</v>
      </c>
      <c r="J14" s="10">
        <v>1488</v>
      </c>
      <c r="K14" s="10">
        <v>20781</v>
      </c>
      <c r="L14" s="10">
        <v>25011</v>
      </c>
      <c r="M14" s="10">
        <v>5117</v>
      </c>
      <c r="N14" s="10">
        <v>7124</v>
      </c>
      <c r="O14" s="10">
        <v>4187</v>
      </c>
      <c r="P14" s="10">
        <v>16760</v>
      </c>
      <c r="Q14" s="10">
        <v>8304</v>
      </c>
      <c r="R14" s="10">
        <v>4632</v>
      </c>
      <c r="S14" s="10">
        <v>4701</v>
      </c>
      <c r="T14" s="10">
        <v>6630</v>
      </c>
      <c r="U14" s="10">
        <v>3955</v>
      </c>
      <c r="V14" s="10">
        <v>1004</v>
      </c>
      <c r="W14" s="10">
        <v>2803</v>
      </c>
      <c r="X14" s="10">
        <v>9003</v>
      </c>
      <c r="Y14" s="10">
        <v>3111</v>
      </c>
      <c r="Z14" s="10">
        <v>4914</v>
      </c>
      <c r="AA14" s="10">
        <v>89</v>
      </c>
      <c r="AB14" s="10">
        <v>3125</v>
      </c>
      <c r="AC14" s="10">
        <v>2640</v>
      </c>
      <c r="AD14" s="10">
        <v>1010</v>
      </c>
      <c r="AE14" s="10">
        <v>1135</v>
      </c>
      <c r="AF14" s="10">
        <v>3878</v>
      </c>
    </row>
    <row r="15" spans="1:32" s="11" customFormat="1" ht="12" x14ac:dyDescent="0.15">
      <c r="A15" s="9">
        <v>41639</v>
      </c>
      <c r="B15" s="10">
        <v>2319.0300000000002</v>
      </c>
      <c r="C15" s="10">
        <v>2185.79</v>
      </c>
      <c r="D15" s="10">
        <v>10153.709999999999</v>
      </c>
      <c r="E15" s="10">
        <v>6656.47</v>
      </c>
      <c r="F15" s="10">
        <v>4881.01</v>
      </c>
      <c r="G15" s="10">
        <v>5880.43</v>
      </c>
      <c r="H15" s="10">
        <v>3424.78</v>
      </c>
      <c r="I15" s="10">
        <v>4668.84</v>
      </c>
      <c r="J15" s="10">
        <v>1769.71</v>
      </c>
      <c r="K15" s="10">
        <v>22684.799999999999</v>
      </c>
      <c r="L15" s="10">
        <v>28371.93</v>
      </c>
      <c r="M15" s="10">
        <v>6323.96</v>
      </c>
      <c r="N15" s="10">
        <v>8521.85</v>
      </c>
      <c r="O15" s="10">
        <v>5118.53</v>
      </c>
      <c r="P15" s="10">
        <v>19192.38</v>
      </c>
      <c r="Q15" s="10">
        <v>9949.02</v>
      </c>
      <c r="R15" s="10">
        <v>5620.51</v>
      </c>
      <c r="S15" s="10">
        <v>5837.53</v>
      </c>
      <c r="T15" s="10">
        <v>7956.6</v>
      </c>
      <c r="U15" s="10">
        <v>4776.8100000000004</v>
      </c>
      <c r="V15" s="10">
        <v>1072.29</v>
      </c>
      <c r="W15" s="10">
        <v>3384.88</v>
      </c>
      <c r="X15" s="10">
        <v>10755</v>
      </c>
      <c r="Y15" s="10">
        <v>3835.44</v>
      </c>
      <c r="Z15" s="10">
        <v>5591.03</v>
      </c>
      <c r="AA15" s="10">
        <v>149.91999999999999</v>
      </c>
      <c r="AB15" s="10">
        <v>4292.2299999999996</v>
      </c>
      <c r="AC15" s="10">
        <v>3332.26</v>
      </c>
      <c r="AD15" s="10">
        <v>1319.93</v>
      </c>
      <c r="AE15" s="10">
        <v>1421.33</v>
      </c>
      <c r="AF15" s="10">
        <v>4695.09</v>
      </c>
    </row>
    <row r="16" spans="1:32" s="11" customFormat="1" ht="12" x14ac:dyDescent="0.15">
      <c r="A16" s="9">
        <v>42004</v>
      </c>
      <c r="B16" s="10">
        <v>2595</v>
      </c>
      <c r="C16" s="10">
        <v>2553</v>
      </c>
      <c r="D16" s="10">
        <v>11758</v>
      </c>
      <c r="E16" s="10">
        <v>7402</v>
      </c>
      <c r="F16" s="10">
        <v>5579</v>
      </c>
      <c r="G16" s="10">
        <v>6639</v>
      </c>
      <c r="H16" s="10">
        <v>4257</v>
      </c>
      <c r="I16" s="10">
        <v>5724</v>
      </c>
      <c r="J16" s="10">
        <v>1975</v>
      </c>
      <c r="K16" s="10">
        <v>24182</v>
      </c>
      <c r="L16" s="10">
        <v>28911</v>
      </c>
      <c r="M16" s="10">
        <v>7418</v>
      </c>
      <c r="N16" s="10">
        <v>10141</v>
      </c>
      <c r="O16" s="10">
        <v>6132</v>
      </c>
      <c r="P16" s="10">
        <v>21649</v>
      </c>
      <c r="Q16" s="10">
        <v>11710</v>
      </c>
      <c r="R16" s="10">
        <v>6576</v>
      </c>
      <c r="S16" s="10">
        <v>6719</v>
      </c>
      <c r="T16" s="10">
        <v>8983</v>
      </c>
      <c r="U16" s="10">
        <v>5479</v>
      </c>
      <c r="V16" s="10">
        <v>1246</v>
      </c>
      <c r="W16" s="10">
        <v>3940</v>
      </c>
      <c r="X16" s="10">
        <v>12379</v>
      </c>
      <c r="Y16" s="10">
        <v>4848</v>
      </c>
      <c r="Z16" s="10">
        <v>6234</v>
      </c>
      <c r="AA16" s="10">
        <v>297</v>
      </c>
      <c r="AB16" s="10">
        <v>4803</v>
      </c>
      <c r="AC16" s="10">
        <v>4142</v>
      </c>
      <c r="AD16" s="10">
        <v>1543</v>
      </c>
      <c r="AE16" s="10">
        <v>1626</v>
      </c>
      <c r="AF16" s="10">
        <v>5451</v>
      </c>
    </row>
    <row r="17" spans="1:32" s="11" customFormat="1" ht="12" x14ac:dyDescent="0.15">
      <c r="A17" s="9">
        <v>42369</v>
      </c>
      <c r="B17" s="10">
        <v>2660.33</v>
      </c>
      <c r="C17" s="10">
        <v>2912.09</v>
      </c>
      <c r="D17" s="10">
        <v>13388.72</v>
      </c>
      <c r="E17" s="10">
        <v>8245.73</v>
      </c>
      <c r="F17" s="10">
        <v>6560.42</v>
      </c>
      <c r="G17" s="10">
        <v>7395.95</v>
      </c>
      <c r="H17" s="10">
        <v>5331.59</v>
      </c>
      <c r="I17" s="10">
        <v>7312.9</v>
      </c>
      <c r="J17" s="10">
        <v>2187.9699999999998</v>
      </c>
      <c r="K17" s="10">
        <v>26128.47</v>
      </c>
      <c r="L17" s="10">
        <v>30382.83</v>
      </c>
      <c r="M17" s="10">
        <v>8522.93</v>
      </c>
      <c r="N17" s="10">
        <v>11315.28</v>
      </c>
      <c r="O17" s="10">
        <v>7188.41</v>
      </c>
      <c r="P17" s="10">
        <v>23378.79</v>
      </c>
      <c r="Q17" s="10">
        <v>13508.15</v>
      </c>
      <c r="R17" s="10">
        <v>7702.22</v>
      </c>
      <c r="S17" s="10">
        <v>7887.32</v>
      </c>
      <c r="T17" s="10">
        <v>9269.52</v>
      </c>
      <c r="U17" s="10">
        <v>6002.66</v>
      </c>
      <c r="V17" s="10">
        <v>1436.18</v>
      </c>
      <c r="W17" s="10">
        <v>4375.12</v>
      </c>
      <c r="X17" s="10">
        <v>13804.72</v>
      </c>
      <c r="Y17" s="10">
        <v>6003.31</v>
      </c>
      <c r="Z17" s="10">
        <v>7135.47</v>
      </c>
      <c r="AA17" s="10">
        <v>413.06</v>
      </c>
      <c r="AB17" s="10">
        <v>5454.38</v>
      </c>
      <c r="AC17" s="10">
        <v>5274.41</v>
      </c>
      <c r="AD17" s="10">
        <v>1825.25</v>
      </c>
      <c r="AE17" s="10">
        <v>1685.53</v>
      </c>
      <c r="AF17" s="10">
        <v>5823.26</v>
      </c>
    </row>
    <row r="18" spans="1:32" s="11" customFormat="1" ht="12" x14ac:dyDescent="0.15">
      <c r="A18" s="9">
        <v>42735</v>
      </c>
      <c r="B18" s="10">
        <v>1958</v>
      </c>
      <c r="C18" s="10">
        <v>2650</v>
      </c>
      <c r="D18" s="10">
        <v>13054</v>
      </c>
      <c r="E18" s="10">
        <v>8691</v>
      </c>
      <c r="F18" s="10">
        <v>7492</v>
      </c>
      <c r="G18" s="10">
        <v>7677</v>
      </c>
      <c r="H18" s="10">
        <v>6110</v>
      </c>
      <c r="I18" s="10">
        <v>7993</v>
      </c>
      <c r="J18" s="10">
        <v>2037</v>
      </c>
      <c r="K18" s="10">
        <v>28271</v>
      </c>
      <c r="L18" s="10">
        <v>30079</v>
      </c>
      <c r="M18" s="10">
        <v>9665</v>
      </c>
      <c r="N18" s="10">
        <v>11700</v>
      </c>
      <c r="O18" s="10">
        <v>8432</v>
      </c>
      <c r="P18" s="10">
        <v>24688</v>
      </c>
      <c r="Q18" s="10">
        <v>14913</v>
      </c>
      <c r="R18" s="10">
        <v>9027</v>
      </c>
      <c r="S18" s="10">
        <v>8960</v>
      </c>
      <c r="T18" s="10">
        <v>9733</v>
      </c>
      <c r="U18" s="10">
        <v>6765</v>
      </c>
      <c r="V18" s="10">
        <v>1429</v>
      </c>
      <c r="W18" s="10">
        <v>4677</v>
      </c>
      <c r="X18" s="10">
        <v>15199</v>
      </c>
      <c r="Y18" s="10">
        <v>7258</v>
      </c>
      <c r="Z18" s="10">
        <v>8006</v>
      </c>
      <c r="AA18" s="10">
        <v>860</v>
      </c>
      <c r="AB18" s="10">
        <v>5858</v>
      </c>
      <c r="AC18" s="10">
        <v>6266</v>
      </c>
      <c r="AD18" s="10">
        <v>1995</v>
      </c>
      <c r="AE18" s="10">
        <v>1817</v>
      </c>
      <c r="AF18" s="10">
        <v>6359</v>
      </c>
    </row>
    <row r="19" spans="1:32" x14ac:dyDescent="0.15">
      <c r="A19" s="8" t="s">
        <v>37</v>
      </c>
    </row>
    <row r="20" spans="1:32" x14ac:dyDescent="0.15">
      <c r="A20" s="9">
        <v>40178</v>
      </c>
      <c r="B20">
        <v>1860.0000000000002</v>
      </c>
      <c r="C20">
        <v>1228.1599999999999</v>
      </c>
      <c r="D20">
        <v>7034.4</v>
      </c>
      <c r="E20">
        <v>3427.36</v>
      </c>
      <c r="F20">
        <v>2458.2235229999997</v>
      </c>
      <c r="G20">
        <v>4341</v>
      </c>
      <c r="H20">
        <v>2739.5499999999997</v>
      </c>
      <c r="I20">
        <v>3826.01</v>
      </c>
      <c r="J20">
        <v>2210.2841279999998</v>
      </c>
      <c r="K20">
        <v>7810.2689999999993</v>
      </c>
      <c r="L20">
        <v>5275.5</v>
      </c>
      <c r="M20">
        <v>6131</v>
      </c>
      <c r="N20">
        <v>3665.8791670000001</v>
      </c>
      <c r="O20">
        <v>4432.1581000000006</v>
      </c>
      <c r="P20">
        <v>9470.3000000000011</v>
      </c>
      <c r="Q20">
        <v>9487.0500000000011</v>
      </c>
      <c r="R20">
        <v>5720</v>
      </c>
      <c r="S20">
        <v>6406</v>
      </c>
      <c r="T20">
        <v>10130.185463</v>
      </c>
      <c r="U20">
        <v>4856</v>
      </c>
      <c r="V20">
        <v>864.07</v>
      </c>
      <c r="W20">
        <v>2859</v>
      </c>
      <c r="X20">
        <v>8184.9999999999991</v>
      </c>
      <c r="Y20">
        <v>3536.9999999999995</v>
      </c>
      <c r="Z20">
        <v>4571</v>
      </c>
      <c r="AA20">
        <v>295.84000000000003</v>
      </c>
      <c r="AB20">
        <v>3726.6678460000003</v>
      </c>
      <c r="AC20">
        <v>2554.91</v>
      </c>
      <c r="AD20">
        <v>557.30000000000007</v>
      </c>
      <c r="AE20">
        <v>625.19999999999993</v>
      </c>
      <c r="AF20">
        <v>2158.63</v>
      </c>
    </row>
    <row r="21" spans="1:32" x14ac:dyDescent="0.15">
      <c r="A21" s="9">
        <v>40543</v>
      </c>
      <c r="B21">
        <v>1961.9</v>
      </c>
      <c r="C21">
        <v>1299.29</v>
      </c>
      <c r="D21">
        <v>7193.6</v>
      </c>
      <c r="E21">
        <v>3574.1145000000001</v>
      </c>
      <c r="F21">
        <v>2472.1786000000002</v>
      </c>
      <c r="G21">
        <v>4374.9000000000005</v>
      </c>
      <c r="H21">
        <v>2746.6021000000001</v>
      </c>
      <c r="I21">
        <v>3833.35</v>
      </c>
      <c r="J21">
        <v>2302.6608000000001</v>
      </c>
      <c r="K21">
        <v>7869.34</v>
      </c>
      <c r="L21">
        <v>5446.51</v>
      </c>
      <c r="M21">
        <v>5956.7096000000001</v>
      </c>
      <c r="N21">
        <v>3693</v>
      </c>
      <c r="O21">
        <v>4462.2489000000005</v>
      </c>
      <c r="P21">
        <v>9587.8641000000007</v>
      </c>
      <c r="Q21">
        <v>9405.4696999999996</v>
      </c>
      <c r="R21">
        <v>5727.9142999999995</v>
      </c>
      <c r="S21">
        <v>6570.0999999999995</v>
      </c>
      <c r="T21">
        <v>10440.964099999999</v>
      </c>
      <c r="U21">
        <v>4610</v>
      </c>
      <c r="V21">
        <v>868.55119999999988</v>
      </c>
      <c r="W21">
        <v>2884.62</v>
      </c>
      <c r="X21">
        <v>8044.92</v>
      </c>
      <c r="Y21">
        <v>3478.9408000000003</v>
      </c>
      <c r="Z21">
        <v>4601.5999999999995</v>
      </c>
      <c r="AA21">
        <v>300.22000000000003</v>
      </c>
      <c r="AB21">
        <v>3735.2266999999997</v>
      </c>
      <c r="AC21">
        <v>2559.98</v>
      </c>
      <c r="AD21">
        <v>563.46999999999991</v>
      </c>
      <c r="AE21">
        <v>632.96</v>
      </c>
      <c r="AF21">
        <v>2185.1099999999997</v>
      </c>
    </row>
    <row r="22" spans="1:32" x14ac:dyDescent="0.15">
      <c r="A22" s="9">
        <v>40908</v>
      </c>
      <c r="B22">
        <v>2018.6</v>
      </c>
      <c r="C22">
        <v>1354.58</v>
      </c>
      <c r="D22">
        <v>7240.51</v>
      </c>
      <c r="E22">
        <v>3593.28</v>
      </c>
      <c r="F22">
        <v>2481.71</v>
      </c>
      <c r="G22">
        <v>4383</v>
      </c>
      <c r="H22">
        <v>2749.41</v>
      </c>
      <c r="I22">
        <v>3834.0099999999998</v>
      </c>
      <c r="J22">
        <v>2347.46</v>
      </c>
      <c r="K22">
        <v>7898.8006679999999</v>
      </c>
      <c r="L22">
        <v>5463</v>
      </c>
      <c r="M22">
        <v>5968</v>
      </c>
      <c r="N22">
        <v>3720.0000000000005</v>
      </c>
      <c r="O22">
        <v>4488.4367000000002</v>
      </c>
      <c r="P22">
        <v>9637.2699999999986</v>
      </c>
      <c r="Q22">
        <v>9388.24</v>
      </c>
      <c r="R22">
        <v>5757.5</v>
      </c>
      <c r="S22">
        <v>6595.6</v>
      </c>
      <c r="T22">
        <v>10504.8488</v>
      </c>
      <c r="U22">
        <v>4645</v>
      </c>
      <c r="V22">
        <v>877.38</v>
      </c>
      <c r="W22">
        <v>2919</v>
      </c>
      <c r="X22">
        <v>8050</v>
      </c>
      <c r="Y22">
        <v>3468.72</v>
      </c>
      <c r="Z22">
        <v>4630.8</v>
      </c>
      <c r="AA22">
        <v>303.3</v>
      </c>
      <c r="AB22">
        <v>3742.6000000000004</v>
      </c>
      <c r="AC22">
        <v>2564.19</v>
      </c>
      <c r="AD22">
        <v>568.17000000000007</v>
      </c>
      <c r="AE22">
        <v>639.44999999999993</v>
      </c>
      <c r="AF22">
        <v>2208.71</v>
      </c>
    </row>
    <row r="23" spans="1:32" x14ac:dyDescent="0.15">
      <c r="A23" s="9">
        <v>41274</v>
      </c>
      <c r="B23">
        <v>2069.3000000000002</v>
      </c>
      <c r="C23">
        <v>1413.15</v>
      </c>
      <c r="D23">
        <v>7287.51</v>
      </c>
      <c r="E23">
        <v>3610.83</v>
      </c>
      <c r="F23">
        <v>2489.85</v>
      </c>
      <c r="G23">
        <v>4389</v>
      </c>
      <c r="H23">
        <v>2750.4</v>
      </c>
      <c r="I23">
        <v>3834.0400000000004</v>
      </c>
      <c r="J23">
        <v>2380.4300000000003</v>
      </c>
      <c r="K23">
        <v>7919.98</v>
      </c>
      <c r="L23">
        <v>5477</v>
      </c>
      <c r="M23">
        <v>5988</v>
      </c>
      <c r="N23">
        <v>3747.9999999999995</v>
      </c>
      <c r="O23">
        <v>4503.9321</v>
      </c>
      <c r="P23">
        <v>9684.869999999999</v>
      </c>
      <c r="Q23">
        <v>9406.1999999999989</v>
      </c>
      <c r="R23">
        <v>5779</v>
      </c>
      <c r="S23">
        <v>6638.93</v>
      </c>
      <c r="T23">
        <v>10594</v>
      </c>
      <c r="U23">
        <v>4682</v>
      </c>
      <c r="V23">
        <v>886.55000000000007</v>
      </c>
      <c r="W23">
        <v>2945</v>
      </c>
      <c r="X23">
        <v>8076.2</v>
      </c>
      <c r="Y23">
        <v>3484.0699999999997</v>
      </c>
      <c r="Z23">
        <v>4659</v>
      </c>
      <c r="AA23">
        <v>307.62</v>
      </c>
      <c r="AB23">
        <v>3753.09</v>
      </c>
      <c r="AC23">
        <v>2577.5500000000002</v>
      </c>
      <c r="AD23">
        <v>573.16999999999996</v>
      </c>
      <c r="AE23">
        <v>647.18999999999994</v>
      </c>
      <c r="AF23">
        <v>2232.7800000000002</v>
      </c>
    </row>
    <row r="24" spans="1:32" x14ac:dyDescent="0.15">
      <c r="A24" s="9">
        <v>41639</v>
      </c>
      <c r="B24">
        <v>2114.8000000000002</v>
      </c>
      <c r="C24">
        <v>1472.21</v>
      </c>
      <c r="D24">
        <v>7332.61</v>
      </c>
      <c r="E24">
        <v>3629.8</v>
      </c>
      <c r="F24">
        <v>2497.6099999999997</v>
      </c>
      <c r="G24">
        <v>4390</v>
      </c>
      <c r="H24">
        <v>2751.2799999999997</v>
      </c>
      <c r="I24">
        <v>3835.02</v>
      </c>
      <c r="J24">
        <v>2415.1499999999996</v>
      </c>
      <c r="K24">
        <v>7939.4900000000007</v>
      </c>
      <c r="L24">
        <v>5498</v>
      </c>
      <c r="M24">
        <v>6029.8</v>
      </c>
      <c r="N24">
        <v>3774</v>
      </c>
      <c r="O24">
        <v>4522.1499999999996</v>
      </c>
      <c r="P24">
        <v>9733.39</v>
      </c>
      <c r="Q24">
        <v>9413.35</v>
      </c>
      <c r="R24">
        <v>5799</v>
      </c>
      <c r="S24">
        <v>6690.6</v>
      </c>
      <c r="T24">
        <v>10644</v>
      </c>
      <c r="U24">
        <v>4719</v>
      </c>
      <c r="V24">
        <v>895.28</v>
      </c>
      <c r="W24">
        <v>2970</v>
      </c>
      <c r="X24">
        <v>8106.9999999999991</v>
      </c>
      <c r="Y24">
        <v>3502.22</v>
      </c>
      <c r="Z24">
        <v>4686.6000000000004</v>
      </c>
      <c r="AA24">
        <v>312.04000000000002</v>
      </c>
      <c r="AB24">
        <v>3763.7</v>
      </c>
      <c r="AC24">
        <v>2582.1799999999998</v>
      </c>
      <c r="AD24">
        <v>577.79</v>
      </c>
      <c r="AE24">
        <v>654.19000000000005</v>
      </c>
      <c r="AF24">
        <v>2264.3000000000002</v>
      </c>
    </row>
    <row r="25" spans="1:32" x14ac:dyDescent="0.15">
      <c r="A25" s="9">
        <v>42004</v>
      </c>
      <c r="B25">
        <v>2151.6</v>
      </c>
      <c r="C25">
        <v>1516.8100000000002</v>
      </c>
      <c r="D25">
        <v>7383.7500000000009</v>
      </c>
      <c r="E25">
        <v>3647.9599999999996</v>
      </c>
      <c r="F25">
        <v>2504.81</v>
      </c>
      <c r="G25">
        <v>4391.4000000000005</v>
      </c>
      <c r="H25">
        <v>2752.38</v>
      </c>
      <c r="I25">
        <v>3833</v>
      </c>
      <c r="J25">
        <v>2425.6799999999998</v>
      </c>
      <c r="K25">
        <v>7960.06</v>
      </c>
      <c r="L25">
        <v>5508</v>
      </c>
      <c r="M25">
        <v>6082.9</v>
      </c>
      <c r="N25">
        <v>3806</v>
      </c>
      <c r="O25">
        <v>4542.16</v>
      </c>
      <c r="P25">
        <v>9789.43</v>
      </c>
      <c r="Q25">
        <v>9436</v>
      </c>
      <c r="R25">
        <v>5816</v>
      </c>
      <c r="S25">
        <v>6737.24</v>
      </c>
      <c r="T25">
        <v>10724</v>
      </c>
      <c r="U25">
        <v>4754</v>
      </c>
      <c r="V25">
        <v>903.48</v>
      </c>
      <c r="W25">
        <v>2991.4</v>
      </c>
      <c r="X25">
        <v>8140.2</v>
      </c>
      <c r="Y25">
        <v>3508.04</v>
      </c>
      <c r="Z25">
        <v>4713.9000000000005</v>
      </c>
      <c r="AA25">
        <v>317.55</v>
      </c>
      <c r="AB25">
        <v>3775.12</v>
      </c>
      <c r="AC25">
        <v>2590.7800000000002</v>
      </c>
      <c r="AD25">
        <v>583.41999999999996</v>
      </c>
      <c r="AE25">
        <v>661.54</v>
      </c>
      <c r="AF25">
        <v>2298.4699999999998</v>
      </c>
    </row>
    <row r="26" spans="1:32" x14ac:dyDescent="0.15">
      <c r="A26" s="9">
        <v>42369</v>
      </c>
      <c r="B26">
        <v>2170.5</v>
      </c>
      <c r="C26">
        <v>1546.95</v>
      </c>
      <c r="D26">
        <v>7424.92</v>
      </c>
      <c r="E26">
        <v>3664.12</v>
      </c>
      <c r="F26">
        <v>2511.04</v>
      </c>
      <c r="G26">
        <v>4382.3999999999996</v>
      </c>
      <c r="H26">
        <v>2753.32</v>
      </c>
      <c r="I26">
        <v>3811.7</v>
      </c>
      <c r="J26">
        <v>2415.27</v>
      </c>
      <c r="K26">
        <v>7976.3</v>
      </c>
      <c r="L26">
        <v>5539</v>
      </c>
      <c r="M26">
        <v>6143.6</v>
      </c>
      <c r="N26">
        <v>3839</v>
      </c>
      <c r="O26">
        <v>4565.63</v>
      </c>
      <c r="P26">
        <v>9847.16</v>
      </c>
      <c r="Q26">
        <v>9480</v>
      </c>
      <c r="R26">
        <v>5851.5</v>
      </c>
      <c r="S26">
        <v>6783.03</v>
      </c>
      <c r="T26">
        <v>10849</v>
      </c>
      <c r="U26">
        <v>4796</v>
      </c>
      <c r="V26">
        <v>910.82</v>
      </c>
      <c r="W26">
        <v>3016.55</v>
      </c>
      <c r="X26">
        <v>8204</v>
      </c>
      <c r="Y26">
        <v>3529.5</v>
      </c>
      <c r="Z26">
        <v>4741.8</v>
      </c>
      <c r="AA26">
        <v>323.97000000000003</v>
      </c>
      <c r="AB26">
        <v>3793</v>
      </c>
      <c r="AC26">
        <v>2599.5500000000002</v>
      </c>
      <c r="AD26">
        <v>588.42999999999995</v>
      </c>
      <c r="AE26">
        <v>667.88</v>
      </c>
      <c r="AF26">
        <v>2359.73</v>
      </c>
    </row>
    <row r="27" spans="1:32" x14ac:dyDescent="0.15">
      <c r="A27" s="9">
        <v>42735</v>
      </c>
      <c r="B27">
        <v>2172.9</v>
      </c>
      <c r="C27">
        <v>1562.12</v>
      </c>
      <c r="D27">
        <v>7470.05</v>
      </c>
      <c r="E27">
        <v>3681.6000000000004</v>
      </c>
      <c r="F27">
        <v>2520.13</v>
      </c>
      <c r="G27">
        <v>4377.8</v>
      </c>
      <c r="H27">
        <v>2733.03</v>
      </c>
      <c r="I27">
        <v>3799.23</v>
      </c>
      <c r="J27">
        <v>2419.6999999999998</v>
      </c>
      <c r="K27">
        <v>7998.6</v>
      </c>
      <c r="L27">
        <v>5590</v>
      </c>
      <c r="M27">
        <v>6195.5</v>
      </c>
      <c r="N27">
        <v>3874</v>
      </c>
      <c r="O27">
        <v>4592.2699999999995</v>
      </c>
      <c r="P27">
        <v>9946.64</v>
      </c>
      <c r="Q27">
        <v>9532.42</v>
      </c>
      <c r="R27">
        <v>5885</v>
      </c>
      <c r="S27">
        <v>6822.02</v>
      </c>
      <c r="T27">
        <v>10999</v>
      </c>
      <c r="U27">
        <v>4838</v>
      </c>
      <c r="V27">
        <v>917.13</v>
      </c>
      <c r="W27">
        <v>3048.4300000000003</v>
      </c>
      <c r="X27">
        <v>8262</v>
      </c>
      <c r="Y27">
        <v>3554.9999999999995</v>
      </c>
      <c r="Z27">
        <v>4770.5</v>
      </c>
      <c r="AA27">
        <v>330.54</v>
      </c>
      <c r="AB27">
        <v>3812.62</v>
      </c>
      <c r="AC27">
        <v>2609.9499999999998</v>
      </c>
      <c r="AD27">
        <v>593.45999999999992</v>
      </c>
      <c r="AE27">
        <v>674.9</v>
      </c>
      <c r="AF27">
        <v>2398.08</v>
      </c>
    </row>
    <row r="28" spans="1:32" x14ac:dyDescent="0.15">
      <c r="A28" s="8" t="s">
        <v>38</v>
      </c>
    </row>
    <row r="29" spans="1:32" x14ac:dyDescent="0.15">
      <c r="A29" s="9">
        <v>40178</v>
      </c>
      <c r="B29" s="12">
        <v>263.25</v>
      </c>
      <c r="C29" s="12">
        <v>270.072384</v>
      </c>
      <c r="D29" s="12">
        <v>4009.0000000000005</v>
      </c>
      <c r="E29" s="12">
        <v>1851.1171359999998</v>
      </c>
      <c r="F29" s="12">
        <v>1128.68462</v>
      </c>
      <c r="G29" s="12">
        <v>1712.4835</v>
      </c>
      <c r="H29" s="12">
        <v>1278.8219399999998</v>
      </c>
      <c r="I29" s="12">
        <v>1702.5700000000002</v>
      </c>
      <c r="J29" s="12">
        <v>218.994</v>
      </c>
      <c r="K29" s="12">
        <v>3429.9</v>
      </c>
      <c r="L29" s="12">
        <v>2180.7800000000002</v>
      </c>
      <c r="M29" s="12">
        <v>3549.8489999999997</v>
      </c>
      <c r="N29" s="12">
        <v>1762.7220000000002</v>
      </c>
      <c r="O29" s="12">
        <v>2518.3522320000002</v>
      </c>
      <c r="P29" s="12">
        <v>4894.2510400000001</v>
      </c>
      <c r="Q29" s="12">
        <v>5910</v>
      </c>
      <c r="R29" s="12">
        <v>3088.8</v>
      </c>
      <c r="S29" s="12">
        <v>3638.6080000000002</v>
      </c>
      <c r="T29" s="12">
        <v>3527.5080000000003</v>
      </c>
      <c r="U29" s="12">
        <v>2952.4479999999999</v>
      </c>
      <c r="V29" s="12">
        <v>439.55240900000001</v>
      </c>
      <c r="W29" s="12">
        <v>1384.0419000000002</v>
      </c>
      <c r="X29" s="12">
        <v>5017.4049999999997</v>
      </c>
      <c r="Y29" s="12">
        <v>2662.7777999999998</v>
      </c>
      <c r="Z29" s="12">
        <v>3016.86</v>
      </c>
      <c r="AA29" s="12">
        <v>221.00285999999997</v>
      </c>
      <c r="AB29" s="12">
        <v>2131.1800000000003</v>
      </c>
      <c r="AC29" s="12">
        <v>1774.9823100000001</v>
      </c>
      <c r="AD29" s="12">
        <v>323.79129999999998</v>
      </c>
      <c r="AE29" s="12">
        <v>337</v>
      </c>
      <c r="AF29" s="12">
        <v>1299</v>
      </c>
    </row>
    <row r="30" spans="1:32" x14ac:dyDescent="0.15">
      <c r="A30" s="9">
        <v>40543</v>
      </c>
      <c r="B30" s="12">
        <v>275.36759999999998</v>
      </c>
      <c r="C30" s="12">
        <v>266.08</v>
      </c>
      <c r="D30" s="12">
        <v>4027.8882000000003</v>
      </c>
      <c r="E30" s="12">
        <v>1855.1562000000001</v>
      </c>
      <c r="F30" s="12">
        <v>1098.6116999999999</v>
      </c>
      <c r="G30" s="12">
        <v>1655.836</v>
      </c>
      <c r="H30" s="12">
        <v>1280.4615999999999</v>
      </c>
      <c r="I30" s="12">
        <v>1699.0276000000001</v>
      </c>
      <c r="J30" s="12">
        <v>246.40979999999999</v>
      </c>
      <c r="K30" s="12">
        <v>3128.9453000000003</v>
      </c>
      <c r="L30" s="12">
        <v>2087.6682000000001</v>
      </c>
      <c r="M30" s="12">
        <v>3392.3350999999998</v>
      </c>
      <c r="N30" s="12">
        <v>1583.2276999999999</v>
      </c>
      <c r="O30" s="12">
        <v>2506.7837</v>
      </c>
      <c r="P30" s="12">
        <v>4817.1992</v>
      </c>
      <c r="Q30" s="12">
        <v>5781.0172000000002</v>
      </c>
      <c r="R30" s="12">
        <v>2879.2642000000001</v>
      </c>
      <c r="S30" s="12">
        <v>3724.7698999999998</v>
      </c>
      <c r="T30" s="12">
        <v>3529.0204000000003</v>
      </c>
      <c r="U30" s="12">
        <v>2760.5917999999997</v>
      </c>
      <c r="V30" s="12">
        <v>436.29689999999994</v>
      </c>
      <c r="W30" s="12">
        <v>1355.0366999999999</v>
      </c>
      <c r="X30" s="12">
        <v>4807.3099999999995</v>
      </c>
      <c r="Y30" s="12">
        <v>2301.1023</v>
      </c>
      <c r="Z30" s="12">
        <v>3000.7694000000001</v>
      </c>
      <c r="AA30" s="12">
        <v>232.15759999999997</v>
      </c>
      <c r="AB30" s="12">
        <v>2026.8042</v>
      </c>
      <c r="AC30" s="12">
        <v>1638.4078</v>
      </c>
      <c r="AD30" s="12">
        <v>311.04689999999999</v>
      </c>
      <c r="AE30" s="12">
        <v>327.93279999999999</v>
      </c>
      <c r="AF30" s="12">
        <v>1248.0063</v>
      </c>
    </row>
    <row r="31" spans="1:32" x14ac:dyDescent="0.15">
      <c r="A31" s="9">
        <v>40908</v>
      </c>
      <c r="B31" s="12">
        <v>278.5668</v>
      </c>
      <c r="C31" s="12">
        <v>264.22500000000002</v>
      </c>
      <c r="D31" s="12">
        <v>3938.8374399999998</v>
      </c>
      <c r="E31" s="12">
        <v>1807.9975999999999</v>
      </c>
      <c r="F31" s="12">
        <v>1076.5657980000001</v>
      </c>
      <c r="G31" s="12">
        <v>1575.6885</v>
      </c>
      <c r="H31" s="12">
        <v>1281.22506</v>
      </c>
      <c r="I31" s="12">
        <v>1667.7900000000002</v>
      </c>
      <c r="J31" s="12">
        <v>251.17821999999998</v>
      </c>
      <c r="K31" s="12">
        <v>3010</v>
      </c>
      <c r="L31" s="12">
        <v>2059.5509999999999</v>
      </c>
      <c r="M31" s="12">
        <v>3294.3359999999998</v>
      </c>
      <c r="N31" s="12">
        <v>1558.68</v>
      </c>
      <c r="O31" s="12">
        <v>2437.2211279999997</v>
      </c>
      <c r="P31" s="12">
        <v>4726.9485000000004</v>
      </c>
      <c r="Q31" s="12">
        <v>5579.2884000000004</v>
      </c>
      <c r="R31" s="12">
        <v>2774</v>
      </c>
      <c r="S31" s="12">
        <v>3620.9843999999998</v>
      </c>
      <c r="T31" s="12">
        <v>3519.1243479999998</v>
      </c>
      <c r="U31" s="12">
        <v>2703.39</v>
      </c>
      <c r="V31" s="12">
        <v>434.2833</v>
      </c>
      <c r="W31" s="12">
        <v>1312.9662000000001</v>
      </c>
      <c r="X31" s="12">
        <v>4682.6850000000004</v>
      </c>
      <c r="Y31" s="12">
        <v>2256.055488</v>
      </c>
      <c r="Z31" s="12">
        <v>2926.6656000000003</v>
      </c>
      <c r="AA31" s="12">
        <v>234.42057</v>
      </c>
      <c r="AB31" s="12">
        <v>1973</v>
      </c>
      <c r="AC31" s="12">
        <v>1611</v>
      </c>
      <c r="AD31" s="12">
        <v>305</v>
      </c>
      <c r="AE31" s="12">
        <v>320.87601000000001</v>
      </c>
      <c r="AF31" s="12">
        <v>1247.0376659999999</v>
      </c>
    </row>
    <row r="32" spans="1:32" x14ac:dyDescent="0.15">
      <c r="A32" s="9">
        <v>41274</v>
      </c>
      <c r="B32" s="12">
        <v>285.5634</v>
      </c>
      <c r="C32" s="12">
        <v>260.72617500000001</v>
      </c>
      <c r="D32" s="12">
        <v>3876.9553199999996</v>
      </c>
      <c r="E32" s="12">
        <v>1759.9185420000001</v>
      </c>
      <c r="F32" s="12">
        <v>1052.2106100000001</v>
      </c>
      <c r="G32" s="12">
        <v>1507.6215</v>
      </c>
      <c r="H32" s="12">
        <v>1273.4351999999999</v>
      </c>
      <c r="I32" s="12">
        <v>1652.4539999999997</v>
      </c>
      <c r="J32" s="12">
        <v>254.70600999999999</v>
      </c>
      <c r="K32" s="12">
        <v>2930.3926000000001</v>
      </c>
      <c r="L32" s="12">
        <v>2015.5360000000001</v>
      </c>
      <c r="M32" s="12">
        <v>3203.5800000000004</v>
      </c>
      <c r="N32" s="12">
        <v>1514.192</v>
      </c>
      <c r="O32" s="12">
        <v>2364.1139590000002</v>
      </c>
      <c r="P32" s="12">
        <v>4607.1402290000005</v>
      </c>
      <c r="Q32" s="12">
        <v>5415.0342000000001</v>
      </c>
      <c r="R32" s="12">
        <v>2687.2350000000001</v>
      </c>
      <c r="S32" s="12">
        <v>3541.8691549999999</v>
      </c>
      <c r="T32" s="12">
        <v>3453.6439999999998</v>
      </c>
      <c r="U32" s="12">
        <v>2643.9253999999996</v>
      </c>
      <c r="V32" s="12">
        <v>429.09019999999998</v>
      </c>
      <c r="W32" s="12">
        <v>1266.9390000000001</v>
      </c>
      <c r="X32" s="12">
        <v>4560.6301400000002</v>
      </c>
      <c r="Y32" s="12">
        <v>2215.520113</v>
      </c>
      <c r="Z32" s="12">
        <v>2827.5470999999998</v>
      </c>
      <c r="AA32" s="12">
        <v>237.63645000000002</v>
      </c>
      <c r="AB32" s="12">
        <v>1875.7690600000001</v>
      </c>
      <c r="AC32" s="12">
        <v>1578.7493749999999</v>
      </c>
      <c r="AD32" s="12">
        <v>301.258152</v>
      </c>
      <c r="AE32" s="12">
        <v>319.258827</v>
      </c>
      <c r="AF32" s="12">
        <v>1250.8033559999999</v>
      </c>
    </row>
    <row r="33" spans="1:32" x14ac:dyDescent="0.15">
      <c r="A33" s="9">
        <v>41639</v>
      </c>
      <c r="B33" s="12">
        <v>289.7276</v>
      </c>
      <c r="C33" s="12">
        <v>264.85057900000004</v>
      </c>
      <c r="D33" s="12">
        <v>3804.1580680000002</v>
      </c>
      <c r="E33" s="12">
        <v>1721.97712</v>
      </c>
      <c r="F33" s="12">
        <v>1031.2631690000001</v>
      </c>
      <c r="G33" s="12">
        <v>1472.845</v>
      </c>
      <c r="H33" s="12">
        <v>1260.0862400000001</v>
      </c>
      <c r="I33" s="12">
        <v>1633.7185200000001</v>
      </c>
      <c r="J33" s="12">
        <v>251.1756</v>
      </c>
      <c r="K33" s="12">
        <v>2849.4829610000002</v>
      </c>
      <c r="L33" s="12">
        <v>1979.28</v>
      </c>
      <c r="M33" s="12">
        <v>3143.9377199999999</v>
      </c>
      <c r="N33" s="12">
        <v>1480.5402000000001</v>
      </c>
      <c r="O33" s="12">
        <v>2312.175295</v>
      </c>
      <c r="P33" s="12">
        <v>4501.6928749999997</v>
      </c>
      <c r="Q33" s="12">
        <v>5290.3027000000002</v>
      </c>
      <c r="R33" s="12">
        <v>2637.9650999999999</v>
      </c>
      <c r="S33" s="12">
        <v>3481.7882400000003</v>
      </c>
      <c r="T33" s="12">
        <v>3431.6256000000003</v>
      </c>
      <c r="U33" s="12">
        <v>2604.4160999999999</v>
      </c>
      <c r="V33" s="12">
        <v>423.10932799999995</v>
      </c>
      <c r="W33" s="12">
        <v>1237.3020000000001</v>
      </c>
      <c r="X33" s="12">
        <v>4466.9570000000003</v>
      </c>
      <c r="Y33" s="12">
        <v>2177.3301740000002</v>
      </c>
      <c r="Z33" s="12">
        <v>2789.46432</v>
      </c>
      <c r="AA33" s="12">
        <v>238.05531599999998</v>
      </c>
      <c r="AB33" s="12">
        <v>1832.6662039999999</v>
      </c>
      <c r="AC33" s="12">
        <v>1545.9511660000001</v>
      </c>
      <c r="AD33" s="12">
        <v>297.50407100000001</v>
      </c>
      <c r="AE33" s="12">
        <v>313.94578100000001</v>
      </c>
      <c r="AF33" s="12">
        <v>1257.3657900000001</v>
      </c>
    </row>
    <row r="34" spans="1:32" x14ac:dyDescent="0.15">
      <c r="A34" s="9">
        <v>42004</v>
      </c>
      <c r="B34" s="12">
        <v>293.6934</v>
      </c>
      <c r="C34" s="12">
        <v>268.93041299999999</v>
      </c>
      <c r="D34" s="12">
        <v>3741.3461249999996</v>
      </c>
      <c r="E34" s="12">
        <v>1685.7223160000001</v>
      </c>
      <c r="F34" s="12">
        <v>1014.197569</v>
      </c>
      <c r="G34" s="12">
        <v>1446.8344999999999</v>
      </c>
      <c r="H34" s="12">
        <v>1243.800522</v>
      </c>
      <c r="I34" s="12">
        <v>1609.4767000000002</v>
      </c>
      <c r="J34" s="12">
        <v>252.27072000000001</v>
      </c>
      <c r="K34" s="12">
        <v>2769.3048739999999</v>
      </c>
      <c r="L34" s="12">
        <v>1934.9603999999999</v>
      </c>
      <c r="M34" s="12">
        <v>3093.1546499999999</v>
      </c>
      <c r="N34" s="12">
        <v>1453.8919999999998</v>
      </c>
      <c r="O34" s="12">
        <v>2261.0872480000003</v>
      </c>
      <c r="P34" s="12">
        <v>4404.2645569999995</v>
      </c>
      <c r="Q34" s="12">
        <v>5170.9279999999999</v>
      </c>
      <c r="R34" s="12">
        <v>2578.2327999999998</v>
      </c>
      <c r="S34" s="12">
        <v>3417.1281280000003</v>
      </c>
      <c r="T34" s="12">
        <v>3431.6800000000003</v>
      </c>
      <c r="U34" s="12">
        <v>2566.6846</v>
      </c>
      <c r="V34" s="12">
        <v>417.76915199999996</v>
      </c>
      <c r="W34" s="12">
        <v>1208.5255999999999</v>
      </c>
      <c r="X34" s="12">
        <v>4371.2874000000002</v>
      </c>
      <c r="Y34" s="12">
        <v>2104.4731959999999</v>
      </c>
      <c r="Z34" s="12">
        <v>2746.78953</v>
      </c>
      <c r="AA34" s="12">
        <v>235.78087499999998</v>
      </c>
      <c r="AB34" s="12">
        <v>1790.5139449999999</v>
      </c>
      <c r="AC34" s="12">
        <v>1510.942896</v>
      </c>
      <c r="AD34" s="12">
        <v>292.99352399999998</v>
      </c>
      <c r="AE34" s="12">
        <v>306.88840599999997</v>
      </c>
      <c r="AF34" s="12">
        <v>1239.564871</v>
      </c>
    </row>
    <row r="35" spans="1:32" x14ac:dyDescent="0.15">
      <c r="A35" s="9">
        <v>42369</v>
      </c>
      <c r="B35" s="12">
        <v>292.5</v>
      </c>
      <c r="C35" s="12">
        <v>268.55052000000001</v>
      </c>
      <c r="D35" s="12">
        <v>3613.708564</v>
      </c>
      <c r="E35" s="12">
        <v>1647.754764</v>
      </c>
      <c r="F35" s="12">
        <v>996.88288000000011</v>
      </c>
      <c r="G35" s="12">
        <v>1430.8535999999999</v>
      </c>
      <c r="H35" s="12">
        <v>1230.4587079999999</v>
      </c>
      <c r="I35" s="12">
        <v>1571</v>
      </c>
      <c r="J35" s="12">
        <v>299.49347999999998</v>
      </c>
      <c r="K35" s="12">
        <v>2670.46524</v>
      </c>
      <c r="L35" s="12">
        <v>1894.3380000000002</v>
      </c>
      <c r="M35" s="12">
        <v>3041.0820000000003</v>
      </c>
      <c r="N35" s="12">
        <v>1435.7860000000001</v>
      </c>
      <c r="O35" s="12">
        <v>2208.8517939999997</v>
      </c>
      <c r="P35" s="12">
        <v>4233.2940840000001</v>
      </c>
      <c r="Q35" s="12">
        <v>5038.62</v>
      </c>
      <c r="R35" s="12">
        <v>2524.9222499999996</v>
      </c>
      <c r="S35" s="12">
        <v>3331.1460330000004</v>
      </c>
      <c r="T35" s="12">
        <v>3394.6520999999998</v>
      </c>
      <c r="U35" s="12">
        <v>2539.0023999999999</v>
      </c>
      <c r="V35" s="12">
        <v>408.77601600000003</v>
      </c>
      <c r="W35" s="12">
        <v>1178.2644299999999</v>
      </c>
      <c r="X35" s="12">
        <v>4291</v>
      </c>
      <c r="Y35" s="12">
        <v>2046.7570500000002</v>
      </c>
      <c r="Z35" s="12">
        <v>2687.1780600000002</v>
      </c>
      <c r="AA35" s="12">
        <v>234.10072199999999</v>
      </c>
      <c r="AB35" s="12">
        <v>1747.8144</v>
      </c>
      <c r="AC35" s="12">
        <v>1476.804355</v>
      </c>
      <c r="AD35" s="12">
        <v>292.44970999999998</v>
      </c>
      <c r="AE35" s="12">
        <v>299.00987600000002</v>
      </c>
      <c r="AF35" s="12">
        <v>1245.229521</v>
      </c>
    </row>
    <row r="36" spans="1:32" x14ac:dyDescent="0.15">
      <c r="A36" s="9">
        <v>42735</v>
      </c>
      <c r="B36" s="12">
        <v>293.35499999999996</v>
      </c>
      <c r="C36" s="12">
        <v>266.63339999999999</v>
      </c>
      <c r="D36" s="12">
        <v>3486.9960000000001</v>
      </c>
      <c r="E36" s="12">
        <v>1612.3477999999998</v>
      </c>
      <c r="F36" s="12">
        <v>978.01200000000006</v>
      </c>
      <c r="G36" s="12">
        <v>1428.5413999999998</v>
      </c>
      <c r="H36" s="12">
        <v>1203.3398999999999</v>
      </c>
      <c r="I36" s="12">
        <v>1549.992</v>
      </c>
      <c r="J36" s="12">
        <v>292.82</v>
      </c>
      <c r="K36" s="12">
        <v>2582.0772000000002</v>
      </c>
      <c r="L36" s="12">
        <v>1844.6999999999998</v>
      </c>
      <c r="M36" s="12">
        <v>2974.6995999999999</v>
      </c>
      <c r="N36" s="12">
        <v>1410.136</v>
      </c>
      <c r="O36" s="12">
        <v>2153.6480000000001</v>
      </c>
      <c r="P36" s="12">
        <v>4076.2805999999996</v>
      </c>
      <c r="Q36" s="12">
        <v>4908.9799999999996</v>
      </c>
      <c r="R36" s="12">
        <v>2465.8150000000001</v>
      </c>
      <c r="S36" s="12">
        <v>3223.395</v>
      </c>
      <c r="T36" s="12">
        <v>3387.692</v>
      </c>
      <c r="U36" s="12">
        <v>2511.8896</v>
      </c>
      <c r="V36" s="12">
        <v>396.32740000000001</v>
      </c>
      <c r="W36" s="12">
        <v>1139.952</v>
      </c>
      <c r="X36" s="12">
        <v>4196.2698</v>
      </c>
      <c r="Y36" s="12">
        <v>1985.4675</v>
      </c>
      <c r="Z36" s="12">
        <v>2622.6187</v>
      </c>
      <c r="AA36" s="12">
        <v>233.15640000000002</v>
      </c>
      <c r="AB36" s="12">
        <v>1702.8858</v>
      </c>
      <c r="AC36" s="12">
        <v>1443.5909999999999</v>
      </c>
      <c r="AD36" s="12">
        <v>286.83409999999998</v>
      </c>
      <c r="AE36" s="12">
        <v>295.04250000000002</v>
      </c>
      <c r="AF36" s="12">
        <v>1238.567</v>
      </c>
    </row>
    <row r="37" spans="1:32" x14ac:dyDescent="0.15">
      <c r="A37" t="s">
        <v>39</v>
      </c>
    </row>
    <row r="38" spans="1:32" s="14" customFormat="1" x14ac:dyDescent="0.15">
      <c r="A38" s="13">
        <v>40148</v>
      </c>
      <c r="B38" s="12">
        <v>1215.3030000000001</v>
      </c>
      <c r="C38" s="12">
        <v>752.18499999999995</v>
      </c>
      <c r="D38" s="12">
        <v>1723.548</v>
      </c>
      <c r="E38" s="12">
        <v>735.83100000000002</v>
      </c>
      <c r="F38" s="12">
        <v>974.02525337999998</v>
      </c>
      <c r="G38" s="12">
        <v>1521.249</v>
      </c>
      <c r="H38" s="12">
        <v>727.875</v>
      </c>
      <c r="I38" s="12">
        <v>858.7</v>
      </c>
      <c r="J38" s="12">
        <v>1504.645</v>
      </c>
      <c r="K38" s="12">
        <v>3445.73</v>
      </c>
      <c r="L38" s="12">
        <v>2299.0349999999999</v>
      </c>
      <c r="M38" s="12">
        <v>1006.282</v>
      </c>
      <c r="N38" s="12">
        <v>1223.653</v>
      </c>
      <c r="O38" s="12">
        <v>765.51800000000003</v>
      </c>
      <c r="P38" s="12">
        <v>3389.665</v>
      </c>
      <c r="Q38" s="12">
        <v>1948.0455205600001</v>
      </c>
      <c r="R38" s="12">
        <v>1296.1099999999999</v>
      </c>
      <c r="S38" s="12">
        <v>1305.9690000000001</v>
      </c>
      <c r="T38" s="12">
        <v>3948.2559999999999</v>
      </c>
      <c r="U38" s="12">
        <v>775.91614445000005</v>
      </c>
      <c r="V38" s="12">
        <v>165.42099999999999</v>
      </c>
      <c r="W38" s="12">
        <v>653.00099999999998</v>
      </c>
      <c r="X38" s="12">
        <v>1415.1279999999999</v>
      </c>
      <c r="Y38" s="12">
        <v>391.26799999999997</v>
      </c>
      <c r="Z38" s="12">
        <v>616.97500000000002</v>
      </c>
      <c r="AA38" s="12">
        <v>6.3879999999999999</v>
      </c>
      <c r="AB38" s="12">
        <v>816.98</v>
      </c>
      <c r="AC38" s="12">
        <v>338.75599999999997</v>
      </c>
      <c r="AD38" s="12">
        <v>108.127</v>
      </c>
      <c r="AE38" s="12">
        <v>135.33099999999999</v>
      </c>
      <c r="AF38" s="12">
        <v>427.70499999999998</v>
      </c>
    </row>
    <row r="39" spans="1:32" s="14" customFormat="1" x14ac:dyDescent="0.15">
      <c r="A39" s="13">
        <v>40513</v>
      </c>
      <c r="B39" s="12">
        <v>1411.3579999999999</v>
      </c>
      <c r="C39" s="12">
        <v>922.44600000000003</v>
      </c>
      <c r="D39" s="12">
        <v>2039.4259999999999</v>
      </c>
      <c r="E39" s="12">
        <v>920.08600000000001</v>
      </c>
      <c r="F39" s="12">
        <v>1167.2</v>
      </c>
      <c r="G39" s="12">
        <v>1845.7270000000001</v>
      </c>
      <c r="H39" s="12">
        <v>866.75800000000004</v>
      </c>
      <c r="I39" s="12">
        <v>1036.8599999999999</v>
      </c>
      <c r="J39" s="12">
        <v>1716.598</v>
      </c>
      <c r="K39" s="12">
        <v>4142.5479999999998</v>
      </c>
      <c r="L39" s="12">
        <v>2772.2310000000002</v>
      </c>
      <c r="M39" s="12">
        <v>1235.933</v>
      </c>
      <c r="N39" s="12">
        <v>1473.712</v>
      </c>
      <c r="O39" s="12">
        <v>945.12599999999998</v>
      </c>
      <c r="P39" s="12">
        <v>3916.9920000000002</v>
      </c>
      <c r="Q39" s="12">
        <v>2309.2359999999999</v>
      </c>
      <c r="R39" s="12">
        <v>1596.761</v>
      </c>
      <c r="S39" s="12">
        <v>1603.796</v>
      </c>
      <c r="T39" s="12">
        <v>4601.3059999999996</v>
      </c>
      <c r="U39" s="12">
        <v>956.98539334999998</v>
      </c>
      <c r="V39" s="12">
        <v>206.45</v>
      </c>
      <c r="W39" s="12">
        <v>792.55799999999999</v>
      </c>
      <c r="X39" s="12">
        <v>1718.548</v>
      </c>
      <c r="Y39" s="12">
        <v>460.21600000000001</v>
      </c>
      <c r="Z39" s="12">
        <v>722.41800000000001</v>
      </c>
      <c r="AA39" s="12">
        <v>6.8719999999999999</v>
      </c>
      <c r="AB39" s="12">
        <v>1012.348</v>
      </c>
      <c r="AC39" s="12">
        <v>412.07499999999999</v>
      </c>
      <c r="AD39" s="12">
        <v>135.04300000000001</v>
      </c>
      <c r="AE39" s="12">
        <v>168.965</v>
      </c>
      <c r="AF39" s="12">
        <v>543.74699999999996</v>
      </c>
    </row>
    <row r="40" spans="1:32" s="14" customFormat="1" x14ac:dyDescent="0.15">
      <c r="A40" s="13">
        <v>40878</v>
      </c>
      <c r="B40" s="12">
        <v>1625.193</v>
      </c>
      <c r="C40" s="12">
        <v>1130.7280000000001</v>
      </c>
      <c r="D40" s="12">
        <v>2451.576</v>
      </c>
      <c r="E40" s="12">
        <v>1123.7550000000001</v>
      </c>
      <c r="F40" s="12">
        <v>1435.98826723</v>
      </c>
      <c r="G40" s="12">
        <v>2222.67</v>
      </c>
      <c r="H40" s="12">
        <v>1056.883</v>
      </c>
      <c r="I40" s="12">
        <v>1258.2</v>
      </c>
      <c r="J40" s="12">
        <v>1919.569</v>
      </c>
      <c r="K40" s="12">
        <v>4911.027</v>
      </c>
      <c r="L40" s="12">
        <v>3231.8850000000002</v>
      </c>
      <c r="M40" s="12">
        <v>1530.0650000000001</v>
      </c>
      <c r="N40" s="12">
        <v>1756.018</v>
      </c>
      <c r="O40" s="12">
        <v>1170.2819999999999</v>
      </c>
      <c r="P40" s="12">
        <v>4536.1850000000004</v>
      </c>
      <c r="Q40" s="12">
        <v>2693.1030000000001</v>
      </c>
      <c r="R40" s="12">
        <v>1963.2260000000001</v>
      </c>
      <c r="S40" s="12">
        <v>1966.9559999999999</v>
      </c>
      <c r="T40" s="12">
        <v>5321.0280000000002</v>
      </c>
      <c r="U40" s="12">
        <v>1172.087</v>
      </c>
      <c r="V40" s="12">
        <v>252.26599999999999</v>
      </c>
      <c r="W40" s="12">
        <v>1001.1369999999999</v>
      </c>
      <c r="X40" s="12">
        <v>2102.6680000000001</v>
      </c>
      <c r="Y40" s="12">
        <v>570.18399999999997</v>
      </c>
      <c r="Z40" s="12">
        <v>889.31200000000001</v>
      </c>
      <c r="AA40" s="12">
        <v>7.4470000000000001</v>
      </c>
      <c r="AB40" s="12">
        <v>1251.23</v>
      </c>
      <c r="AC40" s="12">
        <v>502.03699999999998</v>
      </c>
      <c r="AD40" s="12">
        <v>167.04400000000001</v>
      </c>
      <c r="AE40" s="12">
        <v>210.221</v>
      </c>
      <c r="AF40" s="12">
        <v>661.005</v>
      </c>
    </row>
    <row r="41" spans="1:32" s="14" customFormat="1" x14ac:dyDescent="0.15">
      <c r="A41" s="13">
        <v>41244</v>
      </c>
      <c r="B41" s="12">
        <v>1787.94</v>
      </c>
      <c r="C41" s="12">
        <v>1289.3879999999999</v>
      </c>
      <c r="D41" s="12">
        <v>2657.5010000000002</v>
      </c>
      <c r="E41" s="12">
        <v>1211.2829999999999</v>
      </c>
      <c r="F41" s="12">
        <v>1588.0578840000001</v>
      </c>
      <c r="G41" s="12">
        <v>2484.643</v>
      </c>
      <c r="H41" s="12">
        <v>1193.924</v>
      </c>
      <c r="I41" s="12">
        <v>1369.1579999999999</v>
      </c>
      <c r="J41" s="12">
        <v>2018.172</v>
      </c>
      <c r="K41" s="12">
        <v>5405.8220000000001</v>
      </c>
      <c r="L41" s="12">
        <v>3466.5329999999999</v>
      </c>
      <c r="M41" s="12">
        <v>1721.205062</v>
      </c>
      <c r="N41" s="12">
        <v>1970.1780000000001</v>
      </c>
      <c r="O41" s="12">
        <v>1294.8879999999999</v>
      </c>
      <c r="P41" s="12">
        <v>5001.3244860000004</v>
      </c>
      <c r="Q41" s="12">
        <v>2959.931</v>
      </c>
      <c r="R41" s="12">
        <v>2225.0450000000001</v>
      </c>
      <c r="S41" s="12">
        <v>2215.4227449999998</v>
      </c>
      <c r="T41" s="12">
        <v>5706.7917740000003</v>
      </c>
      <c r="U41" s="12">
        <v>1303.5101540000001</v>
      </c>
      <c r="V41" s="12">
        <v>285.55399999999997</v>
      </c>
      <c r="W41" s="12">
        <v>1140.96</v>
      </c>
      <c r="X41" s="12">
        <v>2387.2800000000002</v>
      </c>
      <c r="Y41" s="12">
        <v>685.22</v>
      </c>
      <c r="Z41" s="12">
        <v>1030.9469999999999</v>
      </c>
      <c r="AA41" s="12">
        <v>8.0380000000000003</v>
      </c>
      <c r="AB41" s="12">
        <v>1445.3679999999999</v>
      </c>
      <c r="AC41" s="12">
        <v>565.02039590000004</v>
      </c>
      <c r="AD41" s="12">
        <v>189.35400000000001</v>
      </c>
      <c r="AE41" s="12">
        <v>234.12899999999999</v>
      </c>
      <c r="AF41" s="12">
        <v>750.53099999999995</v>
      </c>
    </row>
    <row r="42" spans="1:32" s="14" customFormat="1" x14ac:dyDescent="0.15">
      <c r="A42" s="13">
        <v>41609</v>
      </c>
      <c r="B42" s="12">
        <v>1980.0809999999999</v>
      </c>
      <c r="C42" s="12">
        <v>1444.201</v>
      </c>
      <c r="D42" s="12">
        <v>2844.2950000000001</v>
      </c>
      <c r="E42" s="12">
        <v>1266.5250000000001</v>
      </c>
      <c r="F42" s="12">
        <v>1691.65</v>
      </c>
      <c r="G42" s="12">
        <v>2721.3220000000001</v>
      </c>
      <c r="H42" s="12">
        <v>1304.6400000000001</v>
      </c>
      <c r="I42" s="12">
        <v>1445.491</v>
      </c>
      <c r="J42" s="12">
        <v>2181.8150000000001</v>
      </c>
      <c r="K42" s="12">
        <v>5975.3370000000004</v>
      </c>
      <c r="L42" s="12">
        <v>3775.6579999999999</v>
      </c>
      <c r="M42" s="12">
        <v>1922.934</v>
      </c>
      <c r="N42" s="12">
        <v>2186.8490000000002</v>
      </c>
      <c r="O42" s="12">
        <v>1441.019</v>
      </c>
      <c r="P42" s="12">
        <v>5523.0320000000002</v>
      </c>
      <c r="Q42" s="12">
        <v>3219.13</v>
      </c>
      <c r="R42" s="12">
        <v>2479.183</v>
      </c>
      <c r="S42" s="12">
        <v>2462.1669999999999</v>
      </c>
      <c r="T42" s="12">
        <v>6247.4790000000003</v>
      </c>
      <c r="U42" s="12">
        <v>1444.99</v>
      </c>
      <c r="V42" s="12">
        <v>317.75599999999997</v>
      </c>
      <c r="W42" s="12">
        <v>1278.326</v>
      </c>
      <c r="X42" s="12">
        <v>2639.2069999999999</v>
      </c>
      <c r="Y42" s="12">
        <v>808.68600000000004</v>
      </c>
      <c r="Z42" s="12">
        <v>1183.231</v>
      </c>
      <c r="AA42" s="12">
        <v>8.6820000000000004</v>
      </c>
      <c r="AB42" s="12">
        <v>1620.5450000000001</v>
      </c>
      <c r="AC42" s="12">
        <v>633.06899999999996</v>
      </c>
      <c r="AD42" s="12">
        <v>212.20599999999999</v>
      </c>
      <c r="AE42" s="12">
        <v>257.75700000000001</v>
      </c>
      <c r="AF42" s="12">
        <v>844.38400000000001</v>
      </c>
    </row>
    <row r="43" spans="1:32" s="14" customFormat="1" x14ac:dyDescent="0.15">
      <c r="A43" s="13">
        <v>41974</v>
      </c>
      <c r="B43" s="12">
        <v>2133.0830000000001</v>
      </c>
      <c r="C43" s="12">
        <v>1572.693</v>
      </c>
      <c r="D43" s="12">
        <v>2942.1149999999998</v>
      </c>
      <c r="E43" s="12">
        <v>1276.1489999999999</v>
      </c>
      <c r="F43" s="12">
        <v>1777.0188819</v>
      </c>
      <c r="G43" s="12">
        <v>2862.6579999999999</v>
      </c>
      <c r="H43" s="12">
        <v>1380.3140000000001</v>
      </c>
      <c r="I43" s="12">
        <v>1503.93764119</v>
      </c>
      <c r="J43" s="12">
        <v>2356.7695347600002</v>
      </c>
      <c r="K43" s="12">
        <v>6508.8320000000003</v>
      </c>
      <c r="L43" s="12">
        <v>4017.3029999999999</v>
      </c>
      <c r="M43" s="12">
        <v>2084.87476014</v>
      </c>
      <c r="N43" s="12">
        <v>2405.576</v>
      </c>
      <c r="O43" s="12">
        <v>1571.463</v>
      </c>
      <c r="P43" s="12">
        <v>5942.65901975</v>
      </c>
      <c r="Q43" s="12">
        <v>3493.8240000000001</v>
      </c>
      <c r="R43" s="12">
        <v>2737.9217598</v>
      </c>
      <c r="S43" s="12">
        <v>2703.7321245899998</v>
      </c>
      <c r="T43" s="12">
        <v>6780.9849999999997</v>
      </c>
      <c r="U43" s="12">
        <v>1567.2893305</v>
      </c>
      <c r="V43" s="12">
        <v>350.072</v>
      </c>
      <c r="W43" s="12">
        <v>1426.26</v>
      </c>
      <c r="X43" s="12">
        <v>2853.6660000000002</v>
      </c>
      <c r="Y43" s="12">
        <v>926.63900000000001</v>
      </c>
      <c r="Z43" s="12">
        <v>1281.4590000000001</v>
      </c>
      <c r="AA43" s="12">
        <v>9.1641346000000006</v>
      </c>
      <c r="AB43" s="12">
        <v>1768.9939999999999</v>
      </c>
      <c r="AC43" s="12">
        <v>683.68207878999999</v>
      </c>
      <c r="AD43" s="12">
        <v>230.33199999999999</v>
      </c>
      <c r="AE43" s="12">
        <v>275.20999999999998</v>
      </c>
      <c r="AF43" s="12">
        <v>927.346</v>
      </c>
    </row>
    <row r="44" spans="1:32" s="14" customFormat="1" x14ac:dyDescent="0.15">
      <c r="A44" s="13">
        <v>42339</v>
      </c>
      <c r="B44" s="12">
        <v>2301.4589999999998</v>
      </c>
      <c r="C44" s="12">
        <v>1653.819</v>
      </c>
      <c r="D44" s="12">
        <v>2980.6109999999999</v>
      </c>
      <c r="E44" s="12">
        <v>1276.6489999999999</v>
      </c>
      <c r="F44" s="12">
        <v>1783.1508783300001</v>
      </c>
      <c r="G44" s="12">
        <v>2866.9016000000001</v>
      </c>
      <c r="H44" s="12">
        <v>1406.3130000000001</v>
      </c>
      <c r="I44" s="12">
        <v>1508.367</v>
      </c>
      <c r="J44" s="12">
        <v>2512.3449999999998</v>
      </c>
      <c r="K44" s="12">
        <v>7011.6379999999999</v>
      </c>
      <c r="L44" s="12">
        <v>4288.6490000000003</v>
      </c>
      <c r="M44" s="12">
        <v>2200.5630000000001</v>
      </c>
      <c r="N44" s="12">
        <v>2597.982</v>
      </c>
      <c r="O44" s="12">
        <v>1672.3779999999999</v>
      </c>
      <c r="P44" s="12">
        <v>6300.2332452700002</v>
      </c>
      <c r="Q44" s="12">
        <v>3700.2159999999999</v>
      </c>
      <c r="R44" s="12">
        <v>2955.01881422</v>
      </c>
      <c r="S44" s="12">
        <v>2890.2213901199998</v>
      </c>
      <c r="T44" s="12">
        <v>7281.2550000000001</v>
      </c>
      <c r="U44" s="12">
        <v>1680.3119999999999</v>
      </c>
      <c r="V44" s="12">
        <v>370.27600000000001</v>
      </c>
      <c r="W44" s="12">
        <v>1571.7270000000001</v>
      </c>
      <c r="X44" s="12">
        <v>3005.31</v>
      </c>
      <c r="Y44" s="12">
        <v>1050.2560000000001</v>
      </c>
      <c r="Z44" s="12">
        <v>1361.9169999999999</v>
      </c>
      <c r="AA44" s="12">
        <v>9.8040000000000003</v>
      </c>
      <c r="AB44" s="12">
        <v>1802.1860897500001</v>
      </c>
      <c r="AC44" s="12">
        <v>679.03168982</v>
      </c>
      <c r="AD44" s="12">
        <v>241.70500000000001</v>
      </c>
      <c r="AE44" s="12">
        <v>291.17700000000002</v>
      </c>
      <c r="AF44" s="12">
        <v>932.48</v>
      </c>
    </row>
    <row r="45" spans="1:32" s="14" customFormat="1" x14ac:dyDescent="0.15">
      <c r="A45" s="13">
        <v>42705</v>
      </c>
      <c r="B45" s="12">
        <v>2566.913</v>
      </c>
      <c r="C45" s="12">
        <v>1788.539</v>
      </c>
      <c r="D45" s="12">
        <v>3207.0450000000001</v>
      </c>
      <c r="E45" s="12">
        <v>1305.0409999999999</v>
      </c>
      <c r="F45" s="12">
        <v>1812.81</v>
      </c>
      <c r="G45" s="12">
        <v>2224.69</v>
      </c>
      <c r="H45" s="12">
        <v>1477.68</v>
      </c>
      <c r="I45" s="12">
        <v>1538.6089999999999</v>
      </c>
      <c r="J45" s="12">
        <v>2817.8649999999998</v>
      </c>
      <c r="K45" s="12">
        <v>7738.8280000000004</v>
      </c>
      <c r="L45" s="12">
        <v>4725.1360000000004</v>
      </c>
      <c r="M45" s="12">
        <v>2440.7620000000002</v>
      </c>
      <c r="N45" s="12">
        <v>2881.058</v>
      </c>
      <c r="O45" s="12">
        <v>1849.9</v>
      </c>
      <c r="P45" s="12">
        <v>6802.4489999999996</v>
      </c>
      <c r="Q45" s="12">
        <v>4047.1790000000001</v>
      </c>
      <c r="R45" s="12">
        <v>3266.538</v>
      </c>
      <c r="S45" s="12">
        <v>3155.1370000000002</v>
      </c>
      <c r="T45" s="12">
        <v>8085.491</v>
      </c>
      <c r="U45" s="12">
        <v>1831.7639999999999</v>
      </c>
      <c r="V45" s="12">
        <v>405.32</v>
      </c>
      <c r="W45" s="12">
        <v>1774.059</v>
      </c>
      <c r="X45" s="12">
        <v>3293.4540000000002</v>
      </c>
      <c r="Y45" s="12">
        <v>1177.673</v>
      </c>
      <c r="Z45" s="12">
        <v>1478.8420000000001</v>
      </c>
      <c r="AA45" s="12">
        <v>11.577999999999999</v>
      </c>
      <c r="AB45" s="12">
        <v>1939.9590000000001</v>
      </c>
      <c r="AC45" s="12">
        <v>720.03700000000003</v>
      </c>
      <c r="AD45" s="12">
        <v>257.24900000000002</v>
      </c>
      <c r="AE45" s="12">
        <v>316.85899999999998</v>
      </c>
      <c r="AF45" s="12">
        <v>964.97</v>
      </c>
    </row>
    <row r="46" spans="1:32" x14ac:dyDescent="0.15">
      <c r="A46" t="s">
        <v>40</v>
      </c>
    </row>
    <row r="47" spans="1:32" x14ac:dyDescent="0.15">
      <c r="A47" s="13">
        <v>40148</v>
      </c>
      <c r="B47" s="12">
        <v>11.829000000000001</v>
      </c>
      <c r="C47" s="12">
        <v>12.885</v>
      </c>
      <c r="D47" s="12">
        <v>220.73400000000001</v>
      </c>
      <c r="E47" s="12">
        <v>47.759</v>
      </c>
      <c r="F47" s="12">
        <v>92.959720099999998</v>
      </c>
      <c r="G47" s="12">
        <v>141.49</v>
      </c>
      <c r="H47" s="12">
        <v>98.057000000000002</v>
      </c>
      <c r="I47" s="12">
        <v>115.43300000000001</v>
      </c>
      <c r="J47" s="12">
        <v>11.382</v>
      </c>
      <c r="K47" s="12">
        <v>226.18600000000001</v>
      </c>
      <c r="L47" s="12">
        <v>116.30800000000001</v>
      </c>
      <c r="M47" s="12">
        <v>149.54499999999999</v>
      </c>
      <c r="N47" s="12">
        <v>118.274</v>
      </c>
      <c r="O47" s="12">
        <v>109.866</v>
      </c>
      <c r="P47" s="12">
        <v>322.66399999999999</v>
      </c>
      <c r="Q47" s="12">
        <v>276.90499999999997</v>
      </c>
      <c r="R47" s="12">
        <v>179.59</v>
      </c>
      <c r="S47" s="12">
        <v>196.96899999999999</v>
      </c>
      <c r="T47" s="12">
        <v>201.02699999999999</v>
      </c>
      <c r="U47" s="12">
        <v>145.84866</v>
      </c>
      <c r="V47" s="12">
        <v>46.219000000000001</v>
      </c>
      <c r="W47" s="12">
        <v>60.68</v>
      </c>
      <c r="X47" s="12">
        <v>224.06100000000001</v>
      </c>
      <c r="Y47" s="12">
        <v>55.027000000000001</v>
      </c>
      <c r="Z47" s="12">
        <v>106.76</v>
      </c>
      <c r="AA47" s="12">
        <v>44.136000000000003</v>
      </c>
      <c r="AB47" s="12">
        <v>78.963999999999999</v>
      </c>
      <c r="AC47" s="12">
        <v>49.704999999999998</v>
      </c>
      <c r="AD47" s="12">
        <v>10.74</v>
      </c>
      <c r="AE47" s="12">
        <v>12.725</v>
      </c>
      <c r="AF47" s="12">
        <v>75.974000000000004</v>
      </c>
    </row>
    <row r="48" spans="1:32" x14ac:dyDescent="0.15">
      <c r="A48" s="13">
        <v>40513</v>
      </c>
      <c r="B48" s="12">
        <v>12.436</v>
      </c>
      <c r="C48" s="12">
        <v>14.558</v>
      </c>
      <c r="D48" s="12">
        <v>256.28100000000001</v>
      </c>
      <c r="E48" s="12">
        <v>55.448</v>
      </c>
      <c r="F48" s="12">
        <v>109.52800000000001</v>
      </c>
      <c r="G48" s="12">
        <v>163.108</v>
      </c>
      <c r="H48" s="12">
        <v>105.015</v>
      </c>
      <c r="I48" s="12">
        <v>130.29</v>
      </c>
      <c r="J48" s="12">
        <v>11.414999999999999</v>
      </c>
      <c r="K48" s="12">
        <v>254.01</v>
      </c>
      <c r="L48" s="12">
        <v>136.05600000000001</v>
      </c>
      <c r="M48" s="12">
        <v>172.90199999999999</v>
      </c>
      <c r="N48" s="12">
        <v>136.36699999999999</v>
      </c>
      <c r="O48" s="12">
        <v>120.69799999999999</v>
      </c>
      <c r="P48" s="12">
        <v>358.82799999999997</v>
      </c>
      <c r="Q48" s="12">
        <v>325.80900000000003</v>
      </c>
      <c r="R48" s="12">
        <v>214.7</v>
      </c>
      <c r="S48" s="12">
        <v>232.55</v>
      </c>
      <c r="T48" s="12">
        <v>228.69800000000001</v>
      </c>
      <c r="U48" s="12">
        <v>167.50556</v>
      </c>
      <c r="V48" s="12">
        <v>53.982999999999997</v>
      </c>
      <c r="W48" s="12">
        <v>68.537999999999997</v>
      </c>
      <c r="X48" s="12">
        <v>248.28899999999999</v>
      </c>
      <c r="Y48" s="12">
        <v>62.503</v>
      </c>
      <c r="Z48" s="12">
        <v>110.83799999999999</v>
      </c>
      <c r="AA48" s="12">
        <v>50.746000000000002</v>
      </c>
      <c r="AB48" s="12">
        <v>98.844999999999999</v>
      </c>
      <c r="AC48" s="12">
        <v>59.927999999999997</v>
      </c>
      <c r="AD48" s="12">
        <v>13.492000000000001</v>
      </c>
      <c r="AE48" s="12">
        <v>15.929</v>
      </c>
      <c r="AF48" s="12">
        <v>107.863</v>
      </c>
    </row>
    <row r="49" spans="1:32" x14ac:dyDescent="0.15">
      <c r="A49" s="13">
        <v>40878</v>
      </c>
      <c r="B49" s="12">
        <v>13.627000000000001</v>
      </c>
      <c r="C49" s="12">
        <v>15.972</v>
      </c>
      <c r="D49" s="12">
        <v>290.57299999999998</v>
      </c>
      <c r="E49" s="12">
        <v>64.141999999999996</v>
      </c>
      <c r="F49" s="12">
        <v>130.63</v>
      </c>
      <c r="G49" s="12">
        <v>191.55699999999999</v>
      </c>
      <c r="H49" s="12">
        <v>127.744</v>
      </c>
      <c r="I49" s="12">
        <v>170.15</v>
      </c>
      <c r="J49" s="12">
        <v>12.494</v>
      </c>
      <c r="K49" s="12">
        <v>306.47800000000001</v>
      </c>
      <c r="L49" s="12">
        <v>158.304</v>
      </c>
      <c r="M49" s="12">
        <v>201.53100000000001</v>
      </c>
      <c r="N49" s="12">
        <v>161.22399999999999</v>
      </c>
      <c r="O49" s="12">
        <v>139.107</v>
      </c>
      <c r="P49" s="12">
        <v>397.38499999999999</v>
      </c>
      <c r="Q49" s="12">
        <v>351.22399999999999</v>
      </c>
      <c r="R49" s="12">
        <v>256.93</v>
      </c>
      <c r="S49" s="12">
        <v>276.803</v>
      </c>
      <c r="T49" s="12">
        <v>266.52</v>
      </c>
      <c r="U49" s="12">
        <v>204.72300000000001</v>
      </c>
      <c r="V49" s="12">
        <v>65.923000000000002</v>
      </c>
      <c r="W49" s="12">
        <v>84.451999999999998</v>
      </c>
      <c r="X49" s="12">
        <v>298.351</v>
      </c>
      <c r="Y49" s="12">
        <v>72.622</v>
      </c>
      <c r="Z49" s="12">
        <v>141.101</v>
      </c>
      <c r="AA49" s="12">
        <v>60.582999999999998</v>
      </c>
      <c r="AB49" s="12">
        <v>122.09</v>
      </c>
      <c r="AC49" s="12">
        <v>67.875</v>
      </c>
      <c r="AD49" s="12">
        <v>15.507999999999999</v>
      </c>
      <c r="AE49" s="12">
        <v>18.414000000000001</v>
      </c>
      <c r="AF49" s="12">
        <v>113.90300000000001</v>
      </c>
    </row>
    <row r="50" spans="1:32" x14ac:dyDescent="0.15">
      <c r="A50" s="13">
        <v>41244</v>
      </c>
      <c r="B50" s="12">
        <v>15.02</v>
      </c>
      <c r="C50" s="12">
        <v>17.16</v>
      </c>
      <c r="D50" s="12">
        <v>318.666</v>
      </c>
      <c r="E50" s="12">
        <v>69.831999999999994</v>
      </c>
      <c r="F50" s="12">
        <v>144.858</v>
      </c>
      <c r="G50" s="12">
        <v>215.58199999999999</v>
      </c>
      <c r="H50" s="12">
        <v>141.21100000000001</v>
      </c>
      <c r="I50" s="12">
        <v>211.36600000000001</v>
      </c>
      <c r="J50" s="12">
        <v>12.78</v>
      </c>
      <c r="K50" s="12">
        <v>341.82900000000001</v>
      </c>
      <c r="L50" s="12">
        <v>166.78800000000001</v>
      </c>
      <c r="M50" s="12">
        <v>217.87349</v>
      </c>
      <c r="N50" s="12">
        <v>177.67099999999999</v>
      </c>
      <c r="O50" s="12">
        <v>152.023</v>
      </c>
      <c r="P50" s="12">
        <v>428.17</v>
      </c>
      <c r="Q50" s="12">
        <v>376.95400000000001</v>
      </c>
      <c r="R50" s="12">
        <v>284.87700000000001</v>
      </c>
      <c r="S50" s="12">
        <v>300.42051140000001</v>
      </c>
      <c r="T50" s="12">
        <v>284.726</v>
      </c>
      <c r="U50" s="12">
        <v>217.23699999999999</v>
      </c>
      <c r="V50" s="12">
        <v>71.153999999999996</v>
      </c>
      <c r="W50" s="12">
        <v>94.001000000000005</v>
      </c>
      <c r="X50" s="12">
        <v>329.721</v>
      </c>
      <c r="Y50" s="12">
        <v>89.191000000000003</v>
      </c>
      <c r="Z50" s="12">
        <v>165.45500000000001</v>
      </c>
      <c r="AA50" s="12">
        <v>70.102999999999994</v>
      </c>
      <c r="AB50" s="12">
        <v>137.01599999999999</v>
      </c>
      <c r="AC50" s="12">
        <v>78.05</v>
      </c>
      <c r="AD50" s="12">
        <v>17.690999999999999</v>
      </c>
      <c r="AE50" s="12">
        <v>19.940000000000001</v>
      </c>
      <c r="AF50" s="12">
        <v>132.05699999999999</v>
      </c>
    </row>
    <row r="51" spans="1:32" x14ac:dyDescent="0.15">
      <c r="A51" s="13">
        <v>41609</v>
      </c>
      <c r="B51" s="12">
        <v>15.96</v>
      </c>
      <c r="C51" s="12">
        <v>18.696000000000002</v>
      </c>
      <c r="D51" s="12">
        <v>350.04199999999997</v>
      </c>
      <c r="E51" s="12">
        <v>77.381</v>
      </c>
      <c r="F51" s="12">
        <v>159.941</v>
      </c>
      <c r="G51" s="12">
        <v>232.16300000000001</v>
      </c>
      <c r="H51" s="12">
        <v>150.934</v>
      </c>
      <c r="I51" s="12">
        <v>247.41200000000001</v>
      </c>
      <c r="J51" s="12">
        <v>12.489000000000001</v>
      </c>
      <c r="K51" s="12">
        <v>364.608</v>
      </c>
      <c r="L51" s="12">
        <v>178.46199999999999</v>
      </c>
      <c r="M51" s="12">
        <v>234.809</v>
      </c>
      <c r="N51" s="12">
        <v>193.631</v>
      </c>
      <c r="O51" s="12">
        <v>163.649</v>
      </c>
      <c r="P51" s="12">
        <v>474.26299999999998</v>
      </c>
      <c r="Q51" s="12">
        <v>405.89800000000002</v>
      </c>
      <c r="R51" s="12">
        <v>309.81599999999997</v>
      </c>
      <c r="S51" s="12">
        <v>309.923</v>
      </c>
      <c r="T51" s="12">
        <v>304.75099999999998</v>
      </c>
      <c r="U51" s="12">
        <v>234.357</v>
      </c>
      <c r="V51" s="12">
        <v>75.647000000000006</v>
      </c>
      <c r="W51" s="12">
        <v>100.268</v>
      </c>
      <c r="X51" s="12">
        <v>342.56099999999998</v>
      </c>
      <c r="Y51" s="12">
        <v>102.905</v>
      </c>
      <c r="Z51" s="12">
        <v>189.53399999999999</v>
      </c>
      <c r="AA51" s="12">
        <v>81.566999999999993</v>
      </c>
      <c r="AB51" s="12">
        <v>152.60499999999999</v>
      </c>
      <c r="AC51" s="12">
        <v>87.936999999999998</v>
      </c>
      <c r="AD51" s="12">
        <v>20.759</v>
      </c>
      <c r="AE51" s="12">
        <v>22.297999999999998</v>
      </c>
      <c r="AF51" s="12">
        <v>146.82900000000001</v>
      </c>
    </row>
    <row r="52" spans="1:32" x14ac:dyDescent="0.15">
      <c r="A52" s="13">
        <v>41974</v>
      </c>
      <c r="B52" s="12">
        <v>15.898999999999999</v>
      </c>
      <c r="C52" s="12">
        <v>19.989999999999998</v>
      </c>
      <c r="D52" s="12">
        <v>344.74599999999998</v>
      </c>
      <c r="E52" s="12">
        <v>78.888999999999996</v>
      </c>
      <c r="F52" s="12">
        <v>162.78520474999999</v>
      </c>
      <c r="G52" s="12">
        <v>228.57499999999999</v>
      </c>
      <c r="H52" s="12">
        <v>152.40100000000001</v>
      </c>
      <c r="I52" s="12">
        <v>261.13600000000002</v>
      </c>
      <c r="J52" s="12">
        <v>12.426</v>
      </c>
      <c r="K52" s="12">
        <v>363.43299999999999</v>
      </c>
      <c r="L52" s="12">
        <v>177.71799999999999</v>
      </c>
      <c r="M52" s="12">
        <v>239.23904999999999</v>
      </c>
      <c r="N52" s="12">
        <v>201.48</v>
      </c>
      <c r="O52" s="12">
        <v>168.37200000000001</v>
      </c>
      <c r="P52" s="12">
        <v>479.83600000000001</v>
      </c>
      <c r="Q52" s="12">
        <v>416.00099999999998</v>
      </c>
      <c r="R52" s="12">
        <v>317.68900000000002</v>
      </c>
      <c r="S52" s="12">
        <v>314.87452880000001</v>
      </c>
      <c r="T52" s="12">
        <v>316.68200000000002</v>
      </c>
      <c r="U52" s="12">
        <v>241.34379999999999</v>
      </c>
      <c r="V52" s="12">
        <v>80.951999999999998</v>
      </c>
      <c r="W52" s="12">
        <v>106.10299999999999</v>
      </c>
      <c r="X52" s="12">
        <v>353.10500000000002</v>
      </c>
      <c r="Y52" s="12">
        <v>128.04499999999999</v>
      </c>
      <c r="Z52" s="12">
        <v>199.00700000000001</v>
      </c>
      <c r="AA52" s="12">
        <v>92.083256509999998</v>
      </c>
      <c r="AB52" s="12">
        <v>156.494</v>
      </c>
      <c r="AC52" s="12">
        <v>90.075999999999993</v>
      </c>
      <c r="AD52" s="12">
        <v>21.593</v>
      </c>
      <c r="AE52" s="12">
        <v>21.699000000000002</v>
      </c>
      <c r="AF52" s="12">
        <v>153.86000000000001</v>
      </c>
    </row>
    <row r="53" spans="1:32" x14ac:dyDescent="0.15">
      <c r="A53" s="13">
        <v>42339</v>
      </c>
      <c r="B53" s="12">
        <v>14.021000000000001</v>
      </c>
      <c r="C53" s="12">
        <v>20.882000000000001</v>
      </c>
      <c r="D53" s="12">
        <v>343.94499999999999</v>
      </c>
      <c r="E53" s="12">
        <v>78.316000000000003</v>
      </c>
      <c r="F53" s="12">
        <v>161.74218915</v>
      </c>
      <c r="G53" s="12">
        <v>238.40299999999999</v>
      </c>
      <c r="H53" s="12">
        <v>159.62799999999999</v>
      </c>
      <c r="I53" s="12">
        <v>263.35000000000002</v>
      </c>
      <c r="J53" s="12">
        <v>10.981999999999999</v>
      </c>
      <c r="K53" s="12">
        <v>398.60500000000002</v>
      </c>
      <c r="L53" s="12">
        <v>183.291</v>
      </c>
      <c r="M53" s="12">
        <v>245.66900000000001</v>
      </c>
      <c r="N53" s="12">
        <v>211.81</v>
      </c>
      <c r="O53" s="12">
        <v>177.298</v>
      </c>
      <c r="P53" s="12">
        <v>497.90794327999998</v>
      </c>
      <c r="Q53" s="12">
        <v>420.95600000000002</v>
      </c>
      <c r="R53" s="12">
        <v>330.98399999999998</v>
      </c>
      <c r="S53" s="12">
        <v>333.16211356999997</v>
      </c>
      <c r="T53" s="12">
        <v>334.55399999999997</v>
      </c>
      <c r="U53" s="12">
        <v>256.54500000000002</v>
      </c>
      <c r="V53" s="12">
        <v>85.471999999999994</v>
      </c>
      <c r="W53" s="12">
        <v>115.015</v>
      </c>
      <c r="X53" s="12">
        <v>367.73</v>
      </c>
      <c r="Y53" s="12">
        <v>164.06100000000001</v>
      </c>
      <c r="Z53" s="12">
        <v>205.578</v>
      </c>
      <c r="AA53" s="12">
        <v>102.63911322</v>
      </c>
      <c r="AB53" s="12">
        <v>159.76300000000001</v>
      </c>
      <c r="AC53" s="12">
        <v>95.409000000000006</v>
      </c>
      <c r="AD53" s="12">
        <v>20.893000000000001</v>
      </c>
      <c r="AE53" s="12">
        <v>23.776</v>
      </c>
      <c r="AF53" s="12">
        <v>155.90799999999999</v>
      </c>
    </row>
    <row r="54" spans="1:32" x14ac:dyDescent="0.15">
      <c r="A54" s="13">
        <v>42705</v>
      </c>
      <c r="B54" s="12">
        <v>12.978999999999999</v>
      </c>
      <c r="C54" s="12">
        <v>22.021999999999998</v>
      </c>
      <c r="D54" s="12">
        <v>349.28100000000001</v>
      </c>
      <c r="E54" s="12">
        <v>78.477999999999994</v>
      </c>
      <c r="F54" s="12">
        <v>163.739</v>
      </c>
      <c r="G54" s="12">
        <v>217.30600000000001</v>
      </c>
      <c r="H54" s="12">
        <v>149.852</v>
      </c>
      <c r="I54" s="12">
        <v>267.04599999999999</v>
      </c>
      <c r="J54" s="12">
        <v>10.946999999999999</v>
      </c>
      <c r="K54" s="12">
        <v>407.71800000000002</v>
      </c>
      <c r="L54" s="12">
        <v>196.518</v>
      </c>
      <c r="M54" s="12">
        <v>256.77199999999999</v>
      </c>
      <c r="N54" s="12">
        <v>236.322</v>
      </c>
      <c r="O54" s="12">
        <v>190.453</v>
      </c>
      <c r="P54" s="12">
        <v>492.91300000000001</v>
      </c>
      <c r="Q54" s="12">
        <v>428.62099999999998</v>
      </c>
      <c r="R54" s="12">
        <v>365.93299999999999</v>
      </c>
      <c r="S54" s="12">
        <v>357.83699999999999</v>
      </c>
      <c r="T54" s="12">
        <v>369.43700000000001</v>
      </c>
      <c r="U54" s="12">
        <v>279.68</v>
      </c>
      <c r="V54" s="12">
        <v>94.834999999999994</v>
      </c>
      <c r="W54" s="12">
        <v>130.32400000000001</v>
      </c>
      <c r="X54" s="12">
        <v>392.93299999999999</v>
      </c>
      <c r="Y54" s="12">
        <v>184.619</v>
      </c>
      <c r="Z54" s="12">
        <v>219.511</v>
      </c>
      <c r="AA54" s="12">
        <v>115.14100000000001</v>
      </c>
      <c r="AB54" s="12">
        <v>169.38499999999999</v>
      </c>
      <c r="AC54" s="12">
        <v>98.338999999999999</v>
      </c>
      <c r="AD54" s="12">
        <v>22.119</v>
      </c>
      <c r="AE54" s="12">
        <v>24.16</v>
      </c>
      <c r="AF54" s="12">
        <v>164.89699999999999</v>
      </c>
    </row>
    <row r="55" spans="1:32" x14ac:dyDescent="0.15">
      <c r="A55" t="s">
        <v>41</v>
      </c>
    </row>
    <row r="56" spans="1:32" x14ac:dyDescent="0.15">
      <c r="A56" s="13">
        <v>40148</v>
      </c>
      <c r="B56" s="14">
        <v>43.544200000000004</v>
      </c>
      <c r="C56" s="14">
        <v>28.995700000000003</v>
      </c>
      <c r="D56" s="14">
        <v>393.44970000000001</v>
      </c>
      <c r="E56" s="14">
        <v>178.57900000000001</v>
      </c>
      <c r="F56" s="14">
        <v>84.147000000000006</v>
      </c>
      <c r="G56" s="14">
        <v>228.12619999999998</v>
      </c>
      <c r="H56" s="14">
        <v>164.40689999999998</v>
      </c>
      <c r="I56" s="14">
        <v>316.54700000000003</v>
      </c>
      <c r="J56" s="14">
        <v>1.5316999999999998</v>
      </c>
      <c r="K56" s="14">
        <v>351.25589999999994</v>
      </c>
      <c r="L56" s="14">
        <v>434.721</v>
      </c>
      <c r="M56" s="14">
        <v>390.75379999999996</v>
      </c>
      <c r="N56" s="14">
        <v>181.1001</v>
      </c>
      <c r="O56" s="14">
        <v>251.01499999999999</v>
      </c>
      <c r="P56" s="14">
        <v>642.51830000000007</v>
      </c>
      <c r="Q56" s="14">
        <v>780.11670000000004</v>
      </c>
      <c r="R56" s="14">
        <v>280.99860000000001</v>
      </c>
      <c r="S56" s="14">
        <v>298.14959999999996</v>
      </c>
      <c r="T56" s="14">
        <v>274.28190000000001</v>
      </c>
      <c r="U56" s="14">
        <v>303.50759999999997</v>
      </c>
      <c r="V56" s="14">
        <v>26.658899999999999</v>
      </c>
      <c r="W56" s="14">
        <v>90.242400000000004</v>
      </c>
      <c r="X56" s="14">
        <v>894.88559999999995</v>
      </c>
      <c r="Y56" s="14">
        <v>129.91149999999999</v>
      </c>
      <c r="Z56" s="14">
        <v>190.37290000000002</v>
      </c>
      <c r="AA56" s="14">
        <v>0</v>
      </c>
      <c r="AB56" s="14">
        <v>199.88040000000001</v>
      </c>
      <c r="AC56" s="14">
        <v>110.72790000000001</v>
      </c>
      <c r="AD56" s="14">
        <v>22.978099999999998</v>
      </c>
      <c r="AE56" s="14">
        <v>37.167400000000001</v>
      </c>
      <c r="AF56" s="14">
        <v>103.93870000000001</v>
      </c>
    </row>
    <row r="57" spans="1:32" x14ac:dyDescent="0.15">
      <c r="A57" s="13">
        <v>40513</v>
      </c>
      <c r="B57" s="14">
        <v>52.112099999999998</v>
      </c>
      <c r="C57" s="14">
        <v>26.3613</v>
      </c>
      <c r="D57" s="14">
        <v>460.82349999999997</v>
      </c>
      <c r="E57" s="14">
        <v>217.9375</v>
      </c>
      <c r="F57" s="14">
        <v>91.215300000000013</v>
      </c>
      <c r="G57" s="14">
        <v>249.38509999999999</v>
      </c>
      <c r="H57" s="14">
        <v>174.7664</v>
      </c>
      <c r="I57" s="14">
        <v>316.7097</v>
      </c>
      <c r="J57" s="14">
        <v>2.0328999999999997</v>
      </c>
      <c r="K57" s="14">
        <v>377.71389999999997</v>
      </c>
      <c r="L57" s="14">
        <v>507.75410000000005</v>
      </c>
      <c r="M57" s="14">
        <v>439.0804</v>
      </c>
      <c r="N57" s="14">
        <v>206.0847</v>
      </c>
      <c r="O57" s="14">
        <v>305.27969999999999</v>
      </c>
      <c r="P57" s="14">
        <v>697.81240000000003</v>
      </c>
      <c r="Q57" s="14">
        <v>786.64460000000008</v>
      </c>
      <c r="R57" s="14">
        <v>302.78570000000002</v>
      </c>
      <c r="S57" s="14">
        <v>362.54989999999998</v>
      </c>
      <c r="T57" s="14">
        <v>353.31660000000005</v>
      </c>
      <c r="U57" s="14">
        <v>338.2611</v>
      </c>
      <c r="V57" s="14">
        <v>38.424700000000001</v>
      </c>
      <c r="W57" s="14">
        <v>94.641599999999997</v>
      </c>
      <c r="X57" s="14">
        <v>566.88009999999997</v>
      </c>
      <c r="Y57" s="14">
        <v>159.136</v>
      </c>
      <c r="Z57" s="14">
        <v>219.78630000000001</v>
      </c>
      <c r="AA57" s="14">
        <v>0</v>
      </c>
      <c r="AB57" s="14">
        <v>220.25409999999999</v>
      </c>
      <c r="AC57" s="14">
        <v>103.6092</v>
      </c>
      <c r="AD57" s="14">
        <v>49.429499999999997</v>
      </c>
      <c r="AE57" s="14">
        <v>46.645099999999999</v>
      </c>
      <c r="AF57" s="14">
        <v>118.5414</v>
      </c>
    </row>
    <row r="58" spans="1:32" x14ac:dyDescent="0.15">
      <c r="A58" s="13">
        <v>40878</v>
      </c>
      <c r="B58" s="14">
        <v>59.086800000000004</v>
      </c>
      <c r="C58" s="14">
        <v>26.9819</v>
      </c>
      <c r="D58" s="14">
        <v>609.06870000000004</v>
      </c>
      <c r="E58" s="14">
        <v>235.3725</v>
      </c>
      <c r="F58" s="14">
        <v>112.1948</v>
      </c>
      <c r="G58" s="14">
        <v>294.82509999999996</v>
      </c>
      <c r="H58" s="14">
        <v>215.06060000000002</v>
      </c>
      <c r="I58" s="14">
        <v>317.46469999999999</v>
      </c>
      <c r="J58" s="14">
        <v>2.1475</v>
      </c>
      <c r="K58" s="14">
        <v>379.1628</v>
      </c>
      <c r="L58" s="14">
        <v>533.63369999999998</v>
      </c>
      <c r="M58" s="14">
        <v>447.82429999999999</v>
      </c>
      <c r="N58" s="14">
        <v>233.80259999999998</v>
      </c>
      <c r="O58" s="14">
        <v>333.67040000000003</v>
      </c>
      <c r="P58" s="14">
        <v>842.29289999999992</v>
      </c>
      <c r="Q58" s="14">
        <v>834.62990000000002</v>
      </c>
      <c r="R58" s="14">
        <v>361.95089999999999</v>
      </c>
      <c r="S58" s="14">
        <v>473.17260000000005</v>
      </c>
      <c r="T58" s="14">
        <v>470.04129999999998</v>
      </c>
      <c r="U58" s="14">
        <v>409.75629999999995</v>
      </c>
      <c r="V58" s="14">
        <v>58.093599999999995</v>
      </c>
      <c r="W58" s="14">
        <v>106.42450000000001</v>
      </c>
      <c r="X58" s="14">
        <v>534.47569999999996</v>
      </c>
      <c r="Y58" s="14">
        <v>209.45410000000001</v>
      </c>
      <c r="Z58" s="14">
        <v>258.24889999999999</v>
      </c>
      <c r="AA58" s="14">
        <v>0</v>
      </c>
      <c r="AB58" s="14">
        <v>322.0976</v>
      </c>
      <c r="AC58" s="14">
        <v>95.710300000000004</v>
      </c>
      <c r="AD58" s="14">
        <v>69.664000000000001</v>
      </c>
      <c r="AE58" s="14">
        <v>55.6008</v>
      </c>
      <c r="AF58" s="14">
        <v>187.15639999999999</v>
      </c>
    </row>
    <row r="59" spans="1:32" x14ac:dyDescent="0.15">
      <c r="A59" s="13">
        <v>41244</v>
      </c>
      <c r="B59" s="14">
        <v>47.512299999999996</v>
      </c>
      <c r="C59" s="14">
        <v>21.522500000000001</v>
      </c>
      <c r="D59" s="14">
        <v>556.65350000000001</v>
      </c>
      <c r="E59" s="14">
        <v>278.41090000000003</v>
      </c>
      <c r="F59" s="14">
        <v>125.9708</v>
      </c>
      <c r="G59" s="14">
        <v>300.90859999999998</v>
      </c>
      <c r="H59" s="14">
        <v>249.303</v>
      </c>
      <c r="I59" s="14">
        <v>319.3014</v>
      </c>
      <c r="J59" s="14">
        <v>2.9804000000000004</v>
      </c>
      <c r="K59" s="14">
        <v>380.49589999999995</v>
      </c>
      <c r="L59" s="14">
        <v>553.40059999999994</v>
      </c>
      <c r="M59" s="14">
        <v>482.02120000000002</v>
      </c>
      <c r="N59" s="14">
        <v>257.41900000000004</v>
      </c>
      <c r="O59" s="14">
        <v>395.78820000000002</v>
      </c>
      <c r="P59" s="14">
        <v>936.21320000000003</v>
      </c>
      <c r="Q59" s="14">
        <v>891.38470000000007</v>
      </c>
      <c r="R59" s="14">
        <v>429.58349999999996</v>
      </c>
      <c r="S59" s="14">
        <v>556.9819</v>
      </c>
      <c r="T59" s="14">
        <v>501.33980000000003</v>
      </c>
      <c r="U59" s="14">
        <v>463.43440000000004</v>
      </c>
      <c r="V59" s="14">
        <v>80.935200000000009</v>
      </c>
      <c r="W59" s="14">
        <v>125.79600000000001</v>
      </c>
      <c r="X59" s="14">
        <v>509.6619</v>
      </c>
      <c r="Y59" s="14">
        <v>212.85749999999999</v>
      </c>
      <c r="Z59" s="14">
        <v>277.61750000000001</v>
      </c>
      <c r="AA59" s="14">
        <v>0</v>
      </c>
      <c r="AB59" s="14">
        <v>338.71769999999998</v>
      </c>
      <c r="AC59" s="14">
        <v>104.99299999999999</v>
      </c>
      <c r="AD59" s="14">
        <v>74.756</v>
      </c>
      <c r="AE59" s="14">
        <v>63.829700000000003</v>
      </c>
      <c r="AF59" s="14">
        <v>300.79930000000002</v>
      </c>
    </row>
    <row r="60" spans="1:32" x14ac:dyDescent="0.15">
      <c r="A60" s="13">
        <v>41609</v>
      </c>
      <c r="B60" s="14">
        <v>49.519880000000001</v>
      </c>
      <c r="C60" s="14">
        <v>27.237719999999999</v>
      </c>
      <c r="D60" s="14">
        <v>564.46028999999999</v>
      </c>
      <c r="E60" s="14">
        <v>286.54257000000001</v>
      </c>
      <c r="F60" s="14">
        <v>144.99</v>
      </c>
      <c r="G60" s="14">
        <v>316.25495000000001</v>
      </c>
      <c r="H60" s="14">
        <v>253.50149000000002</v>
      </c>
      <c r="I60" s="14">
        <v>331.7971</v>
      </c>
      <c r="J60" s="14">
        <v>3.6598799999999998</v>
      </c>
      <c r="K60" s="14">
        <v>390.80669999999998</v>
      </c>
      <c r="L60" s="14">
        <v>588.03530999999998</v>
      </c>
      <c r="M60" s="14">
        <v>530.69227000000001</v>
      </c>
      <c r="N60" s="14">
        <v>281.63299000000001</v>
      </c>
      <c r="O60" s="14">
        <v>415.30330000000004</v>
      </c>
      <c r="P60" s="14">
        <v>913.21521999999993</v>
      </c>
      <c r="Q60" s="14">
        <v>899.3979700000001</v>
      </c>
      <c r="R60" s="14">
        <v>510.47845000000001</v>
      </c>
      <c r="S60" s="14">
        <v>616.21124999999995</v>
      </c>
      <c r="T60" s="14">
        <v>512.87061000000006</v>
      </c>
      <c r="U60" s="14">
        <v>523.73748999999998</v>
      </c>
      <c r="V60" s="14">
        <v>72.336110000000005</v>
      </c>
      <c r="W60" s="14">
        <v>144.28406999999999</v>
      </c>
      <c r="X60" s="14">
        <v>570.82135000000005</v>
      </c>
      <c r="Y60" s="14">
        <v>270.82419999999996</v>
      </c>
      <c r="Z60" s="14">
        <v>346.46794</v>
      </c>
      <c r="AA60" s="14">
        <v>0</v>
      </c>
      <c r="AB60" s="14">
        <v>350.63224000000002</v>
      </c>
      <c r="AC60" s="14">
        <v>120.7402</v>
      </c>
      <c r="AD60" s="14">
        <v>75.790329999999997</v>
      </c>
      <c r="AE60" s="14">
        <v>73.35390000000001</v>
      </c>
      <c r="AF60" s="14">
        <v>361.06858999999997</v>
      </c>
    </row>
    <row r="61" spans="1:32" x14ac:dyDescent="0.15">
      <c r="A61" s="13">
        <v>41974</v>
      </c>
      <c r="B61" s="14">
        <v>50.793800000000005</v>
      </c>
      <c r="C61" s="14">
        <v>27.823400000000003</v>
      </c>
      <c r="D61" s="14">
        <v>524.72289999999998</v>
      </c>
      <c r="E61" s="14">
        <v>319.07380000000001</v>
      </c>
      <c r="F61" s="14">
        <v>153.9794</v>
      </c>
      <c r="G61" s="14">
        <v>303.96910000000003</v>
      </c>
      <c r="H61" s="14">
        <v>231.68020000000001</v>
      </c>
      <c r="I61" s="14">
        <v>291.11680000000001</v>
      </c>
      <c r="J61" s="14">
        <v>3.4623000000000004</v>
      </c>
      <c r="K61" s="14">
        <v>385.86779999999999</v>
      </c>
      <c r="L61" s="14">
        <v>708.00639999999999</v>
      </c>
      <c r="M61" s="14">
        <v>619.28399999999999</v>
      </c>
      <c r="N61" s="14">
        <v>308.10770000000002</v>
      </c>
      <c r="O61" s="14">
        <v>432.94730000000004</v>
      </c>
      <c r="P61" s="14">
        <v>896.41550000000007</v>
      </c>
      <c r="Q61" s="14">
        <v>769.88429999999994</v>
      </c>
      <c r="R61" s="14">
        <v>473.62849999999997</v>
      </c>
      <c r="S61" s="14">
        <v>694.3691</v>
      </c>
      <c r="T61" s="14">
        <v>450.87660000000005</v>
      </c>
      <c r="U61" s="14">
        <v>555.61069999999995</v>
      </c>
      <c r="V61" s="14">
        <v>72.776499999999999</v>
      </c>
      <c r="W61" s="14">
        <v>144.58180000000002</v>
      </c>
      <c r="X61" s="14">
        <v>656.4402</v>
      </c>
      <c r="Y61" s="14">
        <v>247.34849999999997</v>
      </c>
      <c r="Z61" s="14">
        <v>424.72230000000002</v>
      </c>
      <c r="AA61" s="14">
        <v>0</v>
      </c>
      <c r="AB61" s="14">
        <v>351.65100000000001</v>
      </c>
      <c r="AC61" s="14">
        <v>124.49940000000001</v>
      </c>
      <c r="AD61" s="14">
        <v>72.316400000000002</v>
      </c>
      <c r="AE61" s="14">
        <v>79.871700000000004</v>
      </c>
      <c r="AF61" s="14">
        <v>379.95069999999998</v>
      </c>
    </row>
    <row r="62" spans="1:32" x14ac:dyDescent="0.15">
      <c r="A62" s="13">
        <v>42339</v>
      </c>
      <c r="B62" s="14">
        <v>49.973599999999998</v>
      </c>
      <c r="C62" s="14">
        <v>17.4177</v>
      </c>
      <c r="D62" s="14">
        <v>542.53230000000008</v>
      </c>
      <c r="E62" s="14">
        <v>329.56379999999996</v>
      </c>
      <c r="F62" s="14">
        <v>173.06979999999999</v>
      </c>
      <c r="G62" s="14">
        <v>277.52379999999999</v>
      </c>
      <c r="H62" s="14">
        <v>196.69369999999998</v>
      </c>
      <c r="I62" s="14">
        <v>298.66219999999998</v>
      </c>
      <c r="J62" s="14">
        <v>3.3110000000000004</v>
      </c>
      <c r="K62" s="14">
        <v>341.69949999999994</v>
      </c>
      <c r="L62" s="14">
        <v>658.60910000000001</v>
      </c>
      <c r="M62" s="14">
        <v>582.03949999999998</v>
      </c>
      <c r="N62" s="14">
        <v>327.39599999999996</v>
      </c>
      <c r="O62" s="14">
        <v>394.23089999999996</v>
      </c>
      <c r="P62" s="14">
        <v>930.98109999999997</v>
      </c>
      <c r="Q62" s="14">
        <v>709.0634</v>
      </c>
      <c r="R62" s="14">
        <v>477.48059999999998</v>
      </c>
      <c r="S62" s="14">
        <v>720.90710000000001</v>
      </c>
      <c r="T62" s="14">
        <v>392.55029999999999</v>
      </c>
      <c r="U62" s="14">
        <v>572.8347</v>
      </c>
      <c r="V62" s="14">
        <v>95.816699999999997</v>
      </c>
      <c r="W62" s="14">
        <v>145.09719999999999</v>
      </c>
      <c r="X62" s="14">
        <v>560.33519999999999</v>
      </c>
      <c r="Y62" s="14">
        <v>268.84039999999999</v>
      </c>
      <c r="Z62" s="14">
        <v>431.2253</v>
      </c>
      <c r="AA62" s="14">
        <v>2.1700000000000001E-2</v>
      </c>
      <c r="AB62" s="14">
        <v>351.21370000000002</v>
      </c>
      <c r="AC62" s="14">
        <v>127.63</v>
      </c>
      <c r="AD62" s="14">
        <v>66.461799999999997</v>
      </c>
      <c r="AE62" s="14">
        <v>79.023799999999994</v>
      </c>
      <c r="AF62" s="14">
        <v>287.61</v>
      </c>
    </row>
    <row r="63" spans="1:32" x14ac:dyDescent="0.15">
      <c r="A63" s="13">
        <v>42705</v>
      </c>
      <c r="B63" s="14">
        <v>55.204399999999993</v>
      </c>
      <c r="C63" s="14">
        <v>23.028499999999998</v>
      </c>
      <c r="D63" s="14">
        <v>409.9479</v>
      </c>
      <c r="E63" s="14">
        <v>338.63099999999997</v>
      </c>
      <c r="F63" s="14">
        <v>186.05009999999999</v>
      </c>
      <c r="G63" s="14">
        <v>255.91890000000001</v>
      </c>
      <c r="H63" s="14">
        <v>150.02670000000001</v>
      </c>
      <c r="I63" s="14">
        <v>215.7954</v>
      </c>
      <c r="J63" s="14">
        <v>4.2077999999999998</v>
      </c>
      <c r="K63" s="14">
        <v>292.35810000000004</v>
      </c>
      <c r="L63" s="14">
        <v>705.07009999999991</v>
      </c>
      <c r="M63" s="14">
        <v>456.0061</v>
      </c>
      <c r="N63" s="14">
        <v>309.36070000000001</v>
      </c>
      <c r="O63" s="14">
        <v>315.52279999999996</v>
      </c>
      <c r="P63" s="14">
        <v>958.4452</v>
      </c>
      <c r="Q63" s="14">
        <v>661.16149999999993</v>
      </c>
      <c r="R63" s="14">
        <v>507.77870000000001</v>
      </c>
      <c r="S63" s="14">
        <v>664.8803999999999</v>
      </c>
      <c r="T63" s="14">
        <v>356.34010000000001</v>
      </c>
      <c r="U63" s="14">
        <v>583.83309999999994</v>
      </c>
      <c r="V63" s="14">
        <v>143.42019999999999</v>
      </c>
      <c r="W63" s="14">
        <v>116.31219999999999</v>
      </c>
      <c r="X63" s="14">
        <v>582.16719999999998</v>
      </c>
      <c r="Y63" s="14">
        <v>274.82659999999998</v>
      </c>
      <c r="Z63" s="14">
        <v>456.911</v>
      </c>
      <c r="AA63" s="14">
        <v>0</v>
      </c>
      <c r="AB63" s="14">
        <v>350.40109999999999</v>
      </c>
      <c r="AC63" s="14">
        <v>129.89009999999999</v>
      </c>
      <c r="AD63" s="14">
        <v>72.542400000000001</v>
      </c>
      <c r="AE63" s="14">
        <v>85.201800000000006</v>
      </c>
      <c r="AF63" s="14">
        <v>303.66790000000003</v>
      </c>
    </row>
    <row r="64" spans="1:32" x14ac:dyDescent="0.15">
      <c r="A64" t="s">
        <v>42</v>
      </c>
    </row>
    <row r="65" spans="1:32" x14ac:dyDescent="0.15">
      <c r="A65" s="13">
        <v>40148</v>
      </c>
      <c r="B65">
        <v>142.00630000000001</v>
      </c>
      <c r="C65">
        <v>63.690600000000003</v>
      </c>
      <c r="D65">
        <v>264.7835</v>
      </c>
      <c r="E65">
        <v>198.46979999999999</v>
      </c>
      <c r="F65">
        <v>222.35990000000001</v>
      </c>
      <c r="G65">
        <v>240.7097</v>
      </c>
      <c r="H65">
        <v>204.4452</v>
      </c>
      <c r="I65">
        <v>192.41990000000001</v>
      </c>
      <c r="J65">
        <v>107.45359999999999</v>
      </c>
      <c r="K65">
        <v>403.2704</v>
      </c>
      <c r="L65">
        <v>236.0813</v>
      </c>
      <c r="M65">
        <v>259.21460000000002</v>
      </c>
      <c r="N65">
        <v>120.8948</v>
      </c>
      <c r="O65">
        <v>203.40710000000001</v>
      </c>
      <c r="P65">
        <v>369.34890000000001</v>
      </c>
      <c r="Q65">
        <v>361.6019</v>
      </c>
      <c r="R65">
        <v>254.91829999999999</v>
      </c>
      <c r="S65">
        <v>276.2901</v>
      </c>
      <c r="T65">
        <v>279.21280000000002</v>
      </c>
      <c r="U65">
        <v>210.74189999999999</v>
      </c>
      <c r="V65">
        <v>83.083399999999997</v>
      </c>
      <c r="W65">
        <v>125.4243</v>
      </c>
      <c r="X65">
        <v>322.7647</v>
      </c>
      <c r="Y65">
        <v>204.1337</v>
      </c>
      <c r="Z65">
        <v>267.2801</v>
      </c>
      <c r="AA65">
        <v>84.7102</v>
      </c>
      <c r="AB65">
        <v>220.72120000000001</v>
      </c>
      <c r="AC65">
        <v>158.95349999999999</v>
      </c>
      <c r="AD65">
        <v>57.8489</v>
      </c>
      <c r="AE65">
        <v>68.681899999999999</v>
      </c>
      <c r="AF65">
        <v>196.78280000000001</v>
      </c>
    </row>
    <row r="66" spans="1:32" x14ac:dyDescent="0.15">
      <c r="A66" s="13">
        <v>40513</v>
      </c>
      <c r="B66">
        <v>158.63999999999999</v>
      </c>
      <c r="C66">
        <v>67.14</v>
      </c>
      <c r="D66">
        <v>312.65809999999999</v>
      </c>
      <c r="E66">
        <v>201.70760000000001</v>
      </c>
      <c r="F66">
        <v>281</v>
      </c>
      <c r="G66">
        <v>289</v>
      </c>
      <c r="H66">
        <v>238.94</v>
      </c>
      <c r="I66">
        <v>338.06</v>
      </c>
      <c r="J66">
        <v>151.93</v>
      </c>
      <c r="K66">
        <v>489.16</v>
      </c>
      <c r="L66">
        <v>290.37450000000001</v>
      </c>
      <c r="M66">
        <v>292.52440000000001</v>
      </c>
      <c r="N66">
        <v>160.34</v>
      </c>
      <c r="O66">
        <v>232.34</v>
      </c>
      <c r="P66">
        <v>465.97750000000002</v>
      </c>
      <c r="Q66">
        <v>399.19</v>
      </c>
      <c r="R66">
        <v>305.43630000000002</v>
      </c>
      <c r="S66">
        <v>322.65039999999999</v>
      </c>
      <c r="T66">
        <v>325.02</v>
      </c>
      <c r="U66">
        <v>260.26</v>
      </c>
      <c r="V66">
        <v>87.680700000000002</v>
      </c>
      <c r="W66">
        <v>159.18</v>
      </c>
      <c r="X66">
        <v>401.76</v>
      </c>
      <c r="Y66">
        <v>246.76</v>
      </c>
      <c r="Z66">
        <v>327.20999999999998</v>
      </c>
      <c r="AA66">
        <v>89.11</v>
      </c>
      <c r="AB66">
        <v>267.16000000000003</v>
      </c>
      <c r="AC66">
        <v>196.27</v>
      </c>
      <c r="AD66">
        <v>69.5</v>
      </c>
      <c r="AE66">
        <v>94.226200000000006</v>
      </c>
      <c r="AF66">
        <v>220.5</v>
      </c>
    </row>
    <row r="67" spans="1:32" x14ac:dyDescent="0.15">
      <c r="A67" s="13">
        <v>40878</v>
      </c>
      <c r="B67">
        <v>187.34</v>
      </c>
      <c r="C67">
        <v>91.78</v>
      </c>
      <c r="D67">
        <v>366.09719999999999</v>
      </c>
      <c r="E67">
        <v>241.44569999999999</v>
      </c>
      <c r="F67">
        <v>391.68</v>
      </c>
      <c r="G67">
        <v>329.2</v>
      </c>
      <c r="H67">
        <v>255.57</v>
      </c>
      <c r="I67">
        <v>355.9778</v>
      </c>
      <c r="J67">
        <v>161.54</v>
      </c>
      <c r="K67">
        <v>618.13</v>
      </c>
      <c r="L67">
        <v>373.32139999999998</v>
      </c>
      <c r="M67">
        <v>351.87</v>
      </c>
      <c r="N67">
        <v>207.89</v>
      </c>
      <c r="O67">
        <v>287.99</v>
      </c>
      <c r="P67">
        <v>564.00149999999996</v>
      </c>
      <c r="Q67">
        <v>480.48</v>
      </c>
      <c r="R67">
        <v>376.23</v>
      </c>
      <c r="S67">
        <v>394.26229999999998</v>
      </c>
      <c r="T67">
        <v>420.34</v>
      </c>
      <c r="U67">
        <v>314.86</v>
      </c>
      <c r="V67">
        <v>105.62820000000001</v>
      </c>
      <c r="W67">
        <v>198.91</v>
      </c>
      <c r="X67">
        <v>545.70399999999995</v>
      </c>
      <c r="Y67">
        <v>278.47000000000003</v>
      </c>
      <c r="Z67">
        <v>409.8</v>
      </c>
      <c r="AA67">
        <v>126.53</v>
      </c>
      <c r="AB67">
        <v>333.79</v>
      </c>
      <c r="AC67">
        <v>237.66</v>
      </c>
      <c r="AD67">
        <v>104.74</v>
      </c>
      <c r="AE67">
        <v>112.1904</v>
      </c>
      <c r="AF67">
        <v>297.58999999999997</v>
      </c>
    </row>
    <row r="68" spans="1:32" x14ac:dyDescent="0.15">
      <c r="A68" s="13">
        <v>41244</v>
      </c>
      <c r="B68">
        <v>222.69319999999999</v>
      </c>
      <c r="C68">
        <v>100.9766</v>
      </c>
      <c r="D68">
        <v>438.78289999999998</v>
      </c>
      <c r="E68">
        <v>309.62779999999998</v>
      </c>
      <c r="F68">
        <v>450.8331</v>
      </c>
      <c r="G68">
        <v>405.01749999999998</v>
      </c>
      <c r="H68">
        <v>291.30029999999999</v>
      </c>
      <c r="I68">
        <v>430.39409999999998</v>
      </c>
      <c r="J68">
        <v>217.96729999999999</v>
      </c>
      <c r="K68">
        <v>754.08920000000001</v>
      </c>
      <c r="L68">
        <v>408.2038</v>
      </c>
      <c r="M68">
        <v>430.4717</v>
      </c>
      <c r="N68">
        <v>244.16220000000001</v>
      </c>
      <c r="O68">
        <v>384.76740000000001</v>
      </c>
      <c r="P68">
        <v>673.81610000000001</v>
      </c>
      <c r="Q68">
        <v>551.73069999999996</v>
      </c>
      <c r="R68">
        <v>419.0224</v>
      </c>
      <c r="S68">
        <v>447.73590000000002</v>
      </c>
      <c r="T68">
        <v>539.55799999999999</v>
      </c>
      <c r="U68">
        <v>369.065</v>
      </c>
      <c r="V68">
        <v>123.624</v>
      </c>
      <c r="W68">
        <v>256.28519999999997</v>
      </c>
      <c r="X68">
        <v>654.94820000000004</v>
      </c>
      <c r="Y68">
        <v>361.87310000000002</v>
      </c>
      <c r="Z68">
        <v>518.60479999999995</v>
      </c>
      <c r="AA68">
        <v>142.61920000000001</v>
      </c>
      <c r="AB68">
        <v>376.44920000000002</v>
      </c>
      <c r="AC68">
        <v>302.37259999999998</v>
      </c>
      <c r="AD68">
        <v>134.3056</v>
      </c>
      <c r="AE68">
        <v>139.79820000000001</v>
      </c>
      <c r="AF68">
        <v>365.39389999999997</v>
      </c>
    </row>
    <row r="69" spans="1:32" x14ac:dyDescent="0.15">
      <c r="A69" s="13">
        <v>41609</v>
      </c>
      <c r="B69">
        <v>297.6191</v>
      </c>
      <c r="C69">
        <v>123.0282</v>
      </c>
      <c r="D69">
        <v>511.10849999999999</v>
      </c>
      <c r="E69">
        <v>339.68639999999999</v>
      </c>
      <c r="F69">
        <v>466.58159999999998</v>
      </c>
      <c r="G69">
        <v>466.52480000000003</v>
      </c>
      <c r="H69">
        <v>318.2647</v>
      </c>
      <c r="I69">
        <v>461.69560000000001</v>
      </c>
      <c r="J69">
        <v>187.24590000000001</v>
      </c>
      <c r="K69">
        <v>868.33849999999995</v>
      </c>
      <c r="L69">
        <v>513.02750000000003</v>
      </c>
      <c r="M69">
        <v>478.17160000000001</v>
      </c>
      <c r="N69">
        <v>312.2226</v>
      </c>
      <c r="O69">
        <v>438.53530000000001</v>
      </c>
      <c r="P69">
        <v>748.13840000000005</v>
      </c>
      <c r="Q69">
        <v>629.85429999999997</v>
      </c>
      <c r="R69">
        <v>465.3424</v>
      </c>
      <c r="S69">
        <v>516.55370000000005</v>
      </c>
      <c r="T69">
        <v>595.2799</v>
      </c>
      <c r="U69">
        <v>371.89640000000003</v>
      </c>
      <c r="V69">
        <v>139.03100000000001</v>
      </c>
      <c r="W69">
        <v>281.94119999999998</v>
      </c>
      <c r="X69">
        <v>741.78369999999995</v>
      </c>
      <c r="Y69">
        <v>400.31</v>
      </c>
      <c r="Z69">
        <v>538.97460000000001</v>
      </c>
      <c r="AA69">
        <v>148.7919</v>
      </c>
      <c r="AB69">
        <v>419.62180000000001</v>
      </c>
      <c r="AC69">
        <v>346.5804</v>
      </c>
      <c r="AD69">
        <v>159.691</v>
      </c>
      <c r="AE69">
        <v>149.3837</v>
      </c>
      <c r="AF69">
        <v>387.42</v>
      </c>
    </row>
    <row r="70" spans="1:32" x14ac:dyDescent="0.15">
      <c r="A70" s="13">
        <v>41974</v>
      </c>
      <c r="B70">
        <v>343.66800000000001</v>
      </c>
      <c r="C70">
        <v>134.91</v>
      </c>
      <c r="D70">
        <v>583.52</v>
      </c>
      <c r="E70">
        <v>327.85300000000001</v>
      </c>
      <c r="F70">
        <v>517.69370000000004</v>
      </c>
      <c r="G70">
        <v>443.85</v>
      </c>
      <c r="H70">
        <v>308.67950000000002</v>
      </c>
      <c r="I70">
        <v>487.66699999999997</v>
      </c>
      <c r="J70">
        <v>202.34</v>
      </c>
      <c r="K70">
        <v>899.31110000000001</v>
      </c>
      <c r="L70">
        <v>524.58000000000004</v>
      </c>
      <c r="M70">
        <v>502.68680000000001</v>
      </c>
      <c r="N70">
        <v>320.32339999999999</v>
      </c>
      <c r="O70">
        <v>500.15120000000002</v>
      </c>
      <c r="P70">
        <v>772.84109999999998</v>
      </c>
      <c r="Q70">
        <v>661.94</v>
      </c>
      <c r="R70">
        <v>483.8</v>
      </c>
      <c r="S70">
        <v>557.58690000000001</v>
      </c>
      <c r="T70">
        <v>557.58889999999997</v>
      </c>
      <c r="U70">
        <v>391.29</v>
      </c>
      <c r="V70">
        <v>146.3014</v>
      </c>
      <c r="W70">
        <v>291.61540000000002</v>
      </c>
      <c r="X70">
        <v>826.59100000000001</v>
      </c>
      <c r="Y70">
        <v>433.49</v>
      </c>
      <c r="Z70">
        <v>594.4511</v>
      </c>
      <c r="AA70">
        <v>169.24209999999999</v>
      </c>
      <c r="AB70">
        <v>445.971</v>
      </c>
      <c r="AC70">
        <v>366.17099999999999</v>
      </c>
      <c r="AD70">
        <v>190.04079999999999</v>
      </c>
      <c r="AE70">
        <v>157.05000000000001</v>
      </c>
      <c r="AF70">
        <v>477.27</v>
      </c>
    </row>
    <row r="71" spans="1:32" x14ac:dyDescent="0.15">
      <c r="A71" s="13">
        <v>42339</v>
      </c>
      <c r="B71">
        <v>424.78</v>
      </c>
      <c r="C71">
        <v>156.0849</v>
      </c>
      <c r="D71">
        <v>712.49130000000002</v>
      </c>
      <c r="E71">
        <v>394.46</v>
      </c>
      <c r="F71">
        <v>675.57669999999996</v>
      </c>
      <c r="G71">
        <v>446.06619999999998</v>
      </c>
      <c r="H71">
        <v>408.61</v>
      </c>
      <c r="I71">
        <v>681.48239999999998</v>
      </c>
      <c r="J71">
        <v>267.37</v>
      </c>
      <c r="K71">
        <v>1008.6031</v>
      </c>
      <c r="L71">
        <v>739.08</v>
      </c>
      <c r="M71">
        <v>577.73689999999999</v>
      </c>
      <c r="N71">
        <v>441.86070000000001</v>
      </c>
      <c r="O71">
        <v>557.34050000000002</v>
      </c>
      <c r="P71">
        <v>964.42</v>
      </c>
      <c r="Q71">
        <v>791.63</v>
      </c>
      <c r="R71">
        <v>616.57169999999996</v>
      </c>
      <c r="S71">
        <v>676.24239999999998</v>
      </c>
      <c r="T71">
        <v>804.53769999999997</v>
      </c>
      <c r="U71">
        <v>495.61709999999999</v>
      </c>
      <c r="V71">
        <v>164.23759999999999</v>
      </c>
      <c r="W71">
        <v>331.29610000000002</v>
      </c>
      <c r="X71">
        <v>926.65</v>
      </c>
      <c r="Y71">
        <v>534.60839999999996</v>
      </c>
      <c r="Z71">
        <v>641.52160000000003</v>
      </c>
      <c r="AA71">
        <v>200.2697</v>
      </c>
      <c r="AB71">
        <v>520.58439999999996</v>
      </c>
      <c r="AC71">
        <v>497.05200000000002</v>
      </c>
      <c r="AD71">
        <v>204.4144</v>
      </c>
      <c r="AE71">
        <v>174.51849999999999</v>
      </c>
      <c r="AF71">
        <v>605.34</v>
      </c>
    </row>
    <row r="72" spans="1:32" x14ac:dyDescent="0.15">
      <c r="A72" s="13">
        <v>42705</v>
      </c>
      <c r="B72">
        <v>443.54579999999999</v>
      </c>
      <c r="C72">
        <v>161.0205</v>
      </c>
      <c r="D72">
        <v>800.79300000000001</v>
      </c>
      <c r="E72">
        <v>0</v>
      </c>
      <c r="F72">
        <v>729.01739999999995</v>
      </c>
      <c r="G72">
        <v>480.73160000000001</v>
      </c>
      <c r="H72">
        <v>550.5</v>
      </c>
      <c r="I72">
        <v>801.76800000000003</v>
      </c>
      <c r="J72">
        <v>327.39999999999998</v>
      </c>
      <c r="K72">
        <v>985.62390000000005</v>
      </c>
      <c r="L72">
        <v>721.96</v>
      </c>
      <c r="M72">
        <v>624.83299999999997</v>
      </c>
      <c r="N72">
        <v>0</v>
      </c>
      <c r="O72">
        <v>581.5</v>
      </c>
      <c r="P72">
        <v>0</v>
      </c>
      <c r="Q72">
        <v>807.06489999999997</v>
      </c>
      <c r="R72">
        <v>704.59370000000001</v>
      </c>
      <c r="S72">
        <v>729.75019999999995</v>
      </c>
      <c r="T72">
        <v>0</v>
      </c>
      <c r="U72">
        <v>593.10159999999996</v>
      </c>
      <c r="V72">
        <v>179.04409999999999</v>
      </c>
      <c r="W72">
        <v>347.93639999999999</v>
      </c>
      <c r="X72">
        <v>988.70680000000004</v>
      </c>
      <c r="Y72">
        <v>629.37940000000003</v>
      </c>
      <c r="Z72">
        <v>712.9248</v>
      </c>
      <c r="AA72">
        <v>243.28020000000001</v>
      </c>
      <c r="AB72">
        <v>543.30409999999995</v>
      </c>
      <c r="AC72">
        <v>488.1028</v>
      </c>
      <c r="AD72">
        <v>232.34889999999999</v>
      </c>
      <c r="AE72">
        <v>201.65649999999999</v>
      </c>
      <c r="AF72">
        <v>717.02020000000005</v>
      </c>
    </row>
    <row r="73" spans="1:32" x14ac:dyDescent="0.15">
      <c r="A73" t="s">
        <v>43</v>
      </c>
    </row>
    <row r="74" spans="1:32" x14ac:dyDescent="0.15">
      <c r="A74" s="13">
        <v>40148</v>
      </c>
      <c r="B74" s="10">
        <v>11668.59</v>
      </c>
      <c r="C74" s="10">
        <v>8687.56</v>
      </c>
      <c r="D74" s="10">
        <v>5149.67</v>
      </c>
      <c r="E74" s="10">
        <v>4244.1000000000004</v>
      </c>
      <c r="F74" s="10">
        <v>4937.8</v>
      </c>
      <c r="G74" s="10">
        <v>5958</v>
      </c>
      <c r="H74" s="10">
        <v>5265.91</v>
      </c>
      <c r="I74" s="10">
        <v>5206.76</v>
      </c>
      <c r="J74" s="10">
        <v>12482.94</v>
      </c>
      <c r="K74" s="10">
        <v>8003.54</v>
      </c>
      <c r="L74" s="10">
        <v>10007.31</v>
      </c>
      <c r="M74" s="10">
        <v>4504.32</v>
      </c>
      <c r="N74" s="10">
        <v>6680.18</v>
      </c>
      <c r="O74" s="10">
        <v>5075.01</v>
      </c>
      <c r="P74" s="10">
        <v>6118.77</v>
      </c>
      <c r="Q74" s="10">
        <v>4806.95</v>
      </c>
      <c r="R74" s="10">
        <v>5035.26</v>
      </c>
      <c r="S74" s="10">
        <v>4909.04</v>
      </c>
      <c r="T74" s="10">
        <v>6906.93</v>
      </c>
      <c r="U74" s="10">
        <v>3980.44</v>
      </c>
      <c r="V74" s="10">
        <v>4744.3599999999997</v>
      </c>
      <c r="W74" s="10">
        <v>4478.3548119999996</v>
      </c>
      <c r="X74" s="10">
        <v>4462.05</v>
      </c>
      <c r="Y74" s="10">
        <v>3005.41</v>
      </c>
      <c r="Z74" s="10">
        <v>3369.34</v>
      </c>
      <c r="AA74" s="10">
        <v>3531.72</v>
      </c>
      <c r="AB74" s="10">
        <v>3437.55</v>
      </c>
      <c r="AC74" s="10">
        <v>2980.1</v>
      </c>
      <c r="AD74" s="10">
        <v>3346.15</v>
      </c>
      <c r="AE74" s="10">
        <v>4048.33</v>
      </c>
      <c r="AF74" s="10">
        <v>3883.1</v>
      </c>
    </row>
    <row r="75" spans="1:32" x14ac:dyDescent="0.15">
      <c r="A75" s="13">
        <v>40513</v>
      </c>
      <c r="B75" s="10">
        <v>13262.29</v>
      </c>
      <c r="C75" s="10">
        <v>10074.86</v>
      </c>
      <c r="D75" s="10">
        <v>5957.98</v>
      </c>
      <c r="E75" s="10">
        <v>4736.25</v>
      </c>
      <c r="F75" s="10">
        <v>5529.59</v>
      </c>
      <c r="G75" s="10">
        <v>6907.93</v>
      </c>
      <c r="H75" s="10">
        <v>6237.44</v>
      </c>
      <c r="I75" s="10">
        <v>6210.72</v>
      </c>
      <c r="J75" s="10">
        <v>13977.96</v>
      </c>
      <c r="K75" s="10">
        <v>9118.24</v>
      </c>
      <c r="L75" s="10">
        <v>11302.55</v>
      </c>
      <c r="M75" s="10">
        <v>5285.17</v>
      </c>
      <c r="N75" s="10">
        <v>7426.86</v>
      </c>
      <c r="O75" s="10">
        <v>5788.56</v>
      </c>
      <c r="P75" s="10">
        <v>6990.28</v>
      </c>
      <c r="Q75" s="10">
        <v>5523.73</v>
      </c>
      <c r="R75" s="10">
        <v>5832.27</v>
      </c>
      <c r="S75" s="10">
        <v>5621.96</v>
      </c>
      <c r="T75" s="10">
        <v>7890.25</v>
      </c>
      <c r="U75" s="10">
        <v>4543.41</v>
      </c>
      <c r="V75" s="10">
        <v>5275.37</v>
      </c>
      <c r="W75" s="10">
        <v>5276.66</v>
      </c>
      <c r="X75" s="10">
        <v>5086.8900000000003</v>
      </c>
      <c r="Y75" s="10">
        <v>3471.93</v>
      </c>
      <c r="Z75" s="10">
        <v>3952.03</v>
      </c>
      <c r="AA75" s="10">
        <v>4138.71</v>
      </c>
      <c r="AB75" s="10">
        <v>4104.9799999999996</v>
      </c>
      <c r="AC75" s="10">
        <v>3424.65</v>
      </c>
      <c r="AD75" s="10">
        <v>3862.68</v>
      </c>
      <c r="AE75" s="10">
        <v>4674.8900000000003</v>
      </c>
      <c r="AF75" s="10">
        <v>4642.67</v>
      </c>
    </row>
    <row r="76" spans="1:32" x14ac:dyDescent="0.15">
      <c r="A76" s="13">
        <v>40878</v>
      </c>
      <c r="B76" s="10">
        <v>14735.68</v>
      </c>
      <c r="C76" s="10">
        <v>12321.22</v>
      </c>
      <c r="D76" s="10">
        <v>7119.69</v>
      </c>
      <c r="E76" s="10">
        <v>5601.4</v>
      </c>
      <c r="F76" s="10">
        <v>6641.56</v>
      </c>
      <c r="G76" s="10">
        <v>8296.5400000000009</v>
      </c>
      <c r="H76" s="10">
        <v>7509.95</v>
      </c>
      <c r="I76" s="10">
        <v>7590.68</v>
      </c>
      <c r="J76" s="10">
        <v>16053.79</v>
      </c>
      <c r="K76" s="10">
        <v>10804.95</v>
      </c>
      <c r="L76" s="10">
        <v>13070.69</v>
      </c>
      <c r="M76" s="10">
        <v>6232.21</v>
      </c>
      <c r="N76" s="10">
        <v>8778.5499999999993</v>
      </c>
      <c r="O76" s="10">
        <v>6891.63</v>
      </c>
      <c r="P76" s="10">
        <v>8342.1299999999992</v>
      </c>
      <c r="Q76" s="10">
        <v>6604.03</v>
      </c>
      <c r="R76" s="10">
        <v>6897.92</v>
      </c>
      <c r="S76" s="10">
        <v>6567.06</v>
      </c>
      <c r="T76" s="10">
        <v>9371.73</v>
      </c>
      <c r="U76" s="10">
        <v>5231.33</v>
      </c>
      <c r="V76" s="10">
        <v>6446.01</v>
      </c>
      <c r="W76" s="10">
        <v>6480.41</v>
      </c>
      <c r="X76" s="10">
        <v>6128.55</v>
      </c>
      <c r="Y76" s="10">
        <v>4145.3500000000004</v>
      </c>
      <c r="Z76" s="10">
        <v>4721.99</v>
      </c>
      <c r="AA76" s="10">
        <v>4904.28</v>
      </c>
      <c r="AB76" s="10">
        <v>5027.87</v>
      </c>
      <c r="AC76" s="10">
        <v>3909.37</v>
      </c>
      <c r="AD76" s="10">
        <v>4608.46</v>
      </c>
      <c r="AE76" s="10">
        <v>5409.95</v>
      </c>
      <c r="AF76" s="10">
        <v>5442.15</v>
      </c>
    </row>
    <row r="77" spans="1:32" x14ac:dyDescent="0.15">
      <c r="A77" s="13">
        <v>41244</v>
      </c>
      <c r="B77" s="10">
        <v>16475.740000000002</v>
      </c>
      <c r="C77" s="10">
        <v>14025.54</v>
      </c>
      <c r="D77" s="10">
        <v>8081.39</v>
      </c>
      <c r="E77" s="10">
        <v>6356.63</v>
      </c>
      <c r="F77" s="10">
        <v>7611.31</v>
      </c>
      <c r="G77" s="10">
        <v>9383.7199999999993</v>
      </c>
      <c r="H77" s="10">
        <v>8598.17</v>
      </c>
      <c r="I77" s="10">
        <v>8603.85</v>
      </c>
      <c r="J77" s="10">
        <v>17803.68</v>
      </c>
      <c r="K77" s="10">
        <v>12201.95</v>
      </c>
      <c r="L77" s="10">
        <v>14551.92</v>
      </c>
      <c r="M77" s="10">
        <v>7160.46</v>
      </c>
      <c r="N77" s="10">
        <v>9967.17</v>
      </c>
      <c r="O77" s="10">
        <v>7829.43</v>
      </c>
      <c r="P77" s="10">
        <v>9446.5400000000009</v>
      </c>
      <c r="Q77" s="10">
        <v>7524.94</v>
      </c>
      <c r="R77" s="10">
        <v>7851.71</v>
      </c>
      <c r="S77" s="10">
        <v>7440.17</v>
      </c>
      <c r="T77" s="10">
        <v>10542.84</v>
      </c>
      <c r="U77" s="10">
        <v>6007.55</v>
      </c>
      <c r="V77" s="10">
        <v>7408</v>
      </c>
      <c r="W77" s="10">
        <v>7383.27</v>
      </c>
      <c r="X77" s="10">
        <v>7001.43</v>
      </c>
      <c r="Y77" s="10">
        <v>4753</v>
      </c>
      <c r="Z77" s="10">
        <v>5416.54</v>
      </c>
      <c r="AA77" s="10">
        <v>5719.38</v>
      </c>
      <c r="AB77" s="10">
        <v>5762.52</v>
      </c>
      <c r="AC77" s="10">
        <v>4506.66</v>
      </c>
      <c r="AD77" s="10">
        <v>5364.38</v>
      </c>
      <c r="AE77" s="10">
        <v>6180.32</v>
      </c>
      <c r="AF77" s="10">
        <v>6393.68</v>
      </c>
    </row>
    <row r="78" spans="1:32" x14ac:dyDescent="0.15">
      <c r="A78" s="13">
        <v>41609</v>
      </c>
      <c r="B78" s="10">
        <v>18337.451665000001</v>
      </c>
      <c r="C78" s="10">
        <v>15841.046359</v>
      </c>
      <c r="D78" s="10">
        <v>9101.8952640000007</v>
      </c>
      <c r="E78" s="10">
        <v>7153.5041259999998</v>
      </c>
      <c r="F78" s="10">
        <v>8595.7262460000002</v>
      </c>
      <c r="G78" s="10">
        <v>10522.692068</v>
      </c>
      <c r="H78" s="10">
        <v>9621.20975</v>
      </c>
      <c r="I78" s="10">
        <v>9634.1360619999996</v>
      </c>
      <c r="J78" s="10">
        <v>19595.002593000001</v>
      </c>
      <c r="K78" s="10">
        <v>13597.773370999999</v>
      </c>
      <c r="L78" s="10">
        <v>16105.97171</v>
      </c>
      <c r="M78" s="10">
        <v>8097.8634199999997</v>
      </c>
      <c r="N78" s="10">
        <v>11184.152075</v>
      </c>
      <c r="O78" s="10">
        <v>8781.4708169999994</v>
      </c>
      <c r="P78" s="10">
        <v>10619.949073</v>
      </c>
      <c r="Q78" s="10">
        <v>8475.3359870000004</v>
      </c>
      <c r="R78" s="10">
        <v>8866.9546150000006</v>
      </c>
      <c r="S78" s="10">
        <v>8372.1346520000006</v>
      </c>
      <c r="T78" s="10">
        <v>11669.3094</v>
      </c>
      <c r="U78" s="10">
        <v>6790.898991</v>
      </c>
      <c r="V78" s="10">
        <v>8342.5664539999998</v>
      </c>
      <c r="W78" s="10">
        <v>8331.9676749999999</v>
      </c>
      <c r="X78" s="10">
        <v>7895.3349209999997</v>
      </c>
      <c r="Y78" s="10">
        <v>5433.999855</v>
      </c>
      <c r="Z78" s="10">
        <v>6141.3096230000001</v>
      </c>
      <c r="AA78" s="10">
        <v>6578.2355610000004</v>
      </c>
      <c r="AB78" s="10">
        <v>6502.5980959999997</v>
      </c>
      <c r="AC78" s="10">
        <v>5107.7590229999996</v>
      </c>
      <c r="AD78" s="10">
        <v>6196.386555</v>
      </c>
      <c r="AE78" s="10">
        <v>6930.9652759999999</v>
      </c>
      <c r="AF78" s="10">
        <v>7296.4575839999998</v>
      </c>
    </row>
    <row r="79" spans="1:32" x14ac:dyDescent="0.15">
      <c r="A79" s="15">
        <v>41974</v>
      </c>
      <c r="B79">
        <v>19487.649596234703</v>
      </c>
      <c r="C79">
        <v>16988.740601194433</v>
      </c>
      <c r="D79">
        <v>9572.9878153885747</v>
      </c>
      <c r="E79">
        <v>7362.8811495260416</v>
      </c>
      <c r="F79">
        <v>9181.4452194241221</v>
      </c>
      <c r="G79">
        <v>11268.200963792202</v>
      </c>
      <c r="H79">
        <v>10312.558382475985</v>
      </c>
      <c r="I79">
        <v>10174.656380315211</v>
      </c>
      <c r="J79">
        <v>21074.395167093779</v>
      </c>
      <c r="K79">
        <v>15240.659178338126</v>
      </c>
      <c r="L79">
        <v>17529.277933405338</v>
      </c>
      <c r="M79">
        <v>8923.9749189980375</v>
      </c>
      <c r="N79">
        <v>12528.27871784391</v>
      </c>
      <c r="O79">
        <v>9792.7609074177853</v>
      </c>
      <c r="P79">
        <v>11679.60486335799</v>
      </c>
      <c r="Q79">
        <v>9410.9066117639322</v>
      </c>
      <c r="R79">
        <v>10019.218552282418</v>
      </c>
      <c r="S79">
        <v>9367.494576539515</v>
      </c>
      <c r="T79">
        <v>12665.614021121512</v>
      </c>
      <c r="U79">
        <v>7473.9376894972629</v>
      </c>
      <c r="V79">
        <v>9308.4961212054004</v>
      </c>
      <c r="W79">
        <v>9517.5357572942921</v>
      </c>
      <c r="X79">
        <v>8723.738820614717</v>
      </c>
      <c r="Y79">
        <v>6442.1549284087851</v>
      </c>
      <c r="Z79">
        <v>6754.4749768674874</v>
      </c>
      <c r="AA79">
        <v>7010.5228317002975</v>
      </c>
      <c r="AB79">
        <v>7265.3717447767067</v>
      </c>
      <c r="AC79">
        <v>5643.9254442265783</v>
      </c>
      <c r="AD79">
        <v>6829.2028678891875</v>
      </c>
      <c r="AE79">
        <v>7570.4489399713066</v>
      </c>
      <c r="AF79">
        <v>8128.4221363473189</v>
      </c>
    </row>
    <row r="80" spans="1:32" x14ac:dyDescent="0.15">
      <c r="A80" s="15">
        <v>42339</v>
      </c>
      <c r="B80">
        <v>21111.70294847096</v>
      </c>
      <c r="C80">
        <v>17890.362054892979</v>
      </c>
      <c r="D80">
        <v>10040.790947605272</v>
      </c>
      <c r="E80">
        <v>7535.4878739678861</v>
      </c>
      <c r="F80">
        <v>9373.1490739973306</v>
      </c>
      <c r="G80">
        <v>11410.943634956331</v>
      </c>
      <c r="H80">
        <v>10620.726111932214</v>
      </c>
      <c r="I80">
        <v>10454.552626715362</v>
      </c>
      <c r="J80">
        <v>18923.294816956863</v>
      </c>
      <c r="K80">
        <v>17025.66233354139</v>
      </c>
      <c r="L80">
        <v>19114.570827099011</v>
      </c>
      <c r="M80">
        <v>9580.4449412460963</v>
      </c>
      <c r="N80">
        <v>13700.956727744562</v>
      </c>
      <c r="O80">
        <v>10668.077951871304</v>
      </c>
      <c r="P80">
        <v>12882.463637030545</v>
      </c>
      <c r="Q80">
        <v>10228.557742773939</v>
      </c>
      <c r="R80">
        <v>11041.98586350287</v>
      </c>
      <c r="S80">
        <v>10272.082324533556</v>
      </c>
      <c r="T80">
        <v>13748.370190491303</v>
      </c>
      <c r="U80">
        <v>8100.2722938215575</v>
      </c>
      <c r="V80">
        <v>10062.332680297062</v>
      </c>
      <c r="W80">
        <v>10757.615453133852</v>
      </c>
      <c r="X80">
        <v>9359.219588382457</v>
      </c>
      <c r="Y80">
        <v>7507.4572063328224</v>
      </c>
      <c r="Z80">
        <v>7337.809975766796</v>
      </c>
      <c r="AA80">
        <v>7553.8450708811315</v>
      </c>
      <c r="AB80">
        <v>7582.519024020422</v>
      </c>
      <c r="AC80">
        <v>5735.1159374201834</v>
      </c>
      <c r="AD80">
        <v>7179.7313821549142</v>
      </c>
      <c r="AE80">
        <v>8220.7121215376355</v>
      </c>
      <c r="AF80">
        <v>8136.241380977307</v>
      </c>
    </row>
    <row r="81" spans="1:32" x14ac:dyDescent="0.15">
      <c r="A81" s="15">
        <v>42705</v>
      </c>
      <c r="B81">
        <v>23478.132493772675</v>
      </c>
      <c r="C81">
        <v>19486.821822518632</v>
      </c>
      <c r="D81">
        <v>11196.166665028089</v>
      </c>
      <c r="E81">
        <v>7872.2317083433682</v>
      </c>
      <c r="F81">
        <v>9712.9169386536978</v>
      </c>
      <c r="G81">
        <v>8869.1223345120798</v>
      </c>
      <c r="H81">
        <v>11411.200606427745</v>
      </c>
      <c r="I81">
        <v>10808.699120893107</v>
      </c>
      <c r="J81">
        <v>21708.22413474381</v>
      </c>
      <c r="K81">
        <v>19434.681632223073</v>
      </c>
      <c r="L81">
        <v>21626.691467341519</v>
      </c>
      <c r="M81">
        <v>10863.313719417585</v>
      </c>
      <c r="N81">
        <v>15470.183765274356</v>
      </c>
      <c r="O81">
        <v>12102.966805502105</v>
      </c>
      <c r="P81">
        <v>14445.146784062445</v>
      </c>
      <c r="Q81">
        <v>11483.124696332279</v>
      </c>
      <c r="R81">
        <v>12498.623057796429</v>
      </c>
      <c r="S81">
        <v>11588.460536891553</v>
      </c>
      <c r="T81">
        <v>15298.284331636902</v>
      </c>
      <c r="U81">
        <v>8925.6894461462689</v>
      </c>
      <c r="V81">
        <v>11360.630916579101</v>
      </c>
      <c r="W81">
        <v>12550.56170795986</v>
      </c>
      <c r="X81">
        <v>10488.106133692541</v>
      </c>
      <c r="Y81">
        <v>8678.1254667006961</v>
      </c>
      <c r="Z81">
        <v>8163.9227687080083</v>
      </c>
      <c r="AA81">
        <v>8956.8175536611834</v>
      </c>
      <c r="AB81">
        <v>8377.5343245146832</v>
      </c>
      <c r="AC81">
        <v>6221.3662831154224</v>
      </c>
      <c r="AD81">
        <v>7791.0621928177916</v>
      </c>
      <c r="AE81">
        <v>9066.0763819217755</v>
      </c>
      <c r="AF81">
        <v>8465.0204950455445</v>
      </c>
    </row>
    <row r="109" spans="1:9" x14ac:dyDescent="0.15">
      <c r="B109" s="4">
        <v>40178</v>
      </c>
      <c r="C109" s="4">
        <v>40543</v>
      </c>
      <c r="D109" s="4">
        <v>40908</v>
      </c>
      <c r="E109" s="4">
        <v>41274</v>
      </c>
      <c r="F109" s="4">
        <v>41639</v>
      </c>
      <c r="G109" s="4">
        <v>42004</v>
      </c>
      <c r="H109" s="4">
        <v>42369</v>
      </c>
      <c r="I109" s="4">
        <v>42735</v>
      </c>
    </row>
    <row r="110" spans="1:9" x14ac:dyDescent="0.15">
      <c r="A110" t="s">
        <v>16</v>
      </c>
      <c r="B110" s="10">
        <v>11668.59</v>
      </c>
      <c r="C110" s="10">
        <v>13262.29</v>
      </c>
      <c r="D110" s="10">
        <v>14735.68</v>
      </c>
      <c r="E110" s="10">
        <v>16475.740000000002</v>
      </c>
      <c r="F110" s="10">
        <v>18337.451665000001</v>
      </c>
      <c r="G110">
        <v>19487.649596234703</v>
      </c>
      <c r="H110">
        <v>21111.70294847096</v>
      </c>
      <c r="I110">
        <v>23478.132493772675</v>
      </c>
    </row>
    <row r="111" spans="1:9" x14ac:dyDescent="0.15">
      <c r="A111" t="s">
        <v>17</v>
      </c>
      <c r="B111" s="10">
        <v>8687.56</v>
      </c>
      <c r="C111" s="10">
        <v>10074.86</v>
      </c>
      <c r="D111" s="10">
        <v>12321.22</v>
      </c>
      <c r="E111" s="10">
        <v>14025.54</v>
      </c>
      <c r="F111" s="10">
        <v>15841.046359</v>
      </c>
      <c r="G111">
        <v>16988.740601194433</v>
      </c>
      <c r="H111">
        <v>17890.362054892979</v>
      </c>
      <c r="I111">
        <v>19486.821822518632</v>
      </c>
    </row>
    <row r="112" spans="1:9" x14ac:dyDescent="0.15">
      <c r="A112" t="s">
        <v>18</v>
      </c>
      <c r="B112" s="10">
        <v>5149.67</v>
      </c>
      <c r="C112" s="10">
        <v>5957.98</v>
      </c>
      <c r="D112" s="10">
        <v>7119.69</v>
      </c>
      <c r="E112" s="10">
        <v>8081.39</v>
      </c>
      <c r="F112" s="10">
        <v>9101.8952640000007</v>
      </c>
      <c r="G112">
        <v>9572.9878153885747</v>
      </c>
      <c r="H112">
        <v>10040.790947605272</v>
      </c>
      <c r="I112">
        <v>11196.166665028089</v>
      </c>
    </row>
    <row r="113" spans="1:9" x14ac:dyDescent="0.15">
      <c r="A113" t="s">
        <v>11</v>
      </c>
      <c r="B113" s="10">
        <v>4244.1000000000004</v>
      </c>
      <c r="C113" s="10">
        <v>4736.25</v>
      </c>
      <c r="D113" s="10">
        <v>5601.4</v>
      </c>
      <c r="E113" s="10">
        <v>6356.63</v>
      </c>
      <c r="F113" s="10">
        <v>7153.5041259999998</v>
      </c>
      <c r="G113">
        <v>7362.8811495260416</v>
      </c>
      <c r="H113">
        <v>7535.4878739678861</v>
      </c>
      <c r="I113">
        <v>7872.2317083433682</v>
      </c>
    </row>
    <row r="114" spans="1:9" x14ac:dyDescent="0.15">
      <c r="A114" t="s">
        <v>19</v>
      </c>
      <c r="B114" s="10">
        <v>4937.8</v>
      </c>
      <c r="C114" s="10">
        <v>5529.59</v>
      </c>
      <c r="D114" s="10">
        <v>6641.56</v>
      </c>
      <c r="E114" s="10">
        <v>7611.31</v>
      </c>
      <c r="F114" s="10">
        <v>8595.7262460000002</v>
      </c>
      <c r="G114">
        <v>9181.4452194241221</v>
      </c>
      <c r="H114">
        <v>9373.1490739973306</v>
      </c>
      <c r="I114">
        <v>9712.9169386536978</v>
      </c>
    </row>
    <row r="115" spans="1:9" x14ac:dyDescent="0.15">
      <c r="A115" t="s">
        <v>20</v>
      </c>
      <c r="B115" s="10">
        <v>5958</v>
      </c>
      <c r="C115" s="10">
        <v>6907.93</v>
      </c>
      <c r="D115" s="10">
        <v>8296.5400000000009</v>
      </c>
      <c r="E115" s="10">
        <v>9383.7199999999993</v>
      </c>
      <c r="F115" s="10">
        <v>10522.692068</v>
      </c>
      <c r="G115">
        <v>11268.200963792202</v>
      </c>
      <c r="H115">
        <v>11410.943634956331</v>
      </c>
      <c r="I115">
        <v>8869.1223345120798</v>
      </c>
    </row>
    <row r="116" spans="1:9" x14ac:dyDescent="0.15">
      <c r="A116" t="s">
        <v>21</v>
      </c>
      <c r="B116" s="10">
        <v>5265.91</v>
      </c>
      <c r="C116" s="10">
        <v>6237.44</v>
      </c>
      <c r="D116" s="10">
        <v>7509.95</v>
      </c>
      <c r="E116" s="10">
        <v>8598.17</v>
      </c>
      <c r="F116" s="10">
        <v>9621.20975</v>
      </c>
      <c r="G116">
        <v>10312.558382475985</v>
      </c>
      <c r="H116">
        <v>10620.726111932214</v>
      </c>
      <c r="I116">
        <v>11411.200606427745</v>
      </c>
    </row>
    <row r="117" spans="1:9" x14ac:dyDescent="0.15">
      <c r="A117" t="s">
        <v>22</v>
      </c>
      <c r="B117" s="10">
        <v>5206.76</v>
      </c>
      <c r="C117" s="10">
        <v>6210.72</v>
      </c>
      <c r="D117" s="10">
        <v>7590.68</v>
      </c>
      <c r="E117" s="10">
        <v>8603.85</v>
      </c>
      <c r="F117" s="10">
        <v>9634.1360619999996</v>
      </c>
      <c r="G117">
        <v>10174.656380315211</v>
      </c>
      <c r="H117">
        <v>10454.552626715362</v>
      </c>
      <c r="I117">
        <v>10808.699120893107</v>
      </c>
    </row>
    <row r="118" spans="1:9" x14ac:dyDescent="0.15">
      <c r="A118" t="s">
        <v>23</v>
      </c>
      <c r="B118" s="10">
        <v>12482.94</v>
      </c>
      <c r="C118" s="10">
        <v>13977.96</v>
      </c>
      <c r="D118" s="10">
        <v>16053.79</v>
      </c>
      <c r="E118" s="10">
        <v>17803.68</v>
      </c>
      <c r="F118" s="10">
        <v>19595.002593000001</v>
      </c>
      <c r="G118">
        <v>21074.395167093779</v>
      </c>
      <c r="H118">
        <v>18923.294816956863</v>
      </c>
      <c r="I118">
        <v>21708.22413474381</v>
      </c>
    </row>
    <row r="119" spans="1:9" x14ac:dyDescent="0.15">
      <c r="A119" t="s">
        <v>24</v>
      </c>
      <c r="B119" s="10">
        <v>8003.54</v>
      </c>
      <c r="C119" s="10">
        <v>9118.24</v>
      </c>
      <c r="D119" s="10">
        <v>10804.95</v>
      </c>
      <c r="E119" s="10">
        <v>12201.95</v>
      </c>
      <c r="F119" s="10">
        <v>13597.773370999999</v>
      </c>
      <c r="G119">
        <v>15240.659178338126</v>
      </c>
      <c r="H119">
        <v>17025.66233354139</v>
      </c>
      <c r="I119">
        <v>19434.681632223073</v>
      </c>
    </row>
    <row r="120" spans="1:9" x14ac:dyDescent="0.15">
      <c r="A120" t="s">
        <v>25</v>
      </c>
      <c r="B120" s="10">
        <v>10007.31</v>
      </c>
      <c r="C120" s="10">
        <v>11302.55</v>
      </c>
      <c r="D120" s="10">
        <v>13070.69</v>
      </c>
      <c r="E120" s="10">
        <v>14551.92</v>
      </c>
      <c r="F120" s="10">
        <v>16105.97171</v>
      </c>
      <c r="G120">
        <v>17529.277933405338</v>
      </c>
      <c r="H120">
        <v>19114.570827099011</v>
      </c>
      <c r="I120">
        <v>21626.691467341519</v>
      </c>
    </row>
    <row r="121" spans="1:9" x14ac:dyDescent="0.15">
      <c r="A121" t="s">
        <v>26</v>
      </c>
      <c r="B121" s="10">
        <v>4504.32</v>
      </c>
      <c r="C121" s="10">
        <v>5285.17</v>
      </c>
      <c r="D121" s="10">
        <v>6232.21</v>
      </c>
      <c r="E121" s="10">
        <v>7160.46</v>
      </c>
      <c r="F121" s="10">
        <v>8097.8634199999997</v>
      </c>
      <c r="G121">
        <v>8923.9749189980375</v>
      </c>
      <c r="H121">
        <v>9580.4449412460963</v>
      </c>
      <c r="I121">
        <v>10863.313719417585</v>
      </c>
    </row>
    <row r="122" spans="1:9" x14ac:dyDescent="0.15">
      <c r="A122" t="s">
        <v>27</v>
      </c>
      <c r="B122" s="10">
        <v>6680.18</v>
      </c>
      <c r="C122" s="10">
        <v>7426.86</v>
      </c>
      <c r="D122" s="10">
        <v>8778.5499999999993</v>
      </c>
      <c r="E122" s="10">
        <v>9967.17</v>
      </c>
      <c r="F122" s="10">
        <v>11184.152075</v>
      </c>
      <c r="G122">
        <v>12528.27871784391</v>
      </c>
      <c r="H122">
        <v>13700.956727744562</v>
      </c>
      <c r="I122">
        <v>15470.183765274356</v>
      </c>
    </row>
    <row r="123" spans="1:9" x14ac:dyDescent="0.15">
      <c r="A123" t="s">
        <v>28</v>
      </c>
      <c r="B123" s="10">
        <v>5075.01</v>
      </c>
      <c r="C123" s="10">
        <v>5788.56</v>
      </c>
      <c r="D123" s="10">
        <v>6891.63</v>
      </c>
      <c r="E123" s="10">
        <v>7829.43</v>
      </c>
      <c r="F123" s="10">
        <v>8781.4708169999994</v>
      </c>
      <c r="G123">
        <v>9792.7609074177853</v>
      </c>
      <c r="H123">
        <v>10668.077951871304</v>
      </c>
      <c r="I123">
        <v>12102.966805502105</v>
      </c>
    </row>
    <row r="124" spans="1:9" x14ac:dyDescent="0.15">
      <c r="A124" t="s">
        <v>29</v>
      </c>
      <c r="B124" s="10">
        <v>6118.77</v>
      </c>
      <c r="C124" s="10">
        <v>6990.28</v>
      </c>
      <c r="D124" s="10">
        <v>8342.1299999999992</v>
      </c>
      <c r="E124" s="10">
        <v>9446.5400000000009</v>
      </c>
      <c r="F124" s="10">
        <v>10619.949073</v>
      </c>
      <c r="G124">
        <v>11679.60486335799</v>
      </c>
      <c r="H124">
        <v>12882.463637030545</v>
      </c>
      <c r="I124">
        <v>14445.146784062445</v>
      </c>
    </row>
    <row r="125" spans="1:9" x14ac:dyDescent="0.15">
      <c r="A125" t="s">
        <v>30</v>
      </c>
      <c r="B125" s="10">
        <v>4806.95</v>
      </c>
      <c r="C125" s="10">
        <v>5523.73</v>
      </c>
      <c r="D125" s="10">
        <v>6604.03</v>
      </c>
      <c r="E125" s="10">
        <v>7524.94</v>
      </c>
      <c r="F125" s="10">
        <v>8475.3359870000004</v>
      </c>
      <c r="G125">
        <v>9410.9066117639322</v>
      </c>
      <c r="H125">
        <v>10228.557742773939</v>
      </c>
      <c r="I125">
        <v>11483.124696332279</v>
      </c>
    </row>
    <row r="126" spans="1:9" x14ac:dyDescent="0.15">
      <c r="A126" t="s">
        <v>31</v>
      </c>
      <c r="B126" s="10">
        <v>5035.26</v>
      </c>
      <c r="C126" s="10">
        <v>5832.27</v>
      </c>
      <c r="D126" s="10">
        <v>6897.92</v>
      </c>
      <c r="E126" s="10">
        <v>7851.71</v>
      </c>
      <c r="F126" s="10">
        <v>8866.9546150000006</v>
      </c>
      <c r="G126">
        <v>10019.218552282418</v>
      </c>
      <c r="H126">
        <v>11041.98586350287</v>
      </c>
      <c r="I126">
        <v>12498.623057796429</v>
      </c>
    </row>
    <row r="127" spans="1:9" x14ac:dyDescent="0.15">
      <c r="A127" t="s">
        <v>32</v>
      </c>
      <c r="B127" s="10">
        <v>4909.04</v>
      </c>
      <c r="C127" s="10">
        <v>5621.96</v>
      </c>
      <c r="D127" s="10">
        <v>6567.06</v>
      </c>
      <c r="E127" s="10">
        <v>7440.17</v>
      </c>
      <c r="F127" s="10">
        <v>8372.1346520000006</v>
      </c>
      <c r="G127">
        <v>9367.494576539515</v>
      </c>
      <c r="H127">
        <v>10272.082324533556</v>
      </c>
      <c r="I127">
        <v>11588.460536891553</v>
      </c>
    </row>
    <row r="128" spans="1:9" x14ac:dyDescent="0.15">
      <c r="A128" t="s">
        <v>3</v>
      </c>
      <c r="B128" s="10">
        <v>6906.93</v>
      </c>
      <c r="C128" s="10">
        <v>7890.25</v>
      </c>
      <c r="D128" s="10">
        <v>9371.73</v>
      </c>
      <c r="E128" s="10">
        <v>10542.84</v>
      </c>
      <c r="F128" s="10">
        <v>11669.3094</v>
      </c>
      <c r="G128">
        <v>12665.614021121512</v>
      </c>
      <c r="H128">
        <v>13748.370190491303</v>
      </c>
      <c r="I128">
        <v>15298.284331636902</v>
      </c>
    </row>
    <row r="129" spans="1:9" x14ac:dyDescent="0.15">
      <c r="A129" t="s">
        <v>4</v>
      </c>
      <c r="B129" s="10">
        <v>3980.44</v>
      </c>
      <c r="C129" s="10">
        <v>4543.41</v>
      </c>
      <c r="D129" s="10">
        <v>5231.33</v>
      </c>
      <c r="E129" s="10">
        <v>6007.55</v>
      </c>
      <c r="F129" s="10">
        <v>6790.898991</v>
      </c>
      <c r="G129">
        <v>7473.9376894972629</v>
      </c>
      <c r="H129">
        <v>8100.2722938215575</v>
      </c>
      <c r="I129">
        <v>8925.6894461462689</v>
      </c>
    </row>
    <row r="130" spans="1:9" x14ac:dyDescent="0.15">
      <c r="A130" t="s">
        <v>5</v>
      </c>
      <c r="B130" s="10">
        <v>4744.3599999999997</v>
      </c>
      <c r="C130" s="10">
        <v>5275.37</v>
      </c>
      <c r="D130" s="10">
        <v>6446.01</v>
      </c>
      <c r="E130" s="10">
        <v>7408</v>
      </c>
      <c r="F130" s="10">
        <v>8342.5664539999998</v>
      </c>
      <c r="G130">
        <v>9308.4961212054004</v>
      </c>
      <c r="H130">
        <v>10062.332680297062</v>
      </c>
      <c r="I130">
        <v>11360.630916579101</v>
      </c>
    </row>
    <row r="131" spans="1:9" x14ac:dyDescent="0.15">
      <c r="A131" t="s">
        <v>6</v>
      </c>
      <c r="B131" s="10">
        <v>4478.3548119999996</v>
      </c>
      <c r="C131" s="10">
        <v>5276.66</v>
      </c>
      <c r="D131" s="10">
        <v>6480.41</v>
      </c>
      <c r="E131" s="10">
        <v>7383.27</v>
      </c>
      <c r="F131" s="10">
        <v>8331.9676749999999</v>
      </c>
      <c r="G131">
        <v>9517.5357572942921</v>
      </c>
      <c r="H131">
        <v>10757.615453133852</v>
      </c>
      <c r="I131">
        <v>12550.56170795986</v>
      </c>
    </row>
    <row r="132" spans="1:9" x14ac:dyDescent="0.15">
      <c r="A132" t="s">
        <v>7</v>
      </c>
      <c r="B132" s="10">
        <v>4462.05</v>
      </c>
      <c r="C132" s="10">
        <v>5086.8900000000003</v>
      </c>
      <c r="D132" s="10">
        <v>6128.55</v>
      </c>
      <c r="E132" s="10">
        <v>7001.43</v>
      </c>
      <c r="F132" s="10">
        <v>7895.3349209999997</v>
      </c>
      <c r="G132">
        <v>8723.738820614717</v>
      </c>
      <c r="H132">
        <v>9359.219588382457</v>
      </c>
      <c r="I132">
        <v>10488.106133692541</v>
      </c>
    </row>
    <row r="133" spans="1:9" x14ac:dyDescent="0.15">
      <c r="A133" t="s">
        <v>8</v>
      </c>
      <c r="B133" s="10">
        <v>3005.41</v>
      </c>
      <c r="C133" s="10">
        <v>3471.93</v>
      </c>
      <c r="D133" s="10">
        <v>4145.3500000000004</v>
      </c>
      <c r="E133" s="10">
        <v>4753</v>
      </c>
      <c r="F133" s="10">
        <v>5433.999855</v>
      </c>
      <c r="G133">
        <v>6442.1549284087851</v>
      </c>
      <c r="H133">
        <v>7507.4572063328224</v>
      </c>
      <c r="I133">
        <v>8678.1254667006961</v>
      </c>
    </row>
    <row r="134" spans="1:9" x14ac:dyDescent="0.15">
      <c r="A134" t="s">
        <v>9</v>
      </c>
      <c r="B134" s="10">
        <v>3369.34</v>
      </c>
      <c r="C134" s="10">
        <v>3952.03</v>
      </c>
      <c r="D134" s="10">
        <v>4721.99</v>
      </c>
      <c r="E134" s="10">
        <v>5416.54</v>
      </c>
      <c r="F134" s="10">
        <v>6141.3096230000001</v>
      </c>
      <c r="G134">
        <v>6754.4749768674874</v>
      </c>
      <c r="H134">
        <v>7337.809975766796</v>
      </c>
      <c r="I134">
        <v>8163.9227687080083</v>
      </c>
    </row>
    <row r="135" spans="1:9" x14ac:dyDescent="0.15">
      <c r="A135" t="s">
        <v>10</v>
      </c>
      <c r="B135" s="10">
        <v>3531.72</v>
      </c>
      <c r="C135" s="10">
        <v>4138.71</v>
      </c>
      <c r="D135" s="10">
        <v>4904.28</v>
      </c>
      <c r="E135" s="10">
        <v>5719.38</v>
      </c>
      <c r="F135" s="10">
        <v>6578.2355610000004</v>
      </c>
      <c r="G135">
        <v>7010.5228317002975</v>
      </c>
      <c r="H135">
        <v>7553.8450708811315</v>
      </c>
      <c r="I135">
        <v>8956.8175536611834</v>
      </c>
    </row>
    <row r="136" spans="1:9" x14ac:dyDescent="0.15">
      <c r="A136" t="s">
        <v>11</v>
      </c>
      <c r="B136" s="10">
        <v>3437.55</v>
      </c>
      <c r="C136" s="10">
        <v>4104.9799999999996</v>
      </c>
      <c r="D136" s="10">
        <v>5027.87</v>
      </c>
      <c r="E136" s="10">
        <v>5762.52</v>
      </c>
      <c r="F136" s="10">
        <v>6502.5980959999997</v>
      </c>
      <c r="G136">
        <v>7265.3717447767067</v>
      </c>
      <c r="H136">
        <v>7582.519024020422</v>
      </c>
      <c r="I136">
        <v>8377.5343245146832</v>
      </c>
    </row>
    <row r="137" spans="1:9" x14ac:dyDescent="0.15">
      <c r="A137" t="s">
        <v>12</v>
      </c>
      <c r="B137" s="10">
        <v>2980.1</v>
      </c>
      <c r="C137" s="10">
        <v>3424.65</v>
      </c>
      <c r="D137" s="10">
        <v>3909.37</v>
      </c>
      <c r="E137" s="10">
        <v>4506.66</v>
      </c>
      <c r="F137" s="10">
        <v>5107.7590229999996</v>
      </c>
      <c r="G137">
        <v>5643.9254442265783</v>
      </c>
      <c r="H137">
        <v>5735.1159374201834</v>
      </c>
      <c r="I137">
        <v>6221.3662831154224</v>
      </c>
    </row>
    <row r="138" spans="1:9" x14ac:dyDescent="0.15">
      <c r="A138" t="s">
        <v>13</v>
      </c>
      <c r="B138" s="10">
        <v>3346.15</v>
      </c>
      <c r="C138" s="10">
        <v>3862.68</v>
      </c>
      <c r="D138" s="10">
        <v>4608.46</v>
      </c>
      <c r="E138" s="10">
        <v>5364.38</v>
      </c>
      <c r="F138" s="10">
        <v>6196.386555</v>
      </c>
      <c r="G138">
        <v>6829.2028678891875</v>
      </c>
      <c r="H138">
        <v>7179.7313821549142</v>
      </c>
      <c r="I138">
        <v>7791.0621928177916</v>
      </c>
    </row>
    <row r="139" spans="1:9" x14ac:dyDescent="0.15">
      <c r="A139" t="s">
        <v>14</v>
      </c>
      <c r="B139" s="10">
        <v>4048.33</v>
      </c>
      <c r="C139" s="10">
        <v>4674.8900000000003</v>
      </c>
      <c r="D139" s="10">
        <v>5409.95</v>
      </c>
      <c r="E139" s="10">
        <v>6180.32</v>
      </c>
      <c r="F139" s="10">
        <v>6930.9652759999999</v>
      </c>
      <c r="G139">
        <v>7570.4489399713066</v>
      </c>
      <c r="H139">
        <v>8220.7121215376355</v>
      </c>
      <c r="I139">
        <v>9066.0763819217755</v>
      </c>
    </row>
    <row r="140" spans="1:9" x14ac:dyDescent="0.15">
      <c r="A140" t="s">
        <v>15</v>
      </c>
      <c r="B140" s="10">
        <v>3883.1</v>
      </c>
      <c r="C140" s="10">
        <v>4642.67</v>
      </c>
      <c r="D140" s="10">
        <v>5442.15</v>
      </c>
      <c r="E140" s="10">
        <v>6393.68</v>
      </c>
      <c r="F140" s="10">
        <v>7296.4575839999998</v>
      </c>
      <c r="G140">
        <v>8128.4221363473189</v>
      </c>
      <c r="H140">
        <v>8136.241380977307</v>
      </c>
      <c r="I140">
        <v>8465.0204950455445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topLeftCell="A26" workbookViewId="0">
      <selection activeCell="L48" sqref="L48"/>
    </sheetView>
  </sheetViews>
  <sheetFormatPr defaultColWidth="8.875" defaultRowHeight="13.5" x14ac:dyDescent="0.15"/>
  <cols>
    <col min="2" max="2" width="9" bestFit="1" customWidth="1"/>
    <col min="3" max="5" width="10.25" bestFit="1" customWidth="1"/>
  </cols>
  <sheetData>
    <row r="1" spans="1:2" x14ac:dyDescent="0.15">
      <c r="A1" s="16" t="s">
        <v>44</v>
      </c>
      <c r="B1">
        <v>779</v>
      </c>
    </row>
    <row r="2" spans="1:2" x14ac:dyDescent="0.15">
      <c r="A2" s="16" t="s">
        <v>45</v>
      </c>
      <c r="B2">
        <v>411</v>
      </c>
    </row>
    <row r="3" spans="1:2" x14ac:dyDescent="0.15">
      <c r="A3" s="16" t="s">
        <v>46</v>
      </c>
      <c r="B3">
        <v>262</v>
      </c>
    </row>
    <row r="4" spans="1:2" x14ac:dyDescent="0.15">
      <c r="A4" s="16" t="s">
        <v>47</v>
      </c>
      <c r="B4">
        <v>243</v>
      </c>
    </row>
    <row r="5" spans="1:2" x14ac:dyDescent="0.15">
      <c r="A5" s="16" t="s">
        <v>48</v>
      </c>
      <c r="B5">
        <v>187</v>
      </c>
    </row>
    <row r="6" spans="1:2" x14ac:dyDescent="0.15">
      <c r="A6" s="16" t="s">
        <v>49</v>
      </c>
      <c r="B6">
        <v>146</v>
      </c>
    </row>
    <row r="7" spans="1:2" x14ac:dyDescent="0.15">
      <c r="A7" s="16" t="s">
        <v>50</v>
      </c>
      <c r="B7">
        <v>34</v>
      </c>
    </row>
    <row r="8" spans="1:2" x14ac:dyDescent="0.15">
      <c r="A8" s="16" t="s">
        <v>51</v>
      </c>
      <c r="B8">
        <v>9</v>
      </c>
    </row>
    <row r="9" spans="1:2" x14ac:dyDescent="0.15">
      <c r="A9" s="16" t="s">
        <v>52</v>
      </c>
      <c r="B9">
        <v>8</v>
      </c>
    </row>
    <row r="10" spans="1:2" x14ac:dyDescent="0.15">
      <c r="A10" s="16" t="s">
        <v>53</v>
      </c>
      <c r="B10">
        <v>7</v>
      </c>
    </row>
    <row r="11" spans="1:2" x14ac:dyDescent="0.15">
      <c r="A11" s="16" t="s">
        <v>54</v>
      </c>
      <c r="B11">
        <v>6</v>
      </c>
    </row>
    <row r="12" spans="1:2" x14ac:dyDescent="0.15">
      <c r="A12" s="16" t="s">
        <v>55</v>
      </c>
      <c r="B12">
        <v>4</v>
      </c>
    </row>
    <row r="13" spans="1:2" x14ac:dyDescent="0.15">
      <c r="A13" s="16" t="s">
        <v>56</v>
      </c>
      <c r="B13">
        <v>4</v>
      </c>
    </row>
    <row r="14" spans="1:2" x14ac:dyDescent="0.15">
      <c r="A14" s="16" t="s">
        <v>57</v>
      </c>
      <c r="B14">
        <v>3</v>
      </c>
    </row>
    <row r="15" spans="1:2" x14ac:dyDescent="0.15">
      <c r="A15" s="16" t="s">
        <v>58</v>
      </c>
      <c r="B15">
        <v>3</v>
      </c>
    </row>
    <row r="16" spans="1:2" x14ac:dyDescent="0.15">
      <c r="A16" s="16" t="s">
        <v>59</v>
      </c>
      <c r="B16">
        <v>3</v>
      </c>
    </row>
    <row r="17" spans="1:6" x14ac:dyDescent="0.15">
      <c r="A17" s="16" t="s">
        <v>60</v>
      </c>
      <c r="B17">
        <v>2</v>
      </c>
    </row>
    <row r="18" spans="1:6" x14ac:dyDescent="0.15">
      <c r="A18" s="16" t="s">
        <v>61</v>
      </c>
      <c r="B18">
        <v>1</v>
      </c>
    </row>
    <row r="19" spans="1:6" x14ac:dyDescent="0.15">
      <c r="A19" s="16" t="s">
        <v>62</v>
      </c>
      <c r="B19">
        <v>1</v>
      </c>
    </row>
    <row r="20" spans="1:6" x14ac:dyDescent="0.15">
      <c r="A20" s="16" t="s">
        <v>63</v>
      </c>
      <c r="B20">
        <v>1</v>
      </c>
    </row>
    <row r="21" spans="1:6" x14ac:dyDescent="0.15">
      <c r="A21" s="16" t="s">
        <v>64</v>
      </c>
      <c r="B21">
        <v>1</v>
      </c>
    </row>
    <row r="22" spans="1:6" x14ac:dyDescent="0.15">
      <c r="A22" s="16" t="s">
        <v>65</v>
      </c>
      <c r="B22">
        <v>1</v>
      </c>
    </row>
    <row r="23" spans="1:6" x14ac:dyDescent="0.15">
      <c r="A23" s="16" t="s">
        <v>66</v>
      </c>
      <c r="B23">
        <v>1</v>
      </c>
    </row>
    <row r="24" spans="1:6" x14ac:dyDescent="0.15">
      <c r="A24" s="16" t="s">
        <v>67</v>
      </c>
      <c r="B24">
        <v>1</v>
      </c>
    </row>
    <row r="25" spans="1:6" x14ac:dyDescent="0.15">
      <c r="B25">
        <f>SUM(B1:B24)</f>
        <v>2118</v>
      </c>
    </row>
    <row r="27" spans="1:6" x14ac:dyDescent="0.15">
      <c r="A27" s="17" t="s">
        <v>0</v>
      </c>
      <c r="B27" s="18" t="s">
        <v>68</v>
      </c>
      <c r="C27" s="18" t="s">
        <v>69</v>
      </c>
      <c r="D27" s="18" t="s">
        <v>70</v>
      </c>
      <c r="E27" s="18" t="s">
        <v>71</v>
      </c>
      <c r="F27" s="18" t="s">
        <v>72</v>
      </c>
    </row>
    <row r="28" spans="1:6" x14ac:dyDescent="0.15">
      <c r="A28" s="19">
        <v>41274</v>
      </c>
      <c r="B28" s="20">
        <v>147</v>
      </c>
      <c r="C28" s="20">
        <v>337</v>
      </c>
      <c r="D28" s="20">
        <v>1927</v>
      </c>
      <c r="E28" s="20">
        <v>864</v>
      </c>
      <c r="F28" s="21">
        <f>SUM(B28:E28)</f>
        <v>3275</v>
      </c>
    </row>
    <row r="29" spans="1:6" x14ac:dyDescent="0.15">
      <c r="A29" s="19">
        <v>41639</v>
      </c>
      <c r="B29" s="20">
        <v>122</v>
      </c>
      <c r="C29" s="20">
        <v>468</v>
      </c>
      <c r="D29" s="20">
        <v>1803</v>
      </c>
      <c r="E29" s="20">
        <v>1052</v>
      </c>
      <c r="F29" s="21">
        <f t="shared" ref="F29:F32" si="0">SUM(B29:E29)</f>
        <v>3445</v>
      </c>
    </row>
    <row r="30" spans="1:6" x14ac:dyDescent="0.15">
      <c r="A30" s="19">
        <v>42004</v>
      </c>
      <c r="B30" s="20">
        <v>89</v>
      </c>
      <c r="C30" s="20">
        <v>665</v>
      </c>
      <c r="D30" s="20">
        <v>1596</v>
      </c>
      <c r="E30" s="20">
        <v>1218</v>
      </c>
      <c r="F30" s="21">
        <f t="shared" si="0"/>
        <v>3568</v>
      </c>
    </row>
    <row r="31" spans="1:6" x14ac:dyDescent="0.15">
      <c r="A31" s="19">
        <v>42369</v>
      </c>
      <c r="B31" s="20">
        <v>71</v>
      </c>
      <c r="C31" s="20">
        <v>859</v>
      </c>
      <c r="D31" s="20">
        <v>1373</v>
      </c>
      <c r="E31" s="20">
        <v>1375</v>
      </c>
      <c r="F31" s="21">
        <f t="shared" si="0"/>
        <v>3678</v>
      </c>
    </row>
    <row r="32" spans="1:6" x14ac:dyDescent="0.15">
      <c r="A32" s="19">
        <v>42735</v>
      </c>
      <c r="B32" s="20">
        <v>40</v>
      </c>
      <c r="C32" s="20">
        <v>1114</v>
      </c>
      <c r="D32" s="20">
        <v>1125</v>
      </c>
      <c r="E32" s="20">
        <v>1506</v>
      </c>
      <c r="F32" s="21">
        <f t="shared" si="0"/>
        <v>3785</v>
      </c>
    </row>
    <row r="36" spans="1:2" x14ac:dyDescent="0.15">
      <c r="A36">
        <v>2010</v>
      </c>
      <c r="B36">
        <v>1.48</v>
      </c>
    </row>
    <row r="37" spans="1:2" x14ac:dyDescent="0.15">
      <c r="A37">
        <v>2011</v>
      </c>
      <c r="B37">
        <v>1.7</v>
      </c>
    </row>
    <row r="38" spans="1:2" x14ac:dyDescent="0.15">
      <c r="A38">
        <v>2012</v>
      </c>
      <c r="B38">
        <v>1.94</v>
      </c>
    </row>
    <row r="39" spans="1:2" x14ac:dyDescent="0.15">
      <c r="A39">
        <v>2013</v>
      </c>
      <c r="B39">
        <v>2.14</v>
      </c>
    </row>
    <row r="40" spans="1:2" x14ac:dyDescent="0.15">
      <c r="A40">
        <v>2014</v>
      </c>
      <c r="B40">
        <v>2.37</v>
      </c>
    </row>
    <row r="41" spans="1:2" x14ac:dyDescent="0.15">
      <c r="A41">
        <v>2015</v>
      </c>
      <c r="B41">
        <v>2.58</v>
      </c>
    </row>
    <row r="42" spans="1:2" x14ac:dyDescent="0.15">
      <c r="A42">
        <v>2016</v>
      </c>
      <c r="B42">
        <v>2.75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Sheet1!ExternalData_1</vt:lpstr>
      <vt:lpstr>Sheet2!ExternalData_1</vt:lpstr>
      <vt:lpstr>Sheet3!ExternalData_1</vt:lpstr>
      <vt:lpstr>Sheet1!ExternalData_2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hzr1128</cp:lastModifiedBy>
  <dcterms:created xsi:type="dcterms:W3CDTF">2018-06-11T15:08:21Z</dcterms:created>
  <dcterms:modified xsi:type="dcterms:W3CDTF">2018-06-23T14:00:02Z</dcterms:modified>
</cp:coreProperties>
</file>