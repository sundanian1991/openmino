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undanian/Documents/projects/ai-agents/my-agent/workspace/"/>
    </mc:Choice>
  </mc:AlternateContent>
  <xr:revisionPtr revIDLastSave="0" documentId="13_ncr:1_{FDD4DA14-7532-7A41-8C00-78AD16FC2F9D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1" l="1"/>
  <c r="B50" i="1"/>
  <c r="B51" i="1" s="1"/>
  <c r="B19" i="1"/>
  <c r="B32" i="1" s="1"/>
  <c r="B17" i="1"/>
  <c r="B63" i="1"/>
  <c r="B69" i="1" s="1"/>
  <c r="B46" i="1"/>
  <c r="B45" i="1"/>
  <c r="B31" i="1"/>
  <c r="C31" i="1" s="1"/>
  <c r="B33" i="1"/>
  <c r="D68" i="1"/>
  <c r="B65" i="1"/>
  <c r="B41" i="1"/>
  <c r="B43" i="1" s="1"/>
  <c r="B26" i="1"/>
  <c r="C33" i="1" l="1"/>
  <c r="B34" i="1"/>
  <c r="B35" i="1" s="1"/>
  <c r="C32" i="1"/>
  <c r="B68" i="1"/>
  <c r="B48" i="1"/>
  <c r="C48" i="1" s="1"/>
  <c r="C69" i="1"/>
  <c r="B75" i="1"/>
  <c r="C49" i="1" l="1"/>
  <c r="C35" i="1"/>
  <c r="B74" i="1" s="1"/>
  <c r="C34" i="1"/>
  <c r="B77" i="1" l="1"/>
  <c r="B76" i="1"/>
  <c r="C50" i="1"/>
  <c r="B64" i="1" l="1"/>
  <c r="C68" i="1" s="1"/>
  <c r="C51" i="1"/>
</calcChain>
</file>

<file path=xl/sharedStrings.xml><?xml version="1.0" encoding="utf-8"?>
<sst xmlns="http://schemas.openxmlformats.org/spreadsheetml/2006/main" count="127" uniqueCount="119">
  <si>
    <t>供应商成本结构与生存线调研表</t>
  </si>
  <si>
    <t>Supplier Cost Structure &amp; Survival Line Analysis</t>
  </si>
  <si>
    <t>供应商名称</t>
  </si>
  <si>
    <t>数据月份</t>
  </si>
  <si>
    <t>业务线</t>
  </si>
  <si>
    <t>城市级别</t>
  </si>
  <si>
    <t>填写日期</t>
  </si>
  <si>
    <t>联系人</t>
  </si>
  <si>
    <t>（请填写）</t>
  </si>
  <si>
    <t>（近3个月平均）</t>
  </si>
  <si>
    <t>金条-首贷</t>
  </si>
  <si>
    <t>一线/二线</t>
  </si>
  <si>
    <t>YYYY-MM-DD</t>
  </si>
  <si>
    <t>一、基础数据录入</t>
  </si>
  <si>
    <t>坐席人数（人）</t>
  </si>
  <si>
    <t>该业务线</t>
  </si>
  <si>
    <t>管理人员（人）</t>
  </si>
  <si>
    <t>职场总人数</t>
  </si>
  <si>
    <t>全职场</t>
  </si>
  <si>
    <t>城市最低工资标准（元/月）</t>
  </si>
  <si>
    <t>填写当地标准</t>
  </si>
  <si>
    <t>人力成本（该业务线）</t>
  </si>
  <si>
    <t>坐席税前薪资总额</t>
  </si>
  <si>
    <t>供应商填写</t>
  </si>
  <si>
    <t>社保公积金-公司承担</t>
  </si>
  <si>
    <t>五险一金</t>
  </si>
  <si>
    <t>管理人员薪资分摊</t>
  </si>
  <si>
    <t>按业务线</t>
  </si>
  <si>
    <t>人力成本小计</t>
  </si>
  <si>
    <t>刚性成本（非人力）</t>
  </si>
  <si>
    <t>职场运营成本</t>
  </si>
  <si>
    <t>房租+水电+网费+硬件</t>
  </si>
  <si>
    <t>激励成本</t>
  </si>
  <si>
    <t>节日+奖金+团建</t>
  </si>
  <si>
    <t>业务直接成本</t>
  </si>
  <si>
    <t>线路费+系统费+基建</t>
  </si>
  <si>
    <t>其他隐性成本</t>
  </si>
  <si>
    <t>招聘+税费+资金成本</t>
  </si>
  <si>
    <t>刚性成本小计</t>
  </si>
  <si>
    <t>二、分析维度1：成本倒推利润（现状分析）</t>
  </si>
  <si>
    <t>基于供应商实际成本数据，推算实际利润率</t>
  </si>
  <si>
    <t>京东结算金额</t>
  </si>
  <si>
    <t>总收入</t>
  </si>
  <si>
    <t>减去：人力成本</t>
  </si>
  <si>
    <t>减去：刚性成本</t>
  </si>
  <si>
    <t>＝ 总成本</t>
  </si>
  <si>
    <t>供应商利润（实际）</t>
  </si>
  <si>
    <t>结算-总成本</t>
  </si>
  <si>
    <t>三、分析维度2：生存线+价值贡献（理论测算）</t>
  </si>
  <si>
    <t>基于生存线标准与价值贡献，测算合理收入水平</t>
  </si>
  <si>
    <t>测算参数</t>
  </si>
  <si>
    <t>设定值/公式</t>
  </si>
  <si>
    <t>说明</t>
  </si>
  <si>
    <t>城市最低工资标准</t>
  </si>
  <si>
    <t>当地最低工资</t>
  </si>
  <si>
    <t>生存线系数</t>
  </si>
  <si>
    <t>最低工资×系数</t>
  </si>
  <si>
    <t>基础生存线</t>
  </si>
  <si>
    <t>元/月</t>
  </si>
  <si>
    <t>价值分享比例</t>
  </si>
  <si>
    <t>超出生存线部分的分享比例</t>
  </si>
  <si>
    <t>人均刚性成本</t>
  </si>
  <si>
    <t>人均产值</t>
  </si>
  <si>
    <t>测算项目</t>
  </si>
  <si>
    <t>公式</t>
  </si>
  <si>
    <t>人均（元/月）</t>
  </si>
  <si>
    <t>保障基本生活</t>
  </si>
  <si>
    <t>价值贡献</t>
  </si>
  <si>
    <t>超出生存线的价值</t>
  </si>
  <si>
    <t>价值分享</t>
  </si>
  <si>
    <t>按分享比例</t>
  </si>
  <si>
    <t>合理收入（理论）</t>
  </si>
  <si>
    <t>生存线+价值分享</t>
  </si>
  <si>
    <t>四、分析维度3：对标友商（外部参考）</t>
  </si>
  <si>
    <t>对标行业/友商数据，了解市场区间</t>
  </si>
  <si>
    <t>对标维度</t>
  </si>
  <si>
    <t>低值</t>
  </si>
  <si>
    <t>中值</t>
  </si>
  <si>
    <t>高值</t>
  </si>
  <si>
    <t>数据来源</t>
  </si>
  <si>
    <t>坐席人均收入（元/月）</t>
  </si>
  <si>
    <t>友商调研</t>
  </si>
  <si>
    <t>供应商利润率</t>
  </si>
  <si>
    <t>行业报告</t>
  </si>
  <si>
    <t>人力成本占比</t>
  </si>
  <si>
    <t>行业基准</t>
  </si>
  <si>
    <t>五、三维度综合分析：合理收入区间</t>
  </si>
  <si>
    <t>分析维度</t>
  </si>
  <si>
    <t>坐席人均收入</t>
  </si>
  <si>
    <t>区间定位</t>
  </si>
  <si>
    <t>评价</t>
  </si>
  <si>
    <t>维度1：成本倒推（实际现状）</t>
  </si>
  <si>
    <t>现状</t>
  </si>
  <si>
    <t>供应商当前实际水平</t>
  </si>
  <si>
    <t>维度2：生存线+价值贡献（理论）</t>
  </si>
  <si>
    <t>理论值</t>
  </si>
  <si>
    <t>基于生存线与价值贡献</t>
  </si>
  <si>
    <t>维度3：对标友商（中值）</t>
  </si>
  <si>
    <t>市场参考</t>
  </si>
  <si>
    <t>行业平均水平</t>
  </si>
  <si>
    <t>区间分析</t>
  </si>
  <si>
    <t>下限（生存）</t>
  </si>
  <si>
    <t>中间（合理）</t>
  </si>
  <si>
    <t>上限（市场）</t>
  </si>
  <si>
    <t>收入区间值</t>
  </si>
  <si>
    <t>从生存到市场</t>
  </si>
  <si>
    <t>当前实际位置</t>
  </si>
  <si>
    <t>六、结论与建议</t>
  </si>
  <si>
    <t>评估指标</t>
  </si>
  <si>
    <t>结果</t>
  </si>
  <si>
    <t>判断标准</t>
  </si>
  <si>
    <t>利润率健康度</t>
  </si>
  <si>
    <t>&lt;10%偏低 / 10-20%健康 / &gt;20%偏高</t>
  </si>
  <si>
    <t>收入定位</t>
  </si>
  <si>
    <t>稳定性评估</t>
  </si>
  <si>
    <t>调整建议</t>
  </si>
  <si>
    <t>京东当月结算金额（元）</t>
    <phoneticPr fontId="15" type="noConversion"/>
  </si>
  <si>
    <t>人均薪酬</t>
    <phoneticPr fontId="15" type="noConversion"/>
  </si>
  <si>
    <t>看在哪个区间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</si>
</sst>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6">
    <font>
      <sz val="11"/>
      <color theme="1"/>
      <name val="宋体"/>
      <family val="2"/>
      <scheme val="minor"/>
    </font>
    <font>
      <b/>
      <sz val="20"/>
      <color rgb="FF1F4E78"/>
      <name val="宋体"/>
      <family val="3"/>
      <charset val="134"/>
    </font>
    <font>
      <i/>
      <sz val="11"/>
      <color rgb="FF7F7F7F"/>
      <name val="宋体"/>
      <family val="3"/>
      <charset val="134"/>
    </font>
    <font>
      <b/>
      <sz val="10"/>
      <color rgb="FF1F4E78"/>
      <name val="宋体"/>
      <family val="3"/>
      <charset val="134"/>
    </font>
    <font>
      <b/>
      <sz val="11"/>
      <name val="宋体"/>
      <family val="3"/>
      <charset val="134"/>
    </font>
    <font>
      <b/>
      <sz val="13"/>
      <color rgb="FFC55A11"/>
      <name val="宋体"/>
      <family val="3"/>
      <charset val="134"/>
    </font>
    <font>
      <b/>
      <sz val="14"/>
      <color rgb="FFC55A11"/>
      <name val="宋体"/>
      <family val="3"/>
      <charset val="134"/>
    </font>
    <font>
      <b/>
      <sz val="10"/>
      <name val="宋体"/>
      <family val="3"/>
      <charset val="134"/>
    </font>
    <font>
      <b/>
      <sz val="11"/>
      <color rgb="FF1F4E78"/>
      <name val="宋体"/>
      <family val="3"/>
      <charset val="134"/>
    </font>
    <font>
      <b/>
      <sz val="11"/>
      <name val="宋体"/>
      <family val="3"/>
      <charset val="134"/>
    </font>
    <font>
      <b/>
      <sz val="14"/>
      <color rgb="FF1F4E78"/>
      <name val="宋体"/>
      <family val="3"/>
      <charset val="134"/>
    </font>
    <font>
      <i/>
      <sz val="10"/>
      <color rgb="FF7F7F7F"/>
      <name val="宋体"/>
      <family val="3"/>
      <charset val="134"/>
    </font>
    <font>
      <b/>
      <sz val="16"/>
      <color rgb="FFC55A11"/>
      <name val="宋体"/>
      <family val="3"/>
      <charset val="134"/>
    </font>
    <font>
      <b/>
      <sz val="11"/>
      <color rgb="FFFFFFFF"/>
      <name val="宋体"/>
      <family val="3"/>
      <charset val="134"/>
    </font>
    <font>
      <b/>
      <sz val="16"/>
      <color rgb="FF1F4E78"/>
      <name val="宋体"/>
      <family val="3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E699"/>
        <bgColor rgb="FFFFE699"/>
      </patternFill>
    </fill>
    <fill>
      <patternFill patternType="solid">
        <fgColor rgb="FF1F4E78"/>
        <bgColor rgb="FF1F4E78"/>
      </patternFill>
    </fill>
    <fill>
      <patternFill patternType="solid">
        <fgColor rgb="FFF4B084"/>
        <bgColor rgb="FFF4B084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1" xfId="0" applyFont="1" applyFill="1" applyBorder="1"/>
    <xf numFmtId="0" fontId="0" fillId="0" borderId="1" xfId="0" applyBorder="1"/>
    <xf numFmtId="0" fontId="7" fillId="2" borderId="1" xfId="0" applyFont="1" applyFill="1" applyBorder="1"/>
    <xf numFmtId="3" fontId="0" fillId="0" borderId="1" xfId="0" applyNumberFormat="1" applyBorder="1"/>
    <xf numFmtId="0" fontId="9" fillId="3" borderId="1" xfId="0" applyFont="1" applyFill="1" applyBorder="1"/>
    <xf numFmtId="0" fontId="7" fillId="4" borderId="1" xfId="0" applyFont="1" applyFill="1" applyBorder="1"/>
    <xf numFmtId="176" fontId="7" fillId="4" borderId="1" xfId="0" applyNumberFormat="1" applyFont="1" applyFill="1" applyBorder="1"/>
    <xf numFmtId="176" fontId="0" fillId="0" borderId="1" xfId="0" applyNumberFormat="1" applyBorder="1"/>
    <xf numFmtId="0" fontId="7" fillId="5" borderId="1" xfId="0" applyFont="1" applyFill="1" applyBorder="1"/>
    <xf numFmtId="9" fontId="0" fillId="0" borderId="1" xfId="0" applyNumberFormat="1" applyBorder="1"/>
    <xf numFmtId="0" fontId="13" fillId="6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0" fillId="5" borderId="1" xfId="0" applyFill="1" applyBorder="1"/>
    <xf numFmtId="0" fontId="0" fillId="8" borderId="1" xfId="0" applyFill="1" applyBorder="1"/>
    <xf numFmtId="0" fontId="6" fillId="0" borderId="0" xfId="0" applyFont="1"/>
    <xf numFmtId="0" fontId="0" fillId="0" borderId="0" xfId="0"/>
    <xf numFmtId="0" fontId="14" fillId="0" borderId="0" xfId="0" applyFont="1"/>
    <xf numFmtId="0" fontId="11" fillId="0" borderId="0" xfId="0" applyFont="1"/>
    <xf numFmtId="0" fontId="8" fillId="0" borderId="0" xfId="0" applyFont="1"/>
    <xf numFmtId="0" fontId="2" fillId="0" borderId="0" xfId="0" applyFont="1" applyAlignment="1">
      <alignment horizontal="center"/>
    </xf>
    <xf numFmtId="0" fontId="10" fillId="0" borderId="0" xfId="0" applyFont="1"/>
    <xf numFmtId="0" fontId="12" fillId="0" borderId="0" xfId="0" applyFont="1"/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/>
    <xf numFmtId="0" fontId="5" fillId="0" borderId="1" xfId="0" applyFont="1" applyBorder="1" applyAlignment="1"/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3" fontId="9" fillId="3" borderId="1" xfId="0" applyNumberFormat="1" applyFont="1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workbookViewId="0">
      <selection activeCell="E16" sqref="E16"/>
    </sheetView>
  </sheetViews>
  <sheetFormatPr baseColWidth="10" defaultColWidth="8.83203125" defaultRowHeight="14"/>
  <cols>
    <col min="1" max="1" width="28" customWidth="1"/>
    <col min="2" max="2" width="19.1640625" bestFit="1" customWidth="1"/>
    <col min="3" max="3" width="31.83203125" customWidth="1"/>
    <col min="4" max="4" width="20" customWidth="1"/>
    <col min="5" max="5" width="16" customWidth="1"/>
    <col min="6" max="8" width="12" customWidth="1"/>
  </cols>
  <sheetData>
    <row r="1" spans="1:8" ht="45" customHeight="1">
      <c r="A1" s="23" t="s">
        <v>0</v>
      </c>
      <c r="B1" s="16"/>
      <c r="C1" s="16"/>
      <c r="D1" s="16"/>
      <c r="E1" s="16"/>
      <c r="F1" s="16"/>
      <c r="G1" s="16"/>
      <c r="H1" s="16"/>
    </row>
    <row r="2" spans="1:8">
      <c r="A2" s="20" t="s">
        <v>1</v>
      </c>
      <c r="B2" s="16"/>
      <c r="C2" s="16"/>
      <c r="D2" s="16"/>
      <c r="E2" s="16"/>
      <c r="F2" s="16"/>
      <c r="G2" s="16"/>
      <c r="H2" s="16"/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8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8</v>
      </c>
    </row>
    <row r="7" spans="1:8" ht="16">
      <c r="A7" s="24" t="s">
        <v>116</v>
      </c>
      <c r="B7" s="25">
        <v>880000</v>
      </c>
      <c r="C7" s="24"/>
    </row>
    <row r="9" spans="1:8" ht="17">
      <c r="A9" s="15" t="s">
        <v>13</v>
      </c>
      <c r="B9" s="16"/>
      <c r="C9" s="16"/>
      <c r="D9" s="16"/>
      <c r="E9" s="16"/>
      <c r="F9" s="16"/>
      <c r="G9" s="16"/>
      <c r="H9" s="16"/>
    </row>
    <row r="10" spans="1:8">
      <c r="A10" s="3" t="s">
        <v>14</v>
      </c>
      <c r="B10" s="3">
        <v>100</v>
      </c>
      <c r="C10" s="3" t="s">
        <v>15</v>
      </c>
    </row>
    <row r="11" spans="1:8">
      <c r="A11" s="2" t="s">
        <v>16</v>
      </c>
      <c r="B11" s="2">
        <v>5</v>
      </c>
      <c r="C11" s="2" t="s">
        <v>15</v>
      </c>
    </row>
    <row r="12" spans="1:8">
      <c r="A12" s="2" t="s">
        <v>17</v>
      </c>
      <c r="B12" s="2">
        <v>210</v>
      </c>
      <c r="C12" s="2" t="s">
        <v>18</v>
      </c>
    </row>
    <row r="13" spans="1:8">
      <c r="A13" s="2" t="s">
        <v>19</v>
      </c>
      <c r="B13" s="4">
        <v>2420</v>
      </c>
      <c r="C13" s="2" t="s">
        <v>20</v>
      </c>
    </row>
    <row r="14" spans="1:8">
      <c r="A14" s="19" t="s">
        <v>21</v>
      </c>
      <c r="B14" s="16"/>
      <c r="C14" s="16"/>
    </row>
    <row r="15" spans="1:8">
      <c r="A15" s="2" t="s">
        <v>22</v>
      </c>
      <c r="B15" s="4">
        <v>650000</v>
      </c>
      <c r="C15" s="2" t="s">
        <v>23</v>
      </c>
    </row>
    <row r="16" spans="1:8">
      <c r="A16" s="2" t="s">
        <v>24</v>
      </c>
      <c r="B16" s="4">
        <v>75000</v>
      </c>
      <c r="C16" s="2" t="s">
        <v>25</v>
      </c>
    </row>
    <row r="17" spans="1:8">
      <c r="A17" s="2" t="s">
        <v>117</v>
      </c>
      <c r="B17" s="4">
        <f>B15/B10</f>
        <v>6500</v>
      </c>
      <c r="C17" s="2" t="s">
        <v>23</v>
      </c>
    </row>
    <row r="18" spans="1:8">
      <c r="A18" s="2" t="s">
        <v>26</v>
      </c>
      <c r="B18" s="4">
        <v>30000</v>
      </c>
      <c r="C18" s="2" t="s">
        <v>27</v>
      </c>
    </row>
    <row r="19" spans="1:8">
      <c r="A19" s="5" t="s">
        <v>28</v>
      </c>
      <c r="B19" s="30">
        <f>SUM(B15:B18)</f>
        <v>761500</v>
      </c>
      <c r="C19" s="5"/>
    </row>
    <row r="21" spans="1:8">
      <c r="A21" s="19" t="s">
        <v>29</v>
      </c>
      <c r="B21" s="16"/>
      <c r="C21" s="16"/>
    </row>
    <row r="22" spans="1:8">
      <c r="A22" s="2" t="s">
        <v>30</v>
      </c>
      <c r="B22" s="4">
        <v>50000</v>
      </c>
      <c r="C22" s="2" t="s">
        <v>31</v>
      </c>
    </row>
    <row r="23" spans="1:8">
      <c r="A23" s="2" t="s">
        <v>32</v>
      </c>
      <c r="B23" s="4">
        <v>27000</v>
      </c>
      <c r="C23" s="2" t="s">
        <v>33</v>
      </c>
    </row>
    <row r="24" spans="1:8">
      <c r="A24" s="2" t="s">
        <v>34</v>
      </c>
      <c r="B24" s="4">
        <v>18000</v>
      </c>
      <c r="C24" s="2" t="s">
        <v>35</v>
      </c>
    </row>
    <row r="25" spans="1:8">
      <c r="A25" s="2" t="s">
        <v>36</v>
      </c>
      <c r="B25" s="4">
        <v>4000</v>
      </c>
      <c r="C25" s="2" t="s">
        <v>37</v>
      </c>
    </row>
    <row r="26" spans="1:8">
      <c r="A26" s="5" t="s">
        <v>38</v>
      </c>
      <c r="B26" s="5">
        <f>SUM(B22:B25)</f>
        <v>99000</v>
      </c>
      <c r="C26" s="5"/>
    </row>
    <row r="28" spans="1:8" ht="30" customHeight="1">
      <c r="A28" s="21" t="s">
        <v>39</v>
      </c>
      <c r="B28" s="16"/>
      <c r="C28" s="16"/>
      <c r="D28" s="16"/>
      <c r="E28" s="16"/>
      <c r="F28" s="16"/>
      <c r="G28" s="16"/>
      <c r="H28" s="16"/>
    </row>
    <row r="29" spans="1:8">
      <c r="A29" s="18" t="s">
        <v>40</v>
      </c>
      <c r="B29" s="16"/>
      <c r="C29" s="16"/>
      <c r="D29" s="16"/>
      <c r="E29" s="16"/>
      <c r="F29" s="16"/>
      <c r="G29" s="16"/>
      <c r="H29" s="16"/>
    </row>
    <row r="31" spans="1:8">
      <c r="A31" s="6" t="s">
        <v>41</v>
      </c>
      <c r="B31" s="6">
        <f>B7</f>
        <v>880000</v>
      </c>
      <c r="C31" s="7">
        <f>B31/B31</f>
        <v>1</v>
      </c>
      <c r="D31" s="6" t="s">
        <v>42</v>
      </c>
    </row>
    <row r="32" spans="1:8">
      <c r="A32" s="2" t="s">
        <v>43</v>
      </c>
      <c r="B32" s="2">
        <f>B19</f>
        <v>761500</v>
      </c>
      <c r="C32" s="8">
        <f>B32/B31</f>
        <v>0.86534090909090911</v>
      </c>
      <c r="D32" s="2"/>
    </row>
    <row r="33" spans="1:8">
      <c r="A33" s="2" t="s">
        <v>44</v>
      </c>
      <c r="B33" s="2">
        <f>B26</f>
        <v>99000</v>
      </c>
      <c r="C33" s="8">
        <f>B33/B31</f>
        <v>0.1125</v>
      </c>
      <c r="D33" s="2"/>
    </row>
    <row r="34" spans="1:8">
      <c r="A34" s="2" t="s">
        <v>45</v>
      </c>
      <c r="B34" s="2">
        <f>B32+B33</f>
        <v>860500</v>
      </c>
      <c r="C34" s="8">
        <f>B34/B31</f>
        <v>0.97784090909090904</v>
      </c>
      <c r="D34" s="2"/>
    </row>
    <row r="35" spans="1:8">
      <c r="A35" s="2" t="s">
        <v>46</v>
      </c>
      <c r="B35" s="2">
        <f>B31-B34</f>
        <v>19500</v>
      </c>
      <c r="C35" s="8">
        <f>B35/B31</f>
        <v>2.215909090909091E-2</v>
      </c>
      <c r="D35" s="2" t="s">
        <v>47</v>
      </c>
    </row>
    <row r="37" spans="1:8" ht="30" customHeight="1">
      <c r="A37" s="21" t="s">
        <v>48</v>
      </c>
      <c r="B37" s="16"/>
      <c r="C37" s="16"/>
      <c r="D37" s="16"/>
      <c r="E37" s="16"/>
      <c r="F37" s="16"/>
      <c r="G37" s="16"/>
      <c r="H37" s="16"/>
    </row>
    <row r="38" spans="1:8">
      <c r="A38" s="18" t="s">
        <v>49</v>
      </c>
      <c r="B38" s="16"/>
      <c r="C38" s="16"/>
      <c r="D38" s="16"/>
      <c r="E38" s="16"/>
      <c r="F38" s="16"/>
      <c r="G38" s="16"/>
      <c r="H38" s="16"/>
    </row>
    <row r="40" spans="1:8">
      <c r="A40" s="6" t="s">
        <v>50</v>
      </c>
      <c r="B40" s="6" t="s">
        <v>51</v>
      </c>
      <c r="C40" s="6" t="s">
        <v>52</v>
      </c>
    </row>
    <row r="41" spans="1:8">
      <c r="A41" s="2" t="s">
        <v>53</v>
      </c>
      <c r="B41" s="2">
        <f>B13</f>
        <v>2420</v>
      </c>
      <c r="C41" s="2" t="s">
        <v>54</v>
      </c>
    </row>
    <row r="42" spans="1:8">
      <c r="A42" s="2" t="s">
        <v>55</v>
      </c>
      <c r="B42" s="2">
        <v>2.5</v>
      </c>
      <c r="C42" s="2" t="s">
        <v>56</v>
      </c>
    </row>
    <row r="43" spans="1:8">
      <c r="A43" s="2" t="s">
        <v>57</v>
      </c>
      <c r="B43" s="2">
        <f>B41*B42</f>
        <v>6050</v>
      </c>
      <c r="C43" s="2" t="s">
        <v>58</v>
      </c>
    </row>
    <row r="44" spans="1:8">
      <c r="A44" s="2" t="s">
        <v>59</v>
      </c>
      <c r="B44" s="10">
        <v>0.4</v>
      </c>
      <c r="C44" s="2" t="s">
        <v>60</v>
      </c>
    </row>
    <row r="45" spans="1:8">
      <c r="A45" s="2" t="s">
        <v>61</v>
      </c>
      <c r="B45" s="2">
        <f>B26/B10</f>
        <v>990</v>
      </c>
      <c r="C45" s="2" t="s">
        <v>58</v>
      </c>
    </row>
    <row r="46" spans="1:8">
      <c r="A46" s="2" t="s">
        <v>62</v>
      </c>
      <c r="B46" s="2">
        <f>B7/B10</f>
        <v>8800</v>
      </c>
      <c r="C46" s="2" t="s">
        <v>58</v>
      </c>
    </row>
    <row r="47" spans="1:8">
      <c r="A47" s="9" t="s">
        <v>63</v>
      </c>
      <c r="B47" s="9" t="s">
        <v>64</v>
      </c>
      <c r="C47" s="9" t="s">
        <v>65</v>
      </c>
      <c r="D47" s="9" t="s">
        <v>52</v>
      </c>
    </row>
    <row r="48" spans="1:8">
      <c r="A48" s="2" t="s">
        <v>57</v>
      </c>
      <c r="B48" s="29">
        <f>B43</f>
        <v>6050</v>
      </c>
      <c r="C48" s="29">
        <f>B48</f>
        <v>6050</v>
      </c>
      <c r="D48" s="2" t="s">
        <v>66</v>
      </c>
    </row>
    <row r="49" spans="1:8">
      <c r="A49" s="2" t="s">
        <v>67</v>
      </c>
      <c r="B49" s="29">
        <f>B46-B43-B45</f>
        <v>1760</v>
      </c>
      <c r="C49" s="29">
        <f>B49</f>
        <v>1760</v>
      </c>
      <c r="D49" s="2" t="s">
        <v>68</v>
      </c>
    </row>
    <row r="50" spans="1:8">
      <c r="A50" s="2" t="s">
        <v>69</v>
      </c>
      <c r="B50" s="29">
        <f>B49*B44</f>
        <v>704</v>
      </c>
      <c r="C50" s="29">
        <f>B50</f>
        <v>704</v>
      </c>
      <c r="D50" s="2" t="s">
        <v>70</v>
      </c>
    </row>
    <row r="51" spans="1:8">
      <c r="A51" s="2" t="s">
        <v>71</v>
      </c>
      <c r="B51" s="29">
        <f>B43+B50</f>
        <v>6754</v>
      </c>
      <c r="C51" s="29">
        <f>B51</f>
        <v>6754</v>
      </c>
      <c r="D51" s="2" t="s">
        <v>72</v>
      </c>
    </row>
    <row r="53" spans="1:8" ht="30" customHeight="1">
      <c r="A53" s="21" t="s">
        <v>73</v>
      </c>
      <c r="B53" s="16"/>
      <c r="C53" s="16"/>
      <c r="D53" s="16"/>
      <c r="E53" s="16"/>
      <c r="F53" s="16"/>
      <c r="G53" s="16"/>
      <c r="H53" s="16"/>
    </row>
    <row r="54" spans="1:8">
      <c r="A54" s="18" t="s">
        <v>74</v>
      </c>
      <c r="B54" s="16"/>
      <c r="C54" s="16"/>
      <c r="D54" s="16"/>
      <c r="E54" s="16"/>
      <c r="F54" s="16"/>
      <c r="G54" s="16"/>
      <c r="H54" s="16"/>
    </row>
    <row r="56" spans="1:8">
      <c r="A56" s="6" t="s">
        <v>75</v>
      </c>
      <c r="B56" s="6" t="s">
        <v>76</v>
      </c>
      <c r="C56" s="6" t="s">
        <v>77</v>
      </c>
      <c r="D56" s="6" t="s">
        <v>78</v>
      </c>
      <c r="E56" s="6" t="s">
        <v>79</v>
      </c>
    </row>
    <row r="57" spans="1:8">
      <c r="A57" s="2" t="s">
        <v>80</v>
      </c>
      <c r="B57" s="26">
        <v>7200</v>
      </c>
      <c r="C57" s="27">
        <v>9800</v>
      </c>
      <c r="D57" s="27">
        <v>14000</v>
      </c>
      <c r="E57" s="2" t="s">
        <v>81</v>
      </c>
    </row>
    <row r="58" spans="1:8">
      <c r="A58" s="2" t="s">
        <v>82</v>
      </c>
      <c r="B58" s="28">
        <v>0.05</v>
      </c>
      <c r="C58" s="28">
        <v>0.1</v>
      </c>
      <c r="D58" s="28">
        <v>0.18</v>
      </c>
      <c r="E58" s="2" t="s">
        <v>83</v>
      </c>
    </row>
    <row r="59" spans="1:8">
      <c r="A59" s="2" t="s">
        <v>84</v>
      </c>
      <c r="B59" s="28">
        <v>0.55000000000000004</v>
      </c>
      <c r="C59" s="28">
        <v>0.65</v>
      </c>
      <c r="D59" s="28">
        <v>0.8</v>
      </c>
      <c r="E59" s="2" t="s">
        <v>85</v>
      </c>
    </row>
    <row r="61" spans="1:8" ht="35" customHeight="1">
      <c r="A61" s="22" t="s">
        <v>86</v>
      </c>
      <c r="B61" s="16"/>
      <c r="C61" s="16"/>
      <c r="D61" s="16"/>
      <c r="E61" s="16"/>
      <c r="F61" s="16"/>
      <c r="G61" s="16"/>
      <c r="H61" s="16"/>
    </row>
    <row r="62" spans="1:8">
      <c r="A62" s="11" t="s">
        <v>87</v>
      </c>
      <c r="B62" s="11" t="s">
        <v>88</v>
      </c>
      <c r="C62" s="11" t="s">
        <v>89</v>
      </c>
      <c r="D62" s="11" t="s">
        <v>90</v>
      </c>
    </row>
    <row r="63" spans="1:8">
      <c r="A63" s="12" t="s">
        <v>91</v>
      </c>
      <c r="B63" s="2">
        <f>(B15+B16)/B10</f>
        <v>7250</v>
      </c>
      <c r="C63" s="2" t="s">
        <v>92</v>
      </c>
      <c r="D63" s="2" t="s">
        <v>93</v>
      </c>
    </row>
    <row r="64" spans="1:8">
      <c r="A64" s="13" t="s">
        <v>94</v>
      </c>
      <c r="B64" s="2">
        <f>B51</f>
        <v>6754</v>
      </c>
      <c r="C64" s="2" t="s">
        <v>95</v>
      </c>
      <c r="D64" s="2" t="s">
        <v>96</v>
      </c>
    </row>
    <row r="65" spans="1:8">
      <c r="A65" s="14" t="s">
        <v>97</v>
      </c>
      <c r="B65" s="2">
        <f>C57</f>
        <v>9800</v>
      </c>
      <c r="C65" s="2" t="s">
        <v>98</v>
      </c>
      <c r="D65" s="2" t="s">
        <v>99</v>
      </c>
    </row>
    <row r="67" spans="1:8">
      <c r="A67" s="3" t="s">
        <v>100</v>
      </c>
      <c r="B67" s="3" t="s">
        <v>101</v>
      </c>
      <c r="C67" s="3" t="s">
        <v>102</v>
      </c>
      <c r="D67" s="3" t="s">
        <v>103</v>
      </c>
      <c r="E67" s="3" t="s">
        <v>52</v>
      </c>
    </row>
    <row r="68" spans="1:8">
      <c r="A68" s="2" t="s">
        <v>104</v>
      </c>
      <c r="B68" s="27">
        <f>B43</f>
        <v>6050</v>
      </c>
      <c r="C68" s="27">
        <f>AVERAGE(B64:B65)</f>
        <v>8277</v>
      </c>
      <c r="D68" s="27">
        <f>D57</f>
        <v>14000</v>
      </c>
      <c r="E68" s="27" t="s">
        <v>105</v>
      </c>
    </row>
    <row r="69" spans="1:8">
      <c r="A69" s="2" t="s">
        <v>106</v>
      </c>
      <c r="B69" s="27">
        <f>B63</f>
        <v>7250</v>
      </c>
      <c r="C69" s="27" t="str">
        <f>IF(B69&lt;B68,"低于下限",IF(B69&gt;D68,"高于上限","在区间内"))</f>
        <v>在区间内</v>
      </c>
      <c r="D69" s="27"/>
      <c r="E69" s="27"/>
    </row>
    <row r="71" spans="1:8" ht="19">
      <c r="A71" s="17" t="s">
        <v>107</v>
      </c>
      <c r="B71" s="16"/>
      <c r="C71" s="16"/>
      <c r="D71" s="16"/>
      <c r="E71" s="16"/>
      <c r="F71" s="16"/>
      <c r="G71" s="16"/>
      <c r="H71" s="16"/>
    </row>
    <row r="73" spans="1:8">
      <c r="A73" s="6" t="s">
        <v>108</v>
      </c>
      <c r="B73" s="6" t="s">
        <v>109</v>
      </c>
      <c r="C73" s="6" t="s">
        <v>110</v>
      </c>
    </row>
    <row r="74" spans="1:8">
      <c r="A74" s="2" t="s">
        <v>111</v>
      </c>
      <c r="B74" s="28">
        <f>C35</f>
        <v>2.215909090909091E-2</v>
      </c>
      <c r="C74" s="27" t="s">
        <v>112</v>
      </c>
    </row>
    <row r="75" spans="1:8">
      <c r="A75" s="2" t="s">
        <v>113</v>
      </c>
      <c r="B75" s="27">
        <f>B69</f>
        <v>7250</v>
      </c>
      <c r="C75" s="27" t="s">
        <v>118</v>
      </c>
    </row>
    <row r="76" spans="1:8">
      <c r="A76" s="2" t="s">
        <v>114</v>
      </c>
      <c r="B76" s="27" t="str">
        <f>IF(AND(C35&gt;="8%",C35&lt;="18%"),"稳定","风险")</f>
        <v>风险</v>
      </c>
      <c r="C76" s="27"/>
    </row>
    <row r="77" spans="1:8">
      <c r="A77" s="2" t="s">
        <v>115</v>
      </c>
      <c r="B77" s="27" t="str">
        <f>IF(C35&lt;"8%","利润偏低，关注生存",IF(C35&gt;"18%","利润偏高，可让利","利润合理，维持现状"))</f>
        <v>利润偏低，关注生存</v>
      </c>
      <c r="C77" s="27"/>
    </row>
  </sheetData>
  <mergeCells count="13">
    <mergeCell ref="A1:H1"/>
    <mergeCell ref="A38:H38"/>
    <mergeCell ref="A28:H28"/>
    <mergeCell ref="A21:C21"/>
    <mergeCell ref="A9:H9"/>
    <mergeCell ref="A71:H71"/>
    <mergeCell ref="A54:H54"/>
    <mergeCell ref="A14:C14"/>
    <mergeCell ref="A2:H2"/>
    <mergeCell ref="A53:H53"/>
    <mergeCell ref="A29:H29"/>
    <mergeCell ref="A61:H61"/>
    <mergeCell ref="A37:H37"/>
  </mergeCells>
  <phoneticPr fontId="15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sundanian</cp:lastModifiedBy>
  <dcterms:created xsi:type="dcterms:W3CDTF">2026-03-12T03:34:07Z</dcterms:created>
  <dcterms:modified xsi:type="dcterms:W3CDTF">2026-03-12T03:59:57Z</dcterms:modified>
</cp:coreProperties>
</file>