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"/>
    </mc:Choice>
  </mc:AlternateContent>
  <xr:revisionPtr revIDLastSave="0" documentId="13_ncr:1_{AF41A1BB-993F-9640-B642-324C432D81E1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成本结构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C81" i="1"/>
  <c r="C80" i="1"/>
  <c r="C76" i="1"/>
  <c r="C77" i="1"/>
  <c r="C79" i="1"/>
  <c r="C78" i="1"/>
  <c r="C75" i="1"/>
  <c r="B88" i="1"/>
  <c r="B70" i="1"/>
  <c r="C62" i="1"/>
  <c r="B62" i="1"/>
  <c r="C56" i="1"/>
  <c r="C57" i="1"/>
  <c r="C58" i="1"/>
  <c r="C59" i="1"/>
  <c r="C60" i="1"/>
  <c r="C61" i="1"/>
  <c r="B61" i="1"/>
  <c r="B86" i="1"/>
  <c r="B79" i="1"/>
  <c r="B77" i="1"/>
  <c r="B76" i="1"/>
  <c r="B75" i="1"/>
  <c r="B74" i="1"/>
  <c r="B66" i="1"/>
  <c r="B57" i="1"/>
  <c r="B56" i="1"/>
  <c r="B55" i="1"/>
  <c r="B51" i="1"/>
  <c r="C48" i="1"/>
  <c r="B44" i="1"/>
  <c r="B59" i="1" s="1"/>
  <c r="C43" i="1"/>
  <c r="C42" i="1"/>
  <c r="C41" i="1"/>
  <c r="C40" i="1"/>
  <c r="B36" i="1"/>
  <c r="B58" i="1" s="1"/>
  <c r="C35" i="1"/>
  <c r="C34" i="1"/>
  <c r="C33" i="1"/>
  <c r="D29" i="1"/>
  <c r="B29" i="1"/>
  <c r="B68" i="1" s="1"/>
  <c r="D28" i="1"/>
  <c r="C28" i="1"/>
  <c r="D27" i="1"/>
  <c r="C27" i="1"/>
  <c r="D26" i="1"/>
  <c r="C26" i="1"/>
  <c r="D25" i="1"/>
  <c r="C25" i="1"/>
  <c r="D24" i="1"/>
  <c r="C24" i="1"/>
  <c r="C29" i="1" s="1"/>
  <c r="B20" i="1"/>
  <c r="B67" i="1" s="1"/>
  <c r="C18" i="1"/>
  <c r="C17" i="1"/>
  <c r="C74" i="1" l="1"/>
  <c r="B60" i="1"/>
  <c r="B80" i="1"/>
  <c r="B81" i="1" l="1"/>
  <c r="B78" i="1"/>
  <c r="B69" i="1"/>
</calcChain>
</file>

<file path=xl/sharedStrings.xml><?xml version="1.0" encoding="utf-8"?>
<sst xmlns="http://schemas.openxmlformats.org/spreadsheetml/2006/main" count="163" uniqueCount="130">
  <si>
    <t>职场生存线调研 - 成本结构分析表</t>
  </si>
  <si>
    <t>供应商公司名称</t>
  </si>
  <si>
    <t>数据月份</t>
  </si>
  <si>
    <t>业务线</t>
  </si>
  <si>
    <t>填写日期</t>
  </si>
  <si>
    <t>职场名称</t>
  </si>
  <si>
    <t>（请填写）</t>
  </si>
  <si>
    <t>（近3个月平均）</t>
  </si>
  <si>
    <t>金条-首贷</t>
  </si>
  <si>
    <t>一、收入端</t>
  </si>
  <si>
    <t>京东当月结算金额（元）</t>
  </si>
  <si>
    <t>填写实际金额</t>
  </si>
  <si>
    <t>二、人力规模</t>
  </si>
  <si>
    <t>项目</t>
  </si>
  <si>
    <t>该业务线</t>
  </si>
  <si>
    <t>职场总人数</t>
  </si>
  <si>
    <t>备注</t>
  </si>
  <si>
    <t>坐席人数（人）</t>
  </si>
  <si>
    <t>填写实际人数</t>
  </si>
  <si>
    <t>管理人员（人）</t>
  </si>
  <si>
    <t>项目经理/组长</t>
  </si>
  <si>
    <t>坐席+管理</t>
  </si>
  <si>
    <t>三、人力成本（该业务线）</t>
  </si>
  <si>
    <t>金额（元/月）</t>
  </si>
  <si>
    <t>人均（元/月/人）</t>
  </si>
  <si>
    <t>说明</t>
  </si>
  <si>
    <t>坐席税前薪资总额</t>
  </si>
  <si>
    <t>人均×人数</t>
  </si>
  <si>
    <t>社保公积金-公司承担总额</t>
  </si>
  <si>
    <t>管理人员薪资分摊</t>
  </si>
  <si>
    <t>-</t>
  </si>
  <si>
    <t>按该业务线</t>
  </si>
  <si>
    <t>人力成本小计</t>
  </si>
  <si>
    <t>四、职场运营成本（全职场分摊）</t>
  </si>
  <si>
    <t>职场人均</t>
  </si>
  <si>
    <t>业务线分摊</t>
  </si>
  <si>
    <t>房租</t>
  </si>
  <si>
    <t>水电物业</t>
  </si>
  <si>
    <t>网费通讯</t>
  </si>
  <si>
    <t>硬件摊销</t>
  </si>
  <si>
    <t>其他运营</t>
  </si>
  <si>
    <t>职场运营成本小计</t>
  </si>
  <si>
    <t>五、激励成本（该业务线）</t>
  </si>
  <si>
    <t>人均</t>
  </si>
  <si>
    <t>节日发放（按年分摊）</t>
  </si>
  <si>
    <t>奖金提成</t>
  </si>
  <si>
    <t>团建活动（按年分摊）</t>
  </si>
  <si>
    <t>激励成本小计</t>
  </si>
  <si>
    <t>六、业务直接成本（该业务线）</t>
  </si>
  <si>
    <t>线路费</t>
  </si>
  <si>
    <t>通信费用</t>
  </si>
  <si>
    <t>系统使用费</t>
  </si>
  <si>
    <t>京音系统</t>
  </si>
  <si>
    <t>基建费用</t>
  </si>
  <si>
    <t>人脸识别/云机</t>
  </si>
  <si>
    <t>质检扣罚</t>
  </si>
  <si>
    <t>业务直接成本小计</t>
  </si>
  <si>
    <t>七、其他隐性成本</t>
  </si>
  <si>
    <t>招聘培训成本</t>
  </si>
  <si>
    <t>按年分摊</t>
  </si>
  <si>
    <t>税费（增值税及附加）</t>
  </si>
  <si>
    <t>自行填写</t>
  </si>
  <si>
    <t>账期资金成本</t>
  </si>
  <si>
    <t>如有垫资</t>
  </si>
  <si>
    <t>其他成本小计</t>
  </si>
  <si>
    <t>八、成本结构分析</t>
  </si>
  <si>
    <t>指标</t>
  </si>
  <si>
    <t>金额/数值</t>
  </si>
  <si>
    <t>占比</t>
  </si>
  <si>
    <t>京东结算金额</t>
  </si>
  <si>
    <t>总盘子</t>
  </si>
  <si>
    <t>人力成本</t>
  </si>
  <si>
    <t>税前+社保+管理</t>
  </si>
  <si>
    <t>职场运营成本</t>
  </si>
  <si>
    <t>房租+水电+网费+硬件</t>
  </si>
  <si>
    <t>激励成本</t>
  </si>
  <si>
    <t>节日+奖金+团建</t>
  </si>
  <si>
    <t>业务直接成本</t>
  </si>
  <si>
    <t>线路费+系统费+基建</t>
  </si>
  <si>
    <t>其他成本</t>
  </si>
  <si>
    <t>招聘+税费+资金</t>
  </si>
  <si>
    <t>总成本</t>
  </si>
  <si>
    <t>所有成本合计</t>
  </si>
  <si>
    <t>供应商利润</t>
  </si>
  <si>
    <t>结算-总成本</t>
  </si>
  <si>
    <t>九、人均效能分析</t>
  </si>
  <si>
    <t>数值</t>
  </si>
  <si>
    <t>人均产值</t>
  </si>
  <si>
    <t>结算÷坐席人数</t>
  </si>
  <si>
    <t>人均人力成本</t>
  </si>
  <si>
    <t>人力成本÷坐席人数</t>
  </si>
  <si>
    <t>人均刚性成本</t>
  </si>
  <si>
    <t>（职场+激励+业务+其他）÷人数</t>
  </si>
  <si>
    <t>人均供应商利润</t>
  </si>
  <si>
    <t>利润÷坐席人数</t>
  </si>
  <si>
    <t>人均刚性成本/人均产值</t>
  </si>
  <si>
    <t>刚性成本占比</t>
  </si>
  <si>
    <t>十、利益分配分析</t>
  </si>
  <si>
    <t>金额（元）</t>
  </si>
  <si>
    <t>总盘子（京东结算）</t>
  </si>
  <si>
    <t>分配给坐席</t>
  </si>
  <si>
    <t>税前薪资+社保</t>
  </si>
  <si>
    <t xml:space="preserve">  - 税前薪资</t>
  </si>
  <si>
    <t>坐席直接收入</t>
  </si>
  <si>
    <t xml:space="preserve">  - 社保公积金</t>
  </si>
  <si>
    <t>公司承担部分</t>
  </si>
  <si>
    <t>分配给公司</t>
  </si>
  <si>
    <t>管理+激励+利润</t>
  </si>
  <si>
    <t xml:space="preserve">  - 管理分摊</t>
  </si>
  <si>
    <t xml:space="preserve">  - 激励成本</t>
  </si>
  <si>
    <t xml:space="preserve">  - 供应商利润</t>
  </si>
  <si>
    <t>坐席/公司收入比</t>
  </si>
  <si>
    <t>坐席收入÷公司收入</t>
  </si>
  <si>
    <t>十一、生存线对比</t>
  </si>
  <si>
    <t>差异</t>
  </si>
  <si>
    <t>坐席人均收入（税前+社保）</t>
  </si>
  <si>
    <t>合理收入水平</t>
  </si>
  <si>
    <t>实际坐席税后到手</t>
  </si>
  <si>
    <t>供应商填写</t>
  </si>
  <si>
    <t>差异（合理-实际）</t>
  </si>
  <si>
    <t>差额</t>
  </si>
  <si>
    <t>十二、补充说明</t>
  </si>
  <si>
    <t>如有其他需要说明的内容，请填写：</t>
  </si>
  <si>
    <t>填表说明：</t>
  </si>
  <si>
    <t>1. 请填写最近一个完整月份的数据</t>
  </si>
  <si>
    <t>2. 职场人均用于分析职场运营效率</t>
  </si>
  <si>
    <t>3. 成本结构分析中占比为占结算金额比例</t>
  </si>
  <si>
    <t>4. 人均效能分析关注单位投入产出</t>
  </si>
  <si>
    <t>5. 利益分配分析显示坐席vs公司收入分配</t>
  </si>
  <si>
    <t>6. 数据仅供内部分析使用，严格保密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</si>
</sst>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>
    <font>
      <sz val="11"/>
      <color theme="1"/>
      <name val="宋体"/>
      <family val="2"/>
      <scheme val="minor"/>
    </font>
    <font>
      <b/>
      <sz val="18"/>
      <color rgb="FFC8161D"/>
      <name val="宋体"/>
      <family val="3"/>
      <charset val="134"/>
    </font>
    <font>
      <b/>
      <sz val="10"/>
      <name val="宋体"/>
      <family val="3"/>
      <charset val="134"/>
    </font>
    <font>
      <b/>
      <sz val="12"/>
      <color rgb="FFC8161D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9" fontId="0" fillId="0" borderId="1" xfId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1" applyNumberFormat="1" applyFont="1" applyBorder="1" applyAlignment="1">
      <alignment vertical="center"/>
    </xf>
    <xf numFmtId="9" fontId="0" fillId="0" borderId="1" xfId="0" applyNumberFormat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topLeftCell="A60" workbookViewId="0">
      <selection activeCell="A86" sqref="A86"/>
    </sheetView>
  </sheetViews>
  <sheetFormatPr baseColWidth="10" defaultColWidth="8.83203125" defaultRowHeight="14"/>
  <cols>
    <col min="1" max="1" width="30" style="7" customWidth="1"/>
    <col min="2" max="2" width="16" style="7" customWidth="1"/>
    <col min="3" max="3" width="14" style="7" customWidth="1"/>
    <col min="4" max="4" width="18" style="7" customWidth="1"/>
    <col min="5" max="5" width="15" style="7" customWidth="1"/>
    <col min="6" max="16384" width="8.83203125" style="7"/>
  </cols>
  <sheetData>
    <row r="1" spans="1:5" ht="35" customHeight="1">
      <c r="A1" s="4" t="s">
        <v>0</v>
      </c>
      <c r="B1" s="6"/>
      <c r="C1" s="6"/>
      <c r="D1" s="6"/>
      <c r="E1" s="6"/>
    </row>
    <row r="3" spans="1:5" ht="18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8" customHeight="1">
      <c r="A4" s="2" t="s">
        <v>6</v>
      </c>
      <c r="B4" s="2" t="s">
        <v>7</v>
      </c>
      <c r="C4" s="2" t="s">
        <v>8</v>
      </c>
      <c r="D4" s="2"/>
      <c r="E4" s="2" t="s">
        <v>6</v>
      </c>
    </row>
    <row r="6" spans="1:5" ht="25" customHeight="1">
      <c r="A6" s="8" t="s">
        <v>9</v>
      </c>
    </row>
    <row r="7" spans="1:5" ht="18" customHeight="1">
      <c r="A7" s="9" t="s">
        <v>10</v>
      </c>
      <c r="B7" s="10">
        <v>800000</v>
      </c>
      <c r="C7" s="9" t="s">
        <v>11</v>
      </c>
    </row>
    <row r="9" spans="1:5" ht="25" customHeight="1">
      <c r="A9" s="8" t="s">
        <v>12</v>
      </c>
    </row>
    <row r="10" spans="1:5" ht="20" customHeight="1">
      <c r="A10" s="1" t="s">
        <v>13</v>
      </c>
      <c r="B10" s="1" t="s">
        <v>14</v>
      </c>
      <c r="C10" s="1" t="s">
        <v>15</v>
      </c>
      <c r="D10" s="1" t="s">
        <v>16</v>
      </c>
    </row>
    <row r="11" spans="1:5" ht="18" customHeight="1">
      <c r="A11" s="9" t="s">
        <v>17</v>
      </c>
      <c r="B11" s="9">
        <v>50</v>
      </c>
      <c r="C11" s="9">
        <v>100</v>
      </c>
      <c r="D11" s="9" t="s">
        <v>18</v>
      </c>
    </row>
    <row r="12" spans="1:5" ht="18" customHeight="1">
      <c r="A12" s="9" t="s">
        <v>19</v>
      </c>
      <c r="B12" s="9">
        <v>5</v>
      </c>
      <c r="C12" s="9">
        <v>10</v>
      </c>
      <c r="D12" s="9" t="s">
        <v>20</v>
      </c>
    </row>
    <row r="13" spans="1:5" ht="18" customHeight="1">
      <c r="A13" s="9" t="s">
        <v>15</v>
      </c>
      <c r="B13" s="9">
        <v>55</v>
      </c>
      <c r="C13" s="9">
        <v>110</v>
      </c>
      <c r="D13" s="9" t="s">
        <v>21</v>
      </c>
    </row>
    <row r="15" spans="1:5" ht="25" customHeight="1">
      <c r="A15" s="8" t="s">
        <v>22</v>
      </c>
    </row>
    <row r="16" spans="1:5" ht="20" customHeight="1">
      <c r="A16" s="1" t="s">
        <v>13</v>
      </c>
      <c r="B16" s="1" t="s">
        <v>23</v>
      </c>
      <c r="C16" s="1" t="s">
        <v>24</v>
      </c>
      <c r="D16" s="1" t="s">
        <v>25</v>
      </c>
    </row>
    <row r="17" spans="1:4" ht="18" customHeight="1">
      <c r="A17" s="9" t="s">
        <v>26</v>
      </c>
      <c r="B17" s="10">
        <v>450000</v>
      </c>
      <c r="C17" s="9">
        <f>B17/B11</f>
        <v>9000</v>
      </c>
      <c r="D17" s="9" t="s">
        <v>27</v>
      </c>
    </row>
    <row r="18" spans="1:4" ht="18" customHeight="1">
      <c r="A18" s="9" t="s">
        <v>28</v>
      </c>
      <c r="B18" s="10">
        <v>75000</v>
      </c>
      <c r="C18" s="9">
        <f>B17/B11</f>
        <v>9000</v>
      </c>
      <c r="D18" s="9" t="s">
        <v>27</v>
      </c>
    </row>
    <row r="19" spans="1:4" ht="18" customHeight="1">
      <c r="A19" s="9" t="s">
        <v>29</v>
      </c>
      <c r="B19" s="10">
        <v>30000</v>
      </c>
      <c r="C19" s="9" t="s">
        <v>30</v>
      </c>
      <c r="D19" s="9" t="s">
        <v>31</v>
      </c>
    </row>
    <row r="20" spans="1:4" ht="20" customHeight="1">
      <c r="A20" s="11" t="s">
        <v>32</v>
      </c>
      <c r="B20" s="11">
        <f>SUM(B17:B19)</f>
        <v>555000</v>
      </c>
      <c r="C20" s="11"/>
      <c r="D20" s="11"/>
    </row>
    <row r="22" spans="1:4" ht="25" customHeight="1">
      <c r="A22" s="8" t="s">
        <v>33</v>
      </c>
    </row>
    <row r="23" spans="1:4" ht="20" customHeight="1">
      <c r="A23" s="1" t="s">
        <v>13</v>
      </c>
      <c r="B23" s="1" t="s">
        <v>23</v>
      </c>
      <c r="C23" s="1" t="s">
        <v>34</v>
      </c>
      <c r="D23" s="1" t="s">
        <v>35</v>
      </c>
    </row>
    <row r="24" spans="1:4" ht="18" customHeight="1">
      <c r="A24" s="9" t="s">
        <v>36</v>
      </c>
      <c r="B24" s="10">
        <v>30000</v>
      </c>
      <c r="C24" s="9">
        <f>B24/C13</f>
        <v>272.72727272727275</v>
      </c>
      <c r="D24" s="9">
        <f>B24*B11/C13</f>
        <v>13636.363636363636</v>
      </c>
    </row>
    <row r="25" spans="1:4" ht="18" customHeight="1">
      <c r="A25" s="9" t="s">
        <v>37</v>
      </c>
      <c r="B25" s="10">
        <v>8000</v>
      </c>
      <c r="C25" s="9">
        <f>B24/C13</f>
        <v>272.72727272727275</v>
      </c>
      <c r="D25" s="9">
        <f>B24*B11/C13</f>
        <v>13636.363636363636</v>
      </c>
    </row>
    <row r="26" spans="1:4" ht="18" customHeight="1">
      <c r="A26" s="9" t="s">
        <v>38</v>
      </c>
      <c r="B26" s="10">
        <v>3000</v>
      </c>
      <c r="C26" s="9">
        <f>B24/C13</f>
        <v>272.72727272727275</v>
      </c>
      <c r="D26" s="9">
        <f>B24*B11/C13</f>
        <v>13636.363636363636</v>
      </c>
    </row>
    <row r="27" spans="1:4" ht="18" customHeight="1">
      <c r="A27" s="9" t="s">
        <v>39</v>
      </c>
      <c r="B27" s="10">
        <v>5000</v>
      </c>
      <c r="C27" s="9">
        <f>B24/C13</f>
        <v>272.72727272727275</v>
      </c>
      <c r="D27" s="9">
        <f>B24*B11/C13</f>
        <v>13636.363636363636</v>
      </c>
    </row>
    <row r="28" spans="1:4" ht="18" customHeight="1">
      <c r="A28" s="9" t="s">
        <v>40</v>
      </c>
      <c r="B28" s="10">
        <v>4000</v>
      </c>
      <c r="C28" s="9">
        <f>B24/C13</f>
        <v>272.72727272727275</v>
      </c>
      <c r="D28" s="9">
        <f>B24*B11/C13</f>
        <v>13636.363636363636</v>
      </c>
    </row>
    <row r="29" spans="1:4" ht="20" customHeight="1">
      <c r="A29" s="11" t="s">
        <v>41</v>
      </c>
      <c r="B29" s="11">
        <f>SUM(B24:B28)</f>
        <v>50000</v>
      </c>
      <c r="C29" s="11">
        <f>SUM(C24:C28)</f>
        <v>1363.6363636363637</v>
      </c>
      <c r="D29" s="11">
        <f>SUM(D24:D28)</f>
        <v>68181.818181818177</v>
      </c>
    </row>
    <row r="31" spans="1:4" ht="25" customHeight="1">
      <c r="A31" s="8" t="s">
        <v>42</v>
      </c>
    </row>
    <row r="32" spans="1:4" ht="20" customHeight="1">
      <c r="A32" s="1" t="s">
        <v>13</v>
      </c>
      <c r="B32" s="1" t="s">
        <v>23</v>
      </c>
      <c r="C32" s="1" t="s">
        <v>43</v>
      </c>
      <c r="D32" s="1" t="s">
        <v>25</v>
      </c>
    </row>
    <row r="33" spans="1:4" ht="18" customHeight="1">
      <c r="A33" s="9" t="s">
        <v>44</v>
      </c>
      <c r="B33" s="10">
        <v>5000</v>
      </c>
      <c r="C33" s="9">
        <f>B33/B11</f>
        <v>100</v>
      </c>
      <c r="D33" s="9"/>
    </row>
    <row r="34" spans="1:4" ht="18" customHeight="1">
      <c r="A34" s="9" t="s">
        <v>45</v>
      </c>
      <c r="B34" s="10">
        <v>20000</v>
      </c>
      <c r="C34" s="9">
        <f>B33/B11</f>
        <v>100</v>
      </c>
      <c r="D34" s="9"/>
    </row>
    <row r="35" spans="1:4" ht="18" customHeight="1">
      <c r="A35" s="9" t="s">
        <v>46</v>
      </c>
      <c r="B35" s="10">
        <v>2000</v>
      </c>
      <c r="C35" s="9">
        <f>B33/B11</f>
        <v>100</v>
      </c>
      <c r="D35" s="9"/>
    </row>
    <row r="36" spans="1:4" ht="20" customHeight="1">
      <c r="A36" s="11" t="s">
        <v>47</v>
      </c>
      <c r="B36" s="11">
        <f>SUM(B33:B35)</f>
        <v>27000</v>
      </c>
      <c r="C36" s="11"/>
      <c r="D36" s="11"/>
    </row>
    <row r="38" spans="1:4" ht="25" customHeight="1">
      <c r="A38" s="8" t="s">
        <v>48</v>
      </c>
    </row>
    <row r="39" spans="1:4" ht="20" customHeight="1">
      <c r="A39" s="1" t="s">
        <v>13</v>
      </c>
      <c r="B39" s="1" t="s">
        <v>23</v>
      </c>
      <c r="C39" s="1" t="s">
        <v>43</v>
      </c>
      <c r="D39" s="1" t="s">
        <v>25</v>
      </c>
    </row>
    <row r="40" spans="1:4" ht="18" customHeight="1">
      <c r="A40" s="9" t="s">
        <v>49</v>
      </c>
      <c r="B40" s="10">
        <v>8000</v>
      </c>
      <c r="C40" s="9">
        <f>B40/B11</f>
        <v>160</v>
      </c>
      <c r="D40" s="9" t="s">
        <v>50</v>
      </c>
    </row>
    <row r="41" spans="1:4" ht="18" customHeight="1">
      <c r="A41" s="9" t="s">
        <v>51</v>
      </c>
      <c r="B41" s="10">
        <v>5000</v>
      </c>
      <c r="C41" s="9">
        <f>B40/B11</f>
        <v>160</v>
      </c>
      <c r="D41" s="9" t="s">
        <v>52</v>
      </c>
    </row>
    <row r="42" spans="1:4" ht="18" customHeight="1">
      <c r="A42" s="9" t="s">
        <v>53</v>
      </c>
      <c r="B42" s="10">
        <v>3000</v>
      </c>
      <c r="C42" s="9">
        <f>B40/B11</f>
        <v>160</v>
      </c>
      <c r="D42" s="9" t="s">
        <v>54</v>
      </c>
    </row>
    <row r="43" spans="1:4" ht="18" customHeight="1">
      <c r="A43" s="9" t="s">
        <v>55</v>
      </c>
      <c r="B43" s="10">
        <v>2000</v>
      </c>
      <c r="C43" s="9">
        <f>B40/B11</f>
        <v>160</v>
      </c>
      <c r="D43" s="9"/>
    </row>
    <row r="44" spans="1:4" ht="20" customHeight="1">
      <c r="A44" s="11" t="s">
        <v>56</v>
      </c>
      <c r="B44" s="11">
        <f>SUM(B40:B43)</f>
        <v>18000</v>
      </c>
      <c r="C44" s="11"/>
      <c r="D44" s="11"/>
    </row>
    <row r="46" spans="1:4" ht="25" customHeight="1">
      <c r="A46" s="8" t="s">
        <v>57</v>
      </c>
    </row>
    <row r="47" spans="1:4" ht="20" customHeight="1">
      <c r="A47" s="1" t="s">
        <v>13</v>
      </c>
      <c r="B47" s="1" t="s">
        <v>23</v>
      </c>
      <c r="C47" s="1" t="s">
        <v>43</v>
      </c>
      <c r="D47" s="1" t="s">
        <v>25</v>
      </c>
    </row>
    <row r="48" spans="1:4" ht="18" customHeight="1">
      <c r="A48" s="9" t="s">
        <v>58</v>
      </c>
      <c r="B48" s="10">
        <v>4000</v>
      </c>
      <c r="C48" s="9">
        <f>B48/B11</f>
        <v>80</v>
      </c>
      <c r="D48" s="9" t="s">
        <v>59</v>
      </c>
    </row>
    <row r="49" spans="1:4" ht="18" customHeight="1">
      <c r="A49" s="9" t="s">
        <v>60</v>
      </c>
      <c r="B49" s="9">
        <v>0</v>
      </c>
      <c r="C49" s="9" t="s">
        <v>30</v>
      </c>
      <c r="D49" s="9" t="s">
        <v>61</v>
      </c>
    </row>
    <row r="50" spans="1:4" ht="18" customHeight="1">
      <c r="A50" s="9" t="s">
        <v>62</v>
      </c>
      <c r="B50" s="9">
        <v>0</v>
      </c>
      <c r="C50" s="9" t="s">
        <v>30</v>
      </c>
      <c r="D50" s="9" t="s">
        <v>63</v>
      </c>
    </row>
    <row r="51" spans="1:4" ht="20" customHeight="1">
      <c r="A51" s="11" t="s">
        <v>64</v>
      </c>
      <c r="B51" s="11">
        <f>SUM(B48:B50)</f>
        <v>4000</v>
      </c>
      <c r="C51" s="11"/>
      <c r="D51" s="11"/>
    </row>
    <row r="53" spans="1:4" ht="25" customHeight="1">
      <c r="A53" s="8" t="s">
        <v>65</v>
      </c>
    </row>
    <row r="54" spans="1:4" ht="20" customHeight="1">
      <c r="A54" s="3" t="s">
        <v>66</v>
      </c>
      <c r="B54" s="3" t="s">
        <v>67</v>
      </c>
      <c r="C54" s="3" t="s">
        <v>68</v>
      </c>
      <c r="D54" s="3" t="s">
        <v>25</v>
      </c>
    </row>
    <row r="55" spans="1:4" ht="18" customHeight="1">
      <c r="A55" s="9" t="s">
        <v>69</v>
      </c>
      <c r="B55" s="9">
        <f>B7</f>
        <v>800000</v>
      </c>
      <c r="C55" s="12" t="s">
        <v>30</v>
      </c>
      <c r="D55" s="9" t="s">
        <v>70</v>
      </c>
    </row>
    <row r="56" spans="1:4" ht="18" customHeight="1">
      <c r="A56" s="9" t="s">
        <v>71</v>
      </c>
      <c r="B56" s="9">
        <f>B20</f>
        <v>555000</v>
      </c>
      <c r="C56" s="12">
        <f>B56/B55</f>
        <v>0.69374999999999998</v>
      </c>
      <c r="D56" s="9" t="s">
        <v>72</v>
      </c>
    </row>
    <row r="57" spans="1:4" ht="18" customHeight="1">
      <c r="A57" s="9" t="s">
        <v>73</v>
      </c>
      <c r="B57" s="9">
        <f>B29</f>
        <v>50000</v>
      </c>
      <c r="C57" s="12">
        <f>B57/B55</f>
        <v>6.25E-2</v>
      </c>
      <c r="D57" s="9" t="s">
        <v>74</v>
      </c>
    </row>
    <row r="58" spans="1:4" ht="18" customHeight="1">
      <c r="A58" s="9" t="s">
        <v>75</v>
      </c>
      <c r="B58" s="9">
        <f>B36</f>
        <v>27000</v>
      </c>
      <c r="C58" s="12">
        <f>B58/B55</f>
        <v>3.3750000000000002E-2</v>
      </c>
      <c r="D58" s="9" t="s">
        <v>76</v>
      </c>
    </row>
    <row r="59" spans="1:4" ht="18" customHeight="1">
      <c r="A59" s="9" t="s">
        <v>77</v>
      </c>
      <c r="B59" s="9">
        <f>B44</f>
        <v>18000</v>
      </c>
      <c r="C59" s="12">
        <f>B59/B55</f>
        <v>2.2499999999999999E-2</v>
      </c>
      <c r="D59" s="9" t="s">
        <v>78</v>
      </c>
    </row>
    <row r="60" spans="1:4" ht="18" customHeight="1">
      <c r="A60" s="9" t="s">
        <v>79</v>
      </c>
      <c r="B60" s="9">
        <f>B51</f>
        <v>4000</v>
      </c>
      <c r="C60" s="12">
        <f>B60/B55</f>
        <v>5.0000000000000001E-3</v>
      </c>
      <c r="D60" s="9" t="s">
        <v>80</v>
      </c>
    </row>
    <row r="61" spans="1:4" ht="18" customHeight="1">
      <c r="A61" s="9" t="s">
        <v>81</v>
      </c>
      <c r="B61" s="9">
        <f>B20+B29+B36+B44+B51</f>
        <v>654000</v>
      </c>
      <c r="C61" s="12">
        <f>B61/B55</f>
        <v>0.8175</v>
      </c>
      <c r="D61" s="9" t="s">
        <v>82</v>
      </c>
    </row>
    <row r="62" spans="1:4" ht="18" customHeight="1">
      <c r="A62" s="13" t="s">
        <v>83</v>
      </c>
      <c r="B62" s="13">
        <f>B55-B61</f>
        <v>146000</v>
      </c>
      <c r="C62" s="14">
        <f>B62/B55</f>
        <v>0.1825</v>
      </c>
      <c r="D62" s="13" t="s">
        <v>84</v>
      </c>
    </row>
    <row r="64" spans="1:4" ht="25" customHeight="1">
      <c r="A64" s="8" t="s">
        <v>85</v>
      </c>
    </row>
    <row r="65" spans="1:4" ht="20" customHeight="1">
      <c r="A65" s="3" t="s">
        <v>66</v>
      </c>
      <c r="B65" s="3" t="s">
        <v>86</v>
      </c>
      <c r="C65" s="3" t="s">
        <v>25</v>
      </c>
    </row>
    <row r="66" spans="1:4" ht="18" customHeight="1">
      <c r="A66" s="9" t="s">
        <v>87</v>
      </c>
      <c r="B66" s="9">
        <f>B7/B11</f>
        <v>16000</v>
      </c>
      <c r="C66" s="9" t="s">
        <v>88</v>
      </c>
    </row>
    <row r="67" spans="1:4" ht="18" customHeight="1">
      <c r="A67" s="9" t="s">
        <v>89</v>
      </c>
      <c r="B67" s="9">
        <f>B20/B11</f>
        <v>11100</v>
      </c>
      <c r="C67" s="9" t="s">
        <v>90</v>
      </c>
    </row>
    <row r="68" spans="1:4" ht="18" customHeight="1">
      <c r="A68" s="9" t="s">
        <v>91</v>
      </c>
      <c r="B68" s="9">
        <f>(B29+B36+B44+B51)/B11</f>
        <v>1980</v>
      </c>
      <c r="C68" s="9" t="s">
        <v>92</v>
      </c>
    </row>
    <row r="69" spans="1:4" ht="18" customHeight="1">
      <c r="A69" s="9" t="s">
        <v>93</v>
      </c>
      <c r="B69" s="9">
        <f>B62/B11</f>
        <v>2920</v>
      </c>
      <c r="C69" s="9" t="s">
        <v>94</v>
      </c>
    </row>
    <row r="70" spans="1:4" ht="18" customHeight="1">
      <c r="A70" s="9" t="s">
        <v>95</v>
      </c>
      <c r="B70" s="15">
        <f>B68/B66</f>
        <v>0.12375</v>
      </c>
      <c r="C70" s="12" t="s">
        <v>96</v>
      </c>
    </row>
    <row r="72" spans="1:4" ht="25" customHeight="1">
      <c r="A72" s="8" t="s">
        <v>97</v>
      </c>
    </row>
    <row r="73" spans="1:4" ht="20" customHeight="1">
      <c r="A73" s="3" t="s">
        <v>13</v>
      </c>
      <c r="B73" s="3" t="s">
        <v>98</v>
      </c>
      <c r="C73" s="3" t="s">
        <v>68</v>
      </c>
      <c r="D73" s="3" t="s">
        <v>25</v>
      </c>
    </row>
    <row r="74" spans="1:4" ht="18" customHeight="1">
      <c r="A74" s="9" t="s">
        <v>99</v>
      </c>
      <c r="B74" s="9">
        <f>B7</f>
        <v>800000</v>
      </c>
      <c r="C74" s="20">
        <f>B74/B74</f>
        <v>1</v>
      </c>
      <c r="D74" s="23">
        <v>1</v>
      </c>
    </row>
    <row r="75" spans="1:4" ht="18" customHeight="1">
      <c r="A75" s="9" t="s">
        <v>100</v>
      </c>
      <c r="B75" s="9">
        <f>B17+B18</f>
        <v>525000</v>
      </c>
      <c r="C75" s="20">
        <f>B75/B74</f>
        <v>0.65625</v>
      </c>
      <c r="D75" s="9" t="s">
        <v>101</v>
      </c>
    </row>
    <row r="76" spans="1:4" ht="18" customHeight="1">
      <c r="A76" s="5" t="s">
        <v>102</v>
      </c>
      <c r="B76" s="9">
        <f>B17</f>
        <v>450000</v>
      </c>
      <c r="C76" s="12">
        <f>B76/B74</f>
        <v>0.5625</v>
      </c>
      <c r="D76" s="9" t="s">
        <v>103</v>
      </c>
    </row>
    <row r="77" spans="1:4" ht="18" customHeight="1">
      <c r="A77" s="5" t="s">
        <v>104</v>
      </c>
      <c r="B77" s="9">
        <f>B18</f>
        <v>75000</v>
      </c>
      <c r="C77" s="12">
        <f>B77/B74</f>
        <v>9.375E-2</v>
      </c>
      <c r="D77" s="9" t="s">
        <v>105</v>
      </c>
    </row>
    <row r="78" spans="1:4" ht="18" customHeight="1">
      <c r="A78" s="9" t="s">
        <v>106</v>
      </c>
      <c r="B78" s="9">
        <f>B19+B36+B62</f>
        <v>203000</v>
      </c>
      <c r="C78" s="20">
        <f>B78/B74</f>
        <v>0.25374999999999998</v>
      </c>
      <c r="D78" s="9" t="s">
        <v>107</v>
      </c>
    </row>
    <row r="79" spans="1:4" ht="18" customHeight="1">
      <c r="A79" s="5" t="s">
        <v>108</v>
      </c>
      <c r="B79" s="9">
        <f>B19</f>
        <v>30000</v>
      </c>
      <c r="C79" s="21">
        <f>B79/B74</f>
        <v>3.7499999999999999E-2</v>
      </c>
      <c r="D79" s="9"/>
    </row>
    <row r="80" spans="1:4" ht="18" customHeight="1">
      <c r="A80" s="5" t="s">
        <v>109</v>
      </c>
      <c r="B80" s="9">
        <f>B36</f>
        <v>27000</v>
      </c>
      <c r="C80" s="12">
        <f>B80/B74</f>
        <v>3.3750000000000002E-2</v>
      </c>
      <c r="D80" s="9"/>
    </row>
    <row r="81" spans="1:5" ht="18" customHeight="1">
      <c r="A81" s="5" t="s">
        <v>110</v>
      </c>
      <c r="B81" s="9">
        <f>B62</f>
        <v>146000</v>
      </c>
      <c r="C81" s="12">
        <f>B81/B74</f>
        <v>0.1825</v>
      </c>
      <c r="D81" s="9"/>
    </row>
    <row r="82" spans="1:5" ht="18" customHeight="1">
      <c r="A82" s="9" t="s">
        <v>111</v>
      </c>
      <c r="B82" s="22">
        <f>B75/B74</f>
        <v>0.65625</v>
      </c>
      <c r="C82" s="9" t="s">
        <v>30</v>
      </c>
      <c r="D82" s="9" t="s">
        <v>112</v>
      </c>
    </row>
    <row r="84" spans="1:5" ht="25" customHeight="1">
      <c r="A84" s="8" t="s">
        <v>113</v>
      </c>
    </row>
    <row r="85" spans="1:5" ht="20" customHeight="1">
      <c r="A85" s="3" t="s">
        <v>66</v>
      </c>
      <c r="B85" s="3" t="s">
        <v>86</v>
      </c>
      <c r="C85" s="3" t="s">
        <v>114</v>
      </c>
      <c r="D85" s="3" t="s">
        <v>25</v>
      </c>
    </row>
    <row r="86" spans="1:5" ht="18" customHeight="1">
      <c r="A86" s="9" t="s">
        <v>115</v>
      </c>
      <c r="B86" s="9">
        <f>(B17+B18)/B11</f>
        <v>10500</v>
      </c>
      <c r="C86" s="9" t="s">
        <v>30</v>
      </c>
      <c r="D86" s="9" t="s">
        <v>116</v>
      </c>
    </row>
    <row r="87" spans="1:5" ht="18" customHeight="1">
      <c r="A87" s="9" t="s">
        <v>117</v>
      </c>
      <c r="B87" s="10">
        <v>7500</v>
      </c>
      <c r="C87" s="9" t="s">
        <v>30</v>
      </c>
      <c r="D87" s="9" t="s">
        <v>118</v>
      </c>
    </row>
    <row r="88" spans="1:5" ht="18" customHeight="1">
      <c r="A88" s="9" t="s">
        <v>119</v>
      </c>
      <c r="B88" s="16">
        <f>B86-B87</f>
        <v>3000</v>
      </c>
      <c r="C88" s="9" t="s">
        <v>30</v>
      </c>
      <c r="D88" s="9" t="s">
        <v>120</v>
      </c>
    </row>
    <row r="90" spans="1:5" ht="25" customHeight="1">
      <c r="A90" s="8" t="s">
        <v>121</v>
      </c>
    </row>
    <row r="91" spans="1:5" ht="18" customHeight="1">
      <c r="A91" s="7" t="s">
        <v>122</v>
      </c>
    </row>
    <row r="92" spans="1:5">
      <c r="A92" s="17"/>
      <c r="B92" s="17"/>
      <c r="C92" s="17"/>
      <c r="D92" s="17"/>
      <c r="E92" s="17"/>
    </row>
    <row r="93" spans="1:5">
      <c r="A93" s="6"/>
      <c r="B93" s="6"/>
      <c r="C93" s="6"/>
      <c r="D93" s="6"/>
      <c r="E93" s="6"/>
    </row>
    <row r="94" spans="1:5">
      <c r="A94" s="6"/>
      <c r="B94" s="6"/>
      <c r="C94" s="6"/>
      <c r="D94" s="6"/>
      <c r="E94" s="6"/>
    </row>
    <row r="96" spans="1:5" ht="18" customHeight="1">
      <c r="A96" s="18" t="s">
        <v>123</v>
      </c>
    </row>
    <row r="97" spans="1:1" ht="18" customHeight="1">
      <c r="A97" s="19" t="s">
        <v>124</v>
      </c>
    </row>
    <row r="98" spans="1:1" ht="18" customHeight="1">
      <c r="A98" s="19" t="s">
        <v>125</v>
      </c>
    </row>
    <row r="99" spans="1:1" ht="18" customHeight="1">
      <c r="A99" s="19" t="s">
        <v>126</v>
      </c>
    </row>
    <row r="100" spans="1:1" ht="18" customHeight="1">
      <c r="A100" s="19" t="s">
        <v>127</v>
      </c>
    </row>
    <row r="101" spans="1:1" ht="18" customHeight="1">
      <c r="A101" s="19" t="s">
        <v>128</v>
      </c>
    </row>
    <row r="102" spans="1:1" ht="18" customHeight="1">
      <c r="A102" s="19" t="s">
        <v>129</v>
      </c>
    </row>
  </sheetData>
  <mergeCells count="2">
    <mergeCell ref="A1:E1"/>
    <mergeCell ref="A92:E9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成本结构分析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2026-03-12T02:57:13Z</dcterms:created>
  <dcterms:modified xsi:type="dcterms:W3CDTF">2026-03-12T03:16:27Z</dcterms:modified>
</cp:coreProperties>
</file>