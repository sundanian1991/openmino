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诊断总览" sheetId="1" state="visible" r:id="rId1"/>
    <sheet xmlns:r="http://schemas.openxmlformats.org/officeDocument/2006/relationships" name="②收入拆解(量-价-率)" sheetId="2" state="visible" r:id="rId2"/>
    <sheet xmlns:r="http://schemas.openxmlformats.org/officeDocument/2006/relationships" name="③供应商异常矩阵" sheetId="3" state="visible" r:id="rId3"/>
    <sheet xmlns:r="http://schemas.openxmlformats.org/officeDocument/2006/relationships" name="④结构漂移分析" sheetId="4" state="visible" r:id="rId4"/>
    <sheet xmlns:r="http://schemas.openxmlformats.org/officeDocument/2006/relationships" name="⑤场景模拟(70+还款率)" sheetId="5" state="visible" r:id="rId5"/>
    <sheet xmlns:r="http://schemas.openxmlformats.org/officeDocument/2006/relationships" name="⑥清洗后明细总表" sheetId="6" state="visible" r:id="rId6"/>
    <sheet xmlns:r="http://schemas.openxmlformats.org/officeDocument/2006/relationships" name="⑦字段说明" sheetId="7" state="visible" r:id="rId7"/>
  </sheets>
  <definedNames>
    <definedName name="_xlnm._FilterDatabase" localSheetId="5" hidden="1">'⑥清洗后明细总表'!$A$1:$W$271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"/>
    <numFmt numFmtId="166" formatCode="+0.0%;-0.0%"/>
    <numFmt numFmtId="167" formatCode="0.0%"/>
    <numFmt numFmtId="168" formatCode="0.000"/>
    <numFmt numFmtId="169" formatCode="0.0000"/>
  </numFmts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F5496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4" fillId="0" borderId="0" pivotButton="0" quotePrefix="0" xfId="0"/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电销人机结算诊断报告</t>
        </is>
      </c>
    </row>
    <row r="2">
      <c r="A2" s="2" t="inlineStr">
        <is>
          <t>数据范围: 2025-12 ~ 2026-06 | 供应商: 22家 | 人机供应商: 9家 | 总记录: 270条</t>
        </is>
      </c>
    </row>
    <row r="3"/>
    <row r="4">
      <c r="A4" s="3" t="inlineStr">
        <is>
          <t>关键指标</t>
        </is>
      </c>
      <c r="B4" s="3" t="inlineStr">
        <is>
          <t>2025-12</t>
        </is>
      </c>
      <c r="C4" s="3" t="inlineStr">
        <is>
          <t>2026-01</t>
        </is>
      </c>
      <c r="D4" s="3" t="inlineStr">
        <is>
          <t>2026-02</t>
        </is>
      </c>
      <c r="E4" s="3" t="inlineStr">
        <is>
          <t>2026-03</t>
        </is>
      </c>
      <c r="F4" s="3" t="inlineStr">
        <is>
          <t>2026-04</t>
        </is>
      </c>
      <c r="G4" s="3" t="inlineStr">
        <is>
          <t>2026-05</t>
        </is>
      </c>
      <c r="H4" s="3" t="inlineStr">
        <is>
          <t>趋势</t>
        </is>
      </c>
    </row>
    <row r="5">
      <c r="A5" s="4" t="inlineStr">
        <is>
          <t>人机 单用户到手薪资(元)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人机 总到手薪资(万元)</t>
        </is>
      </c>
      <c r="B6" s="5" t="n">
        <v>58</v>
      </c>
      <c r="C6" s="5" t="n">
        <v>64.5</v>
      </c>
      <c r="D6" s="5" t="n">
        <v>55.8</v>
      </c>
      <c r="E6" s="5" t="n">
        <v>51.6</v>
      </c>
      <c r="F6" s="5" t="n">
        <v>36.8</v>
      </c>
      <c r="G6" s="5" t="n">
        <v>29.2</v>
      </c>
      <c r="H6" s="5" t="n">
        <v>36.9</v>
      </c>
    </row>
    <row r="7">
      <c r="A7" s="4" t="inlineStr">
        <is>
          <t>人机 线路费占比(%)</t>
        </is>
      </c>
      <c r="B7" s="5" t="n">
        <v>481.9</v>
      </c>
      <c r="C7" s="5" t="n">
        <v>631.2</v>
      </c>
      <c r="D7" s="5" t="n">
        <v>395.2</v>
      </c>
      <c r="E7" s="5" t="n">
        <v>530.1</v>
      </c>
      <c r="F7" s="5" t="n">
        <v>400.9</v>
      </c>
      <c r="G7" s="5" t="n">
        <v>295.8</v>
      </c>
      <c r="H7" s="5" t="n">
        <v>33</v>
      </c>
    </row>
    <row r="8">
      <c r="A8" s="4" t="inlineStr">
        <is>
          <t>人机 户均贷款金额(元)</t>
        </is>
      </c>
      <c r="B8" s="6" t="n">
        <v>31.1</v>
      </c>
      <c r="C8" s="6" t="n">
        <v>29.4</v>
      </c>
      <c r="D8" s="6" t="n">
        <v>33.6</v>
      </c>
      <c r="E8" s="7" t="n">
        <v>36.2</v>
      </c>
      <c r="F8" s="7" t="n">
        <v>42.9</v>
      </c>
      <c r="G8" s="8" t="n">
        <v>48.2</v>
      </c>
      <c r="H8" s="7" t="n">
        <v>37.2</v>
      </c>
    </row>
    <row r="9">
      <c r="A9" s="4" t="inlineStr">
        <is>
          <t>人机 有效分佣率(%)</t>
        </is>
      </c>
      <c r="B9" s="9" t="n">
        <v>24168</v>
      </c>
      <c r="C9" s="9" t="n">
        <v>26705</v>
      </c>
      <c r="D9" s="9" t="n">
        <v>25445</v>
      </c>
      <c r="E9" s="9" t="n">
        <v>25441</v>
      </c>
      <c r="F9" s="9" t="n">
        <v>22522</v>
      </c>
      <c r="G9" s="9" t="n">
        <v>22303</v>
      </c>
      <c r="H9" s="10" t="n">
        <v>-0.009723825592753754</v>
      </c>
    </row>
    <row r="10">
      <c r="A10" s="4" t="n"/>
      <c r="B10" s="11" t="n">
        <v>1.21</v>
      </c>
      <c r="C10" s="11" t="n">
        <v>1.36</v>
      </c>
      <c r="D10" s="11" t="n">
        <v>1.17</v>
      </c>
      <c r="E10" s="11" t="n">
        <v>1.05</v>
      </c>
      <c r="F10" s="11" t="n">
        <v>0.78</v>
      </c>
      <c r="G10" s="12" t="n">
        <v>0.58</v>
      </c>
      <c r="H10" s="11" t="n">
        <v>0.85</v>
      </c>
    </row>
    <row r="11"/>
    <row r="12">
      <c r="A12" s="13" t="inlineStr">
        <is>
          <t>▶ 核心发现</t>
        </is>
      </c>
    </row>
    <row r="13">
      <c r="A13" s="14" t="inlineStr">
        <is>
          <t>❶ 人机单用户到手薪资: 58.0元→29.2元（-49.7%）, 是问题核心指标</t>
        </is>
      </c>
    </row>
    <row r="14">
      <c r="A14" s="14" t="inlineStr">
        <is>
          <t>❷ 线路费占比从31.1%飙升至48.2%, 是吞噬利润的元凶</t>
        </is>
      </c>
    </row>
    <row r="15">
      <c r="A15" s="14" t="inlineStr">
        <is>
          <t>❸ 有效分佣率从1.21%降至0.58%, 说明每元贷款的佣金产出在缩水</t>
        </is>
      </c>
    </row>
    <row r="16">
      <c r="A16" s="14" t="inlineStr">
        <is>
          <t>❹ 户均贷款金额仅下降7.7%(-7.7%), 不是主因</t>
        </is>
      </c>
    </row>
    <row r="17">
      <c r="A17" s="14" t="inlineStr">
        <is>
          <t>❺ 首贷占比从75%降至61%, 复贷(高还款系数)占比上升, 但未能弥补线路费侵蚀</t>
        </is>
      </c>
    </row>
    <row r="18">
      <c r="A18" s="14" t="inlineStr">
        <is>
          <t>❻ 人机总到手薪资下降39%的同时, 贷款用户数增长22%, 说明"量增价跌"</t>
        </is>
      </c>
    </row>
  </sheetData>
  <mergeCells count="9">
    <mergeCell ref="A2:L2"/>
    <mergeCell ref="A16:L16"/>
    <mergeCell ref="A15:L15"/>
    <mergeCell ref="A1:L1"/>
    <mergeCell ref="A13:L13"/>
    <mergeCell ref="A14:L14"/>
    <mergeCell ref="A17:L17"/>
    <mergeCell ref="A18:L18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25" customWidth="1" min="4" max="4"/>
    <col width="14" customWidth="1" min="5" max="5"/>
    <col width="25" customWidth="1" min="6" max="6"/>
  </cols>
  <sheetData>
    <row r="1">
      <c r="A1" s="1" t="inlineStr">
        <is>
          <t>人机供应商收入拆解: 结算 = Σ(贷款金额×还款系数×分佣率) - 线路费</t>
        </is>
      </c>
    </row>
    <row r="2"/>
    <row r="3">
      <c r="A3" s="3" t="inlineStr">
        <is>
          <t>供应商</t>
        </is>
      </c>
      <c r="B3" s="3" t="inlineStr">
        <is>
          <t>指标</t>
        </is>
      </c>
      <c r="C3" s="3" t="inlineStr">
        <is>
          <t>2025-12</t>
        </is>
      </c>
      <c r="D3" s="3" t="inlineStr">
        <is>
          <t>2026-05</t>
        </is>
      </c>
      <c r="E3" s="3" t="inlineStr">
        <is>
          <t>变化量</t>
        </is>
      </c>
      <c r="F3" s="3" t="inlineStr">
        <is>
          <t>变化率</t>
        </is>
      </c>
    </row>
    <row r="4">
      <c r="A4" s="4" t="inlineStr">
        <is>
          <t>宿迁兆科</t>
        </is>
      </c>
      <c r="B4" s="4" t="inlineStr">
        <is>
          <t>到手薪资</t>
        </is>
      </c>
      <c r="C4" s="5" t="n">
        <v>0</v>
      </c>
      <c r="D4" s="5" t="n">
        <v>147441</v>
      </c>
      <c r="E4" s="4" t="n">
        <v>147441</v>
      </c>
      <c r="F4" s="4" t="n"/>
    </row>
    <row r="5">
      <c r="A5" s="4" t="n"/>
      <c r="B5" s="4" t="inlineStr">
        <is>
          <t>贷款用户数</t>
        </is>
      </c>
      <c r="C5" s="9" t="n">
        <v>0</v>
      </c>
      <c r="D5" s="9" t="n">
        <v>3963</v>
      </c>
      <c r="E5" s="4" t="n">
        <v>3963</v>
      </c>
      <c r="F5" s="4" t="n"/>
    </row>
    <row r="6">
      <c r="A6" s="4" t="n"/>
      <c r="B6" s="4" t="inlineStr">
        <is>
          <t>户均贷款金额</t>
        </is>
      </c>
      <c r="C6" s="5" t="n">
        <v>0</v>
      </c>
      <c r="D6" s="5" t="n">
        <v>14234</v>
      </c>
      <c r="E6" s="4" t="n">
        <v>14234</v>
      </c>
      <c r="F6" s="4" t="n"/>
    </row>
    <row r="7">
      <c r="A7" s="4" t="n"/>
      <c r="B7" s="4" t="inlineStr">
        <is>
          <t>线路费占比(%)</t>
        </is>
      </c>
      <c r="C7" s="6" t="n">
        <v>0</v>
      </c>
      <c r="D7" s="6" t="n">
        <v>48.7</v>
      </c>
      <c r="E7" s="4" t="n">
        <v>48.7</v>
      </c>
      <c r="F7" s="4" t="n"/>
    </row>
    <row r="8">
      <c r="A8" s="4" t="n"/>
      <c r="B8" s="4" t="inlineStr">
        <is>
          <t>有效分佣率</t>
        </is>
      </c>
      <c r="C8" s="15" t="n">
        <v>0</v>
      </c>
      <c r="D8" s="15" t="n">
        <v>0.03987917749117282</v>
      </c>
      <c r="E8" s="4" t="n">
        <v>0.04</v>
      </c>
      <c r="F8" s="4" t="n"/>
    </row>
    <row r="9">
      <c r="A9" s="4" t="n"/>
      <c r="B9" s="4" t="inlineStr">
        <is>
          <t>薪资占成本比</t>
        </is>
      </c>
      <c r="C9" s="16" t="n">
        <v>0</v>
      </c>
      <c r="D9" s="16" t="n">
        <v>0.4801262178919398</v>
      </c>
      <c r="E9" s="4" t="n">
        <v>0.48</v>
      </c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inlineStr">
        <is>
          <t>毛毛虫</t>
        </is>
      </c>
      <c r="B11" s="4" t="inlineStr">
        <is>
          <t>到手薪资</t>
        </is>
      </c>
      <c r="C11" s="5" t="n">
        <v>149593</v>
      </c>
      <c r="D11" s="4" t="inlineStr">
        <is>
          <t>无数据</t>
        </is>
      </c>
      <c r="E11" s="4" t="n"/>
      <c r="F11" s="4" t="n"/>
    </row>
    <row r="12">
      <c r="A12" s="4" t="n"/>
      <c r="B12" s="4" t="inlineStr">
        <is>
          <t>贷款用户数</t>
        </is>
      </c>
      <c r="C12" s="9" t="n">
        <v>5086</v>
      </c>
      <c r="D12" s="4" t="inlineStr">
        <is>
          <t>无数据</t>
        </is>
      </c>
      <c r="E12" s="4" t="n"/>
      <c r="F12" s="4" t="n"/>
    </row>
    <row r="13">
      <c r="A13" s="4" t="n"/>
      <c r="B13" s="4" t="inlineStr">
        <is>
          <t>户均贷款金额</t>
        </is>
      </c>
      <c r="C13" s="5" t="n">
        <v>44450</v>
      </c>
      <c r="D13" s="4" t="inlineStr">
        <is>
          <t>无数据</t>
        </is>
      </c>
      <c r="E13" s="4" t="n"/>
      <c r="F13" s="4" t="n"/>
    </row>
    <row r="14">
      <c r="A14" s="4" t="n"/>
      <c r="B14" s="4" t="inlineStr">
        <is>
          <t>线路费占比(%)</t>
        </is>
      </c>
      <c r="C14" s="6" t="n">
        <v>38</v>
      </c>
      <c r="D14" s="4" t="inlineStr">
        <is>
          <t>无数据</t>
        </is>
      </c>
      <c r="E14" s="4" t="n"/>
      <c r="F14" s="4" t="n"/>
    </row>
    <row r="15">
      <c r="A15" s="4" t="n"/>
      <c r="B15" s="4" t="inlineStr">
        <is>
          <t>有效分佣率</t>
        </is>
      </c>
      <c r="C15" s="15" t="n">
        <v>0.001963039781569757</v>
      </c>
      <c r="D15" s="4" t="inlineStr">
        <is>
          <t>无数据</t>
        </is>
      </c>
      <c r="E15" s="4" t="n"/>
      <c r="F15" s="4" t="n"/>
    </row>
    <row r="16">
      <c r="A16" s="4" t="n"/>
      <c r="B16" s="4" t="inlineStr">
        <is>
          <t>薪资占成本比</t>
        </is>
      </c>
      <c r="C16" s="16" t="n">
        <v>0.5808466935618518</v>
      </c>
      <c r="D16" s="4" t="inlineStr">
        <is>
          <t>无数据</t>
        </is>
      </c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inlineStr">
        <is>
          <t>赛维斯</t>
        </is>
      </c>
      <c r="B18" s="4" t="inlineStr">
        <is>
          <t>到手薪资</t>
        </is>
      </c>
      <c r="C18" s="5" t="n">
        <v>450474</v>
      </c>
      <c r="D18" s="5" t="n">
        <v>268303</v>
      </c>
      <c r="E18" s="4" t="n">
        <v>-182171</v>
      </c>
      <c r="F18" s="17" t="n">
        <v>-0.4043984780475677</v>
      </c>
    </row>
    <row r="19">
      <c r="A19" s="4" t="n"/>
      <c r="B19" s="4" t="inlineStr">
        <is>
          <t>贷款用户数</t>
        </is>
      </c>
      <c r="C19" s="9" t="n">
        <v>10004</v>
      </c>
      <c r="D19" s="9" t="n">
        <v>17534</v>
      </c>
      <c r="E19" s="4" t="n">
        <v>7530</v>
      </c>
      <c r="F19" s="17" t="n">
        <v>0.7526989204318273</v>
      </c>
    </row>
    <row r="20">
      <c r="A20" s="4" t="n"/>
      <c r="B20" s="4" t="inlineStr">
        <is>
          <t>户均贷款金额</t>
        </is>
      </c>
      <c r="C20" s="5" t="n">
        <v>26190</v>
      </c>
      <c r="D20" s="5" t="n">
        <v>26390</v>
      </c>
      <c r="E20" s="4" t="n">
        <v>200</v>
      </c>
      <c r="F20" s="10" t="n">
        <v>0.007636502481863307</v>
      </c>
    </row>
    <row r="21">
      <c r="A21" s="4" t="n"/>
      <c r="B21" s="4" t="inlineStr">
        <is>
          <t>线路费占比(%)</t>
        </is>
      </c>
      <c r="C21" s="6" t="n">
        <v>38.5</v>
      </c>
      <c r="D21" s="6" t="n">
        <v>59.3</v>
      </c>
      <c r="E21" s="4" t="n">
        <v>20.8</v>
      </c>
      <c r="F21" s="17" t="n">
        <v>0.5402597402597402</v>
      </c>
    </row>
    <row r="22">
      <c r="A22" s="4" t="n"/>
      <c r="B22" s="4" t="inlineStr">
        <is>
          <t>有效分佣率</t>
        </is>
      </c>
      <c r="C22" s="15" t="n">
        <v>0.007208337181419655</v>
      </c>
      <c r="D22" s="15" t="n">
        <v>0.00198223433853596</v>
      </c>
      <c r="E22" s="4" t="n">
        <v>-0.01</v>
      </c>
      <c r="F22" s="17" t="n">
        <v>-0.7250080998367551</v>
      </c>
    </row>
    <row r="23">
      <c r="A23" s="4" t="n"/>
      <c r="B23" s="4" t="inlineStr">
        <is>
          <t>薪资占成本比</t>
        </is>
      </c>
      <c r="C23" s="16" t="n">
        <v>0.5757319758651496</v>
      </c>
      <c r="D23" s="16" t="n">
        <v>0.3810613355603087</v>
      </c>
      <c r="E23" s="4" t="n">
        <v>-0.19</v>
      </c>
      <c r="F23" s="17" t="n">
        <v>-0.3381271988798438</v>
      </c>
    </row>
    <row r="24">
      <c r="A24" s="4" t="n"/>
      <c r="B24" s="4" t="n"/>
      <c r="C24" s="4" t="n"/>
      <c r="D24" s="4" t="n"/>
      <c r="E24" s="4" t="n"/>
      <c r="F24" s="4" t="n"/>
    </row>
    <row r="25">
      <c r="A25" s="4" t="inlineStr">
        <is>
          <t>零犀</t>
        </is>
      </c>
      <c r="B25" s="4" t="inlineStr">
        <is>
          <t>到手薪资</t>
        </is>
      </c>
      <c r="C25" s="5" t="n">
        <v>2498989</v>
      </c>
      <c r="D25" s="5" t="n">
        <v>1473473</v>
      </c>
      <c r="E25" s="4" t="n">
        <v>-1025516</v>
      </c>
      <c r="F25" s="17" t="n">
        <v>-0.4103723545801922</v>
      </c>
    </row>
    <row r="26">
      <c r="A26" s="4" t="n"/>
      <c r="B26" s="4" t="inlineStr">
        <is>
          <t>贷款用户数</t>
        </is>
      </c>
      <c r="C26" s="9" t="n">
        <v>42050</v>
      </c>
      <c r="D26" s="9" t="n">
        <v>47624</v>
      </c>
      <c r="E26" s="4" t="n">
        <v>5574</v>
      </c>
      <c r="F26" s="10" t="n">
        <v>0.1325564803804994</v>
      </c>
    </row>
    <row r="27">
      <c r="A27" s="4" t="n"/>
      <c r="B27" s="4" t="inlineStr">
        <is>
          <t>户均贷款金额</t>
        </is>
      </c>
      <c r="C27" s="5" t="n">
        <v>25820</v>
      </c>
      <c r="D27" s="5" t="n">
        <v>24299</v>
      </c>
      <c r="E27" s="4" t="n">
        <v>-1521</v>
      </c>
      <c r="F27" s="10" t="n">
        <v>-0.05890782339271882</v>
      </c>
    </row>
    <row r="28">
      <c r="A28" s="4" t="n"/>
      <c r="B28" s="4" t="inlineStr">
        <is>
          <t>线路费占比(%)</t>
        </is>
      </c>
      <c r="C28" s="6" t="n">
        <v>29.2</v>
      </c>
      <c r="D28" s="6" t="n">
        <v>42.6</v>
      </c>
      <c r="E28" s="4" t="n">
        <v>13.4</v>
      </c>
      <c r="F28" s="17" t="n">
        <v>0.4589041095890412</v>
      </c>
    </row>
    <row r="29">
      <c r="A29" s="4" t="n"/>
      <c r="B29" s="4" t="inlineStr">
        <is>
          <t>有效分佣率</t>
        </is>
      </c>
      <c r="C29" s="15" t="n">
        <v>0.01086505411044616</v>
      </c>
      <c r="D29" s="15" t="n">
        <v>0.005235704536595621</v>
      </c>
      <c r="E29" s="4" t="n">
        <v>-0.01</v>
      </c>
      <c r="F29" s="17" t="n">
        <v>-0.5181151899131569</v>
      </c>
    </row>
    <row r="30">
      <c r="A30" s="4" t="n"/>
      <c r="B30" s="4" t="inlineStr">
        <is>
          <t>薪资占成本比</t>
        </is>
      </c>
      <c r="C30" s="16" t="n">
        <v>0.6631096343434456</v>
      </c>
      <c r="D30" s="16" t="n">
        <v>0.5377687752625481</v>
      </c>
      <c r="E30" s="4" t="n">
        <v>-0.13</v>
      </c>
      <c r="F30" s="10" t="n">
        <v>-0.189019812998192</v>
      </c>
    </row>
    <row r="31">
      <c r="A31" s="4" t="n"/>
      <c r="B31" s="4" t="n"/>
      <c r="C31" s="4" t="n"/>
      <c r="D31" s="4" t="n"/>
      <c r="E31" s="4" t="n"/>
      <c r="F31" s="4" t="n"/>
    </row>
    <row r="32">
      <c r="A32" s="4" t="inlineStr">
        <is>
          <t>零犀伽玛</t>
        </is>
      </c>
      <c r="B32" s="4" t="inlineStr">
        <is>
          <t>到手薪资</t>
        </is>
      </c>
      <c r="C32" s="5" t="n">
        <v>342288</v>
      </c>
      <c r="D32" s="5" t="n">
        <v>124504</v>
      </c>
      <c r="E32" s="4" t="n">
        <v>-217784</v>
      </c>
      <c r="F32" s="17" t="n">
        <v>-0.6362595241434114</v>
      </c>
    </row>
    <row r="33">
      <c r="A33" s="4" t="n"/>
      <c r="B33" s="4" t="inlineStr">
        <is>
          <t>贷款用户数</t>
        </is>
      </c>
      <c r="C33" s="9" t="n">
        <v>6006</v>
      </c>
      <c r="D33" s="9" t="n">
        <v>4620</v>
      </c>
      <c r="E33" s="4" t="n">
        <v>-1386</v>
      </c>
      <c r="F33" s="10" t="n">
        <v>-0.2307692307692308</v>
      </c>
    </row>
    <row r="34">
      <c r="A34" s="4" t="n"/>
      <c r="B34" s="4" t="inlineStr">
        <is>
          <t>户均贷款金额</t>
        </is>
      </c>
      <c r="C34" s="5" t="n">
        <v>15394</v>
      </c>
      <c r="D34" s="5" t="n">
        <v>13106</v>
      </c>
      <c r="E34" s="4" t="n">
        <v>-2288</v>
      </c>
      <c r="F34" s="10" t="n">
        <v>-0.148629336104976</v>
      </c>
    </row>
    <row r="35">
      <c r="A35" s="4" t="n"/>
      <c r="B35" s="4" t="inlineStr">
        <is>
          <t>线路费占比(%)</t>
        </is>
      </c>
      <c r="C35" s="6" t="n">
        <v>35.1</v>
      </c>
      <c r="D35" s="6" t="n">
        <v>59.8</v>
      </c>
      <c r="E35" s="4" t="n">
        <v>24.7</v>
      </c>
      <c r="F35" s="17" t="n">
        <v>0.7037037037037036</v>
      </c>
    </row>
    <row r="36">
      <c r="A36" s="4" t="n"/>
      <c r="B36" s="4" t="inlineStr">
        <is>
          <t>有效分佣率</t>
        </is>
      </c>
      <c r="C36" s="15" t="n">
        <v>0.05648410791039873</v>
      </c>
      <c r="D36" s="15" t="n">
        <v>0.03137327164584922</v>
      </c>
      <c r="E36" s="4" t="n">
        <v>-0.03</v>
      </c>
      <c r="F36" s="17" t="n">
        <v>-0.4445646252284459</v>
      </c>
    </row>
    <row r="37">
      <c r="A37" s="4" t="n"/>
      <c r="B37" s="4" t="inlineStr">
        <is>
          <t>薪资占成本比</t>
        </is>
      </c>
      <c r="C37" s="16" t="n">
        <v>0.6079769802573735</v>
      </c>
      <c r="D37" s="16" t="n">
        <v>0.3762791569199896</v>
      </c>
      <c r="E37" s="4" t="n">
        <v>-0.23</v>
      </c>
      <c r="F37" s="17" t="n">
        <v>-0.3810963751280513</v>
      </c>
    </row>
    <row r="38">
      <c r="A38" s="4" t="n"/>
      <c r="B38" s="4" t="n"/>
      <c r="C38" s="4" t="n"/>
      <c r="D38" s="4" t="n"/>
      <c r="E38" s="4" t="n"/>
      <c r="F38" s="4" t="n"/>
    </row>
    <row r="39">
      <c r="A39" s="4" t="inlineStr">
        <is>
          <t>零犀岐力</t>
        </is>
      </c>
      <c r="B39" s="4" t="inlineStr">
        <is>
          <t>到手薪资</t>
        </is>
      </c>
      <c r="C39" s="5" t="n">
        <v>0</v>
      </c>
      <c r="D39" s="5" t="n">
        <v>59847</v>
      </c>
      <c r="E39" s="4" t="n">
        <v>59847</v>
      </c>
      <c r="F39" s="4" t="n"/>
    </row>
    <row r="40">
      <c r="A40" s="4" t="n"/>
      <c r="B40" s="4" t="inlineStr">
        <is>
          <t>贷款用户数</t>
        </is>
      </c>
      <c r="C40" s="9" t="n">
        <v>0</v>
      </c>
      <c r="D40" s="9" t="n">
        <v>5319</v>
      </c>
      <c r="E40" s="4" t="n">
        <v>5319</v>
      </c>
      <c r="F40" s="4" t="n"/>
    </row>
    <row r="41">
      <c r="A41" s="4" t="n"/>
      <c r="B41" s="4" t="inlineStr">
        <is>
          <t>户均贷款金额</t>
        </is>
      </c>
      <c r="C41" s="5" t="n">
        <v>0</v>
      </c>
      <c r="D41" s="5" t="n">
        <v>34953</v>
      </c>
      <c r="E41" s="4" t="n">
        <v>34953</v>
      </c>
      <c r="F41" s="4" t="n"/>
    </row>
    <row r="42">
      <c r="A42" s="4" t="n"/>
      <c r="B42" s="4" t="inlineStr">
        <is>
          <t>线路费占比(%)</t>
        </is>
      </c>
      <c r="C42" s="6" t="n">
        <v>0</v>
      </c>
      <c r="D42" s="6" t="n">
        <v>52.6</v>
      </c>
      <c r="E42" s="4" t="n">
        <v>52.6</v>
      </c>
      <c r="F42" s="4" t="n"/>
    </row>
    <row r="43">
      <c r="A43" s="4" t="n"/>
      <c r="B43" s="4" t="inlineStr">
        <is>
          <t>有效分佣率</t>
        </is>
      </c>
      <c r="C43" s="15" t="n">
        <v>0</v>
      </c>
      <c r="D43" s="15" t="n">
        <v>0.0009549800783479001</v>
      </c>
      <c r="E43" s="4" t="n">
        <v>0</v>
      </c>
      <c r="F43" s="4" t="n"/>
    </row>
    <row r="44">
      <c r="A44" s="4" t="n"/>
      <c r="B44" s="4" t="inlineStr">
        <is>
          <t>薪资占成本比</t>
        </is>
      </c>
      <c r="C44" s="16" t="n">
        <v>0</v>
      </c>
      <c r="D44" s="16" t="n">
        <v>0.4439787235620971</v>
      </c>
      <c r="E44" s="4" t="n">
        <v>0.44</v>
      </c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inlineStr">
        <is>
          <t>零犀毅航</t>
        </is>
      </c>
      <c r="B46" s="4" t="inlineStr">
        <is>
          <t>到手薪资</t>
        </is>
      </c>
      <c r="C46" s="5" t="n">
        <v>731445</v>
      </c>
      <c r="D46" s="5" t="n">
        <v>627487</v>
      </c>
      <c r="E46" s="4" t="n">
        <v>-103958</v>
      </c>
      <c r="F46" s="10" t="n">
        <v>-0.1421268858219005</v>
      </c>
    </row>
    <row r="47">
      <c r="A47" s="4" t="n"/>
      <c r="B47" s="4" t="inlineStr">
        <is>
          <t>贷款用户数</t>
        </is>
      </c>
      <c r="C47" s="9" t="n">
        <v>10029</v>
      </c>
      <c r="D47" s="9" t="n">
        <v>12058</v>
      </c>
      <c r="E47" s="4" t="n">
        <v>2029</v>
      </c>
      <c r="F47" s="10" t="n">
        <v>0.2023132914547811</v>
      </c>
    </row>
    <row r="48">
      <c r="A48" s="4" t="n"/>
      <c r="B48" s="4" t="inlineStr">
        <is>
          <t>户均贷款金额</t>
        </is>
      </c>
      <c r="C48" s="5" t="n">
        <v>17404</v>
      </c>
      <c r="D48" s="5" t="n">
        <v>17142</v>
      </c>
      <c r="E48" s="4" t="n">
        <v>-262</v>
      </c>
      <c r="F48" s="10" t="n">
        <v>-0.01505401057228223</v>
      </c>
    </row>
    <row r="49">
      <c r="A49" s="4" t="n"/>
      <c r="B49" s="4" t="inlineStr">
        <is>
          <t>线路费占比(%)</t>
        </is>
      </c>
      <c r="C49" s="6" t="n">
        <v>28.2</v>
      </c>
      <c r="D49" s="6" t="n">
        <v>42.2</v>
      </c>
      <c r="E49" s="4" t="n">
        <v>14</v>
      </c>
      <c r="F49" s="17" t="n">
        <v>0.49645390070922</v>
      </c>
    </row>
    <row r="50">
      <c r="A50" s="4" t="n"/>
      <c r="B50" s="4" t="inlineStr">
        <is>
          <t>有效分佣率</t>
        </is>
      </c>
      <c r="C50" s="15" t="n">
        <v>0.06393550590561024</v>
      </c>
      <c r="D50" s="15" t="n">
        <v>0.04631705796737148</v>
      </c>
      <c r="E50" s="4" t="n">
        <v>-0.02</v>
      </c>
      <c r="F50" s="10" t="n">
        <v>-0.2755659424084227</v>
      </c>
    </row>
    <row r="51">
      <c r="A51" s="4" t="n"/>
      <c r="B51" s="4" t="inlineStr">
        <is>
          <t>薪资占成本比</t>
        </is>
      </c>
      <c r="C51" s="16" t="n">
        <v>0.6723111964086783</v>
      </c>
      <c r="D51" s="16" t="n">
        <v>0.5408233095797091</v>
      </c>
      <c r="E51" s="4" t="n">
        <v>-0.13</v>
      </c>
      <c r="F51" s="10" t="n">
        <v>-0.1955759290211813</v>
      </c>
    </row>
    <row r="52">
      <c r="A52" s="4" t="n"/>
      <c r="B52" s="4" t="n"/>
      <c r="C52" s="4" t="n"/>
      <c r="D52" s="4" t="n"/>
      <c r="E52" s="4" t="n"/>
      <c r="F52" s="4" t="n"/>
    </row>
    <row r="53">
      <c r="A53" s="4" t="inlineStr">
        <is>
          <t>零犀毛毛虫</t>
        </is>
      </c>
      <c r="B53" s="4" t="inlineStr">
        <is>
          <t>到手薪资</t>
        </is>
      </c>
      <c r="C53" s="5" t="n">
        <v>358491</v>
      </c>
      <c r="D53" s="5" t="n">
        <v>140553</v>
      </c>
      <c r="E53" s="4" t="n">
        <v>-217938</v>
      </c>
      <c r="F53" s="17" t="n">
        <v>-0.6079315798722981</v>
      </c>
    </row>
    <row r="54">
      <c r="A54" s="4" t="n"/>
      <c r="B54" s="4" t="inlineStr">
        <is>
          <t>贷款用户数</t>
        </is>
      </c>
      <c r="C54" s="9" t="n">
        <v>5317</v>
      </c>
      <c r="D54" s="9" t="n">
        <v>5685</v>
      </c>
      <c r="E54" s="4" t="n">
        <v>368</v>
      </c>
      <c r="F54" s="10" t="n">
        <v>0.06921196163249953</v>
      </c>
    </row>
    <row r="55">
      <c r="A55" s="4" t="n"/>
      <c r="B55" s="4" t="inlineStr">
        <is>
          <t>户均贷款金额</t>
        </is>
      </c>
      <c r="C55" s="5" t="n">
        <v>17314</v>
      </c>
      <c r="D55" s="5" t="n">
        <v>12577</v>
      </c>
      <c r="E55" s="4" t="n">
        <v>-4737</v>
      </c>
      <c r="F55" s="10" t="n">
        <v>-0.2735936236571561</v>
      </c>
    </row>
    <row r="56">
      <c r="A56" s="4" t="n"/>
      <c r="B56" s="4" t="inlineStr">
        <is>
          <t>线路费占比(%)</t>
        </is>
      </c>
      <c r="C56" s="6" t="n">
        <v>31</v>
      </c>
      <c r="D56" s="6" t="n">
        <v>62.2</v>
      </c>
      <c r="E56" s="4" t="n">
        <v>31.2</v>
      </c>
      <c r="F56" s="17" t="n">
        <v>1.006451612903226</v>
      </c>
    </row>
    <row r="57">
      <c r="A57" s="4" t="n"/>
      <c r="B57" s="4" t="inlineStr">
        <is>
          <t>有效分佣率</t>
        </is>
      </c>
      <c r="C57" s="15" t="n">
        <v>0.05941286985042191</v>
      </c>
      <c r="D57" s="15" t="n">
        <v>0.02999259525960747</v>
      </c>
      <c r="E57" s="4" t="n">
        <v>-0.03</v>
      </c>
      <c r="F57" s="17" t="n">
        <v>-0.4951835295093983</v>
      </c>
    </row>
    <row r="58">
      <c r="A58" s="4" t="n"/>
      <c r="B58" s="4" t="inlineStr">
        <is>
          <t>薪资占成本比</t>
        </is>
      </c>
      <c r="C58" s="16" t="n">
        <v>0.6462149958089607</v>
      </c>
      <c r="D58" s="16" t="n">
        <v>0.3543609033930183</v>
      </c>
      <c r="E58" s="4" t="n">
        <v>-0.29</v>
      </c>
      <c r="F58" s="17" t="n">
        <v>-0.4516362113364243</v>
      </c>
    </row>
    <row r="59">
      <c r="A59" s="4" t="n"/>
      <c r="B59" s="4" t="n"/>
      <c r="C59" s="4" t="n"/>
      <c r="D59" s="4" t="n"/>
      <c r="E59" s="4" t="n"/>
      <c r="F59" s="4" t="n"/>
    </row>
    <row r="60">
      <c r="A60" s="4" t="inlineStr">
        <is>
          <t>零犀赛维斯</t>
        </is>
      </c>
      <c r="B60" s="4" t="inlineStr">
        <is>
          <t>到手薪资</t>
        </is>
      </c>
      <c r="C60" s="5" t="n">
        <v>287689</v>
      </c>
      <c r="D60" s="5" t="n">
        <v>116791</v>
      </c>
      <c r="E60" s="4" t="n">
        <v>-170898</v>
      </c>
      <c r="F60" s="17" t="n">
        <v>-0.5940373111241654</v>
      </c>
    </row>
    <row r="61">
      <c r="A61" s="4" t="n"/>
      <c r="B61" s="4" t="inlineStr">
        <is>
          <t>贷款用户数</t>
        </is>
      </c>
      <c r="C61" s="9" t="n">
        <v>4569</v>
      </c>
      <c r="D61" s="9" t="n">
        <v>4470</v>
      </c>
      <c r="E61" s="4" t="n">
        <v>-99</v>
      </c>
      <c r="F61" s="10" t="n">
        <v>-0.0216677609980302</v>
      </c>
    </row>
    <row r="62">
      <c r="A62" s="4" t="n"/>
      <c r="B62" s="4" t="inlineStr">
        <is>
          <t>户均贷款金额</t>
        </is>
      </c>
      <c r="C62" s="5" t="n">
        <v>16314</v>
      </c>
      <c r="D62" s="5" t="n">
        <v>12910</v>
      </c>
      <c r="E62" s="4" t="n">
        <v>-3404</v>
      </c>
      <c r="F62" s="10" t="n">
        <v>-0.208655142822116</v>
      </c>
    </row>
    <row r="63">
      <c r="A63" s="4" t="n"/>
      <c r="B63" s="4" t="inlineStr">
        <is>
          <t>线路费占比(%)</t>
        </is>
      </c>
      <c r="C63" s="6" t="n">
        <v>32.6</v>
      </c>
      <c r="D63" s="6" t="n">
        <v>61.2</v>
      </c>
      <c r="E63" s="4" t="n">
        <v>28.6</v>
      </c>
      <c r="F63" s="17" t="n">
        <v>0.8773006134969326</v>
      </c>
    </row>
    <row r="64">
      <c r="A64" s="4" t="n"/>
      <c r="B64" s="4" t="inlineStr">
        <is>
          <t>有效分佣率</t>
        </is>
      </c>
      <c r="C64" s="15" t="n">
        <v>0.0588851169865735</v>
      </c>
      <c r="D64" s="15" t="n">
        <v>0.03087861700394755</v>
      </c>
      <c r="E64" s="4" t="n">
        <v>-0.03</v>
      </c>
      <c r="F64" s="17" t="n">
        <v>-0.4756125387169013</v>
      </c>
    </row>
    <row r="65">
      <c r="A65" s="4" t="n"/>
      <c r="B65" s="4" t="inlineStr">
        <is>
          <t>薪资占成本比</t>
        </is>
      </c>
      <c r="C65" s="16" t="n">
        <v>0.6310837638335911</v>
      </c>
      <c r="D65" s="16" t="n">
        <v>0.3631064157888846</v>
      </c>
      <c r="E65" s="4" t="n">
        <v>-0.27</v>
      </c>
      <c r="F65" s="17" t="n">
        <v>-0.4246303952059347</v>
      </c>
    </row>
    <row r="66">
      <c r="A66" s="4" t="n"/>
      <c r="B66" s="4" t="n"/>
      <c r="C66" s="4" t="n"/>
      <c r="D66" s="4" t="n"/>
      <c r="E66" s="4" t="n"/>
      <c r="F66" s="4" t="n"/>
    </row>
  </sheetData>
  <mergeCells count="10">
    <mergeCell ref="A18:A23"/>
    <mergeCell ref="A4:A9"/>
    <mergeCell ref="A39:A44"/>
    <mergeCell ref="A53:A58"/>
    <mergeCell ref="A1:L1"/>
    <mergeCell ref="A25:A30"/>
    <mergeCell ref="A46:A51"/>
    <mergeCell ref="A60:A65"/>
    <mergeCell ref="A11:A16"/>
    <mergeCell ref="A32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</cols>
  <sheetData>
    <row r="1">
      <c r="A1" s="1" t="inlineStr">
        <is>
          <t>供应商异常诊断矩阵</t>
        </is>
      </c>
    </row>
    <row r="2"/>
    <row r="3">
      <c r="A3" s="3" t="inlineStr">
        <is>
          <t>供应商</t>
        </is>
      </c>
      <c r="B3" s="3" t="inlineStr">
        <is>
          <t>12月到手薪资</t>
        </is>
      </c>
      <c r="C3" s="3" t="inlineStr">
        <is>
          <t>5月到手薪资</t>
        </is>
      </c>
      <c r="D3" s="3" t="inlineStr">
        <is>
          <t>变化%</t>
        </is>
      </c>
      <c r="E3" s="3" t="inlineStr">
        <is>
          <t>12月单用户薪资</t>
        </is>
      </c>
      <c r="F3" s="3" t="inlineStr">
        <is>
          <t>5月单用户薪资</t>
        </is>
      </c>
      <c r="G3" s="3" t="inlineStr">
        <is>
          <t>变化%</t>
        </is>
      </c>
      <c r="H3" s="3" t="inlineStr">
        <is>
          <t>12月线路费占比</t>
        </is>
      </c>
      <c r="I3" s="3" t="inlineStr">
        <is>
          <t>5月线路费占比</t>
        </is>
      </c>
      <c r="J3" s="3" t="inlineStr">
        <is>
          <t>变化</t>
        </is>
      </c>
      <c r="K3" s="3" t="inlineStr">
        <is>
          <t>12月户均贷款</t>
        </is>
      </c>
      <c r="L3" s="3" t="inlineStr">
        <is>
          <t>5月户均贷款</t>
        </is>
      </c>
      <c r="M3" s="3" t="inlineStr">
        <is>
          <t>变化%</t>
        </is>
      </c>
      <c r="N3" s="3" t="inlineStr">
        <is>
          <t>严重程度</t>
        </is>
      </c>
    </row>
    <row r="4">
      <c r="A4" s="4" t="inlineStr">
        <is>
          <t>赛维斯</t>
        </is>
      </c>
      <c r="B4" s="9" t="n">
        <v>450474</v>
      </c>
      <c r="C4" s="9" t="n">
        <v>268303</v>
      </c>
      <c r="D4" s="10" t="n">
        <v>-0.4043984780475677</v>
      </c>
      <c r="E4" s="5" t="n">
        <v>45</v>
      </c>
      <c r="F4" s="5" t="n">
        <v>15.3</v>
      </c>
      <c r="G4" s="10" t="n">
        <v>-0.6601803567005742</v>
      </c>
      <c r="H4" s="6" t="n">
        <v>38.5</v>
      </c>
      <c r="I4" s="6" t="n">
        <v>59.3</v>
      </c>
      <c r="J4" s="4" t="n">
        <v>20.8</v>
      </c>
      <c r="K4" s="9" t="n">
        <v>26190</v>
      </c>
      <c r="L4" s="9" t="n">
        <v>26390</v>
      </c>
      <c r="M4" s="10" t="n">
        <v>0.007659537888806047</v>
      </c>
      <c r="N4" s="18" t="inlineStr">
        <is>
          <t>🔴 严重</t>
        </is>
      </c>
    </row>
    <row r="5">
      <c r="A5" s="4" t="inlineStr">
        <is>
          <t>零犀</t>
        </is>
      </c>
      <c r="B5" s="9" t="n">
        <v>2498989</v>
      </c>
      <c r="C5" s="9" t="n">
        <v>1473473</v>
      </c>
      <c r="D5" s="10" t="n">
        <v>-0.4103723545801922</v>
      </c>
      <c r="E5" s="5" t="n">
        <v>59.4</v>
      </c>
      <c r="F5" s="5" t="n">
        <v>30.9</v>
      </c>
      <c r="G5" s="10" t="n">
        <v>-0.4793834518330481</v>
      </c>
      <c r="H5" s="6" t="n">
        <v>29.2</v>
      </c>
      <c r="I5" s="6" t="n">
        <v>42.6</v>
      </c>
      <c r="J5" s="4" t="n">
        <v>13.4</v>
      </c>
      <c r="K5" s="9" t="n">
        <v>25820</v>
      </c>
      <c r="L5" s="9" t="n">
        <v>24299</v>
      </c>
      <c r="M5" s="10" t="n">
        <v>-0.05888508144059396</v>
      </c>
      <c r="N5" s="19" t="inlineStr">
        <is>
          <t>🟡 关注</t>
        </is>
      </c>
    </row>
    <row r="6">
      <c r="A6" s="4" t="inlineStr">
        <is>
          <t>零犀伽玛</t>
        </is>
      </c>
      <c r="B6" s="9" t="n">
        <v>342288</v>
      </c>
      <c r="C6" s="9" t="n">
        <v>124504</v>
      </c>
      <c r="D6" s="10" t="n">
        <v>-0.6362595241434114</v>
      </c>
      <c r="E6" s="5" t="n">
        <v>57</v>
      </c>
      <c r="F6" s="5" t="n">
        <v>26.9</v>
      </c>
      <c r="G6" s="10" t="n">
        <v>-0.5271373813864348</v>
      </c>
      <c r="H6" s="6" t="n">
        <v>35.1</v>
      </c>
      <c r="I6" s="6" t="n">
        <v>59.8</v>
      </c>
      <c r="J6" s="4" t="n">
        <v>24.7</v>
      </c>
      <c r="K6" s="9" t="n">
        <v>15394</v>
      </c>
      <c r="L6" s="9" t="n">
        <v>13106</v>
      </c>
      <c r="M6" s="10" t="n">
        <v>-0.1486570996554059</v>
      </c>
      <c r="N6" s="18" t="inlineStr">
        <is>
          <t>🔴 严重</t>
        </is>
      </c>
    </row>
    <row r="7">
      <c r="A7" s="4" t="inlineStr">
        <is>
          <t>零犀毅航</t>
        </is>
      </c>
      <c r="B7" s="9" t="n">
        <v>731445</v>
      </c>
      <c r="C7" s="9" t="n">
        <v>627487</v>
      </c>
      <c r="D7" s="10" t="n">
        <v>-0.1421268858219005</v>
      </c>
      <c r="E7" s="5" t="n">
        <v>72.90000000000001</v>
      </c>
      <c r="F7" s="5" t="n">
        <v>52</v>
      </c>
      <c r="G7" s="10" t="n">
        <v>-0.2864812189341384</v>
      </c>
      <c r="H7" s="6" t="n">
        <v>28.2</v>
      </c>
      <c r="I7" s="6" t="n">
        <v>42.2</v>
      </c>
      <c r="J7" s="4" t="n">
        <v>14</v>
      </c>
      <c r="K7" s="9" t="n">
        <v>17404</v>
      </c>
      <c r="L7" s="9" t="n">
        <v>17142</v>
      </c>
      <c r="M7" s="10" t="n">
        <v>-0.01506715820132109</v>
      </c>
      <c r="N7" s="20" t="inlineStr">
        <is>
          <t>🟢 正常</t>
        </is>
      </c>
    </row>
    <row r="8">
      <c r="A8" s="4" t="inlineStr">
        <is>
          <t>零犀毛毛虫</t>
        </is>
      </c>
      <c r="B8" s="9" t="n">
        <v>358491</v>
      </c>
      <c r="C8" s="9" t="n">
        <v>140553</v>
      </c>
      <c r="D8" s="10" t="n">
        <v>-0.6079315798722981</v>
      </c>
      <c r="E8" s="5" t="n">
        <v>67.40000000000001</v>
      </c>
      <c r="F8" s="5" t="n">
        <v>24.7</v>
      </c>
      <c r="G8" s="10" t="n">
        <v>-0.6333108549131061</v>
      </c>
      <c r="H8" s="6" t="n">
        <v>31</v>
      </c>
      <c r="I8" s="6" t="n">
        <v>62.2</v>
      </c>
      <c r="J8" s="4" t="n">
        <v>31.2</v>
      </c>
      <c r="K8" s="9" t="n">
        <v>17314</v>
      </c>
      <c r="L8" s="9" t="n">
        <v>12577</v>
      </c>
      <c r="M8" s="10" t="n">
        <v>-0.2736210827544988</v>
      </c>
      <c r="N8" s="18" t="inlineStr">
        <is>
          <t>🔴 严重</t>
        </is>
      </c>
    </row>
    <row r="9">
      <c r="A9" s="4" t="inlineStr">
        <is>
          <t>零犀赛维斯</t>
        </is>
      </c>
      <c r="B9" s="9" t="n">
        <v>287689</v>
      </c>
      <c r="C9" s="9" t="n">
        <v>116791</v>
      </c>
      <c r="D9" s="10" t="n">
        <v>-0.5940373111241654</v>
      </c>
      <c r="E9" s="5" t="n">
        <v>63</v>
      </c>
      <c r="F9" s="5" t="n">
        <v>26.1</v>
      </c>
      <c r="G9" s="10" t="n">
        <v>-0.5850461911691971</v>
      </c>
      <c r="H9" s="6" t="n">
        <v>32.6</v>
      </c>
      <c r="I9" s="6" t="n">
        <v>61.2</v>
      </c>
      <c r="J9" s="4" t="n">
        <v>28.6</v>
      </c>
      <c r="K9" s="9" t="n">
        <v>16314</v>
      </c>
      <c r="L9" s="9" t="n">
        <v>12910</v>
      </c>
      <c r="M9" s="10" t="n">
        <v>-0.2086875738683116</v>
      </c>
      <c r="N9" s="18" t="inlineStr">
        <is>
          <t>🔴 严重</t>
        </is>
      </c>
    </row>
    <row r="11">
      <c r="A11" s="13" t="inlineStr">
        <is>
          <t>▶ 严重程度排名(按单用户薪资跌幅)</t>
        </is>
      </c>
    </row>
    <row r="12">
      <c r="A12" t="inlineStr">
        <is>
          <t>1. 赛维斯</t>
        </is>
      </c>
    </row>
    <row r="13">
      <c r="A13" t="inlineStr">
        <is>
          <t>2. 零犀毛毛虫</t>
        </is>
      </c>
    </row>
    <row r="14">
      <c r="A14" t="inlineStr">
        <is>
          <t>3. 零犀赛维斯</t>
        </is>
      </c>
    </row>
    <row r="15">
      <c r="A15" t="inlineStr">
        <is>
          <t>4. 零犀伽玛</t>
        </is>
      </c>
    </row>
    <row r="16">
      <c r="A16" t="inlineStr">
        <is>
          <t>5. 零犀</t>
        </is>
      </c>
    </row>
    <row r="17">
      <c r="A17" t="inlineStr">
        <is>
          <t>6. 零犀毅航</t>
        </is>
      </c>
    </row>
  </sheetData>
  <mergeCells count="8">
    <mergeCell ref="A1:N1"/>
    <mergeCell ref="A16:B16"/>
    <mergeCell ref="A15:B15"/>
    <mergeCell ref="A13:B13"/>
    <mergeCell ref="A14:B14"/>
    <mergeCell ref="A11:N11"/>
    <mergeCell ref="A17:B17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3" customWidth="1" min="3" max="3"/>
    <col width="24" customWidth="1" min="4" max="4"/>
    <col width="12" customWidth="1" min="5" max="5"/>
    <col width="12" customWidth="1" min="6" max="6"/>
    <col width="12" customWidth="1" min="7" max="7"/>
    <col width="22" customWidth="1" min="8" max="8"/>
    <col width="23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结构漂移分析: 作业模式 × 首复贷 的迁移效应</t>
        </is>
      </c>
    </row>
    <row r="2"/>
    <row r="3">
      <c r="A3" s="3" t="inlineStr">
        <is>
          <t>月份</t>
        </is>
      </c>
      <c r="B3" s="3" t="inlineStr">
        <is>
          <t>人工薪资占比</t>
        </is>
      </c>
      <c r="C3" s="3" t="inlineStr">
        <is>
          <t>人机薪资占比</t>
        </is>
      </c>
      <c r="D3" s="3" t="inlineStr">
        <is>
          <t>纯机薪资占比</t>
        </is>
      </c>
      <c r="E3" s="3" t="inlineStr">
        <is>
          <t>人工贷款用户</t>
        </is>
      </c>
      <c r="F3" s="3" t="inlineStr">
        <is>
          <t>人机贷款用户</t>
        </is>
      </c>
      <c r="G3" s="3" t="inlineStr">
        <is>
          <t>纯机贷款用户</t>
        </is>
      </c>
      <c r="H3" s="3" t="inlineStr">
        <is>
          <t>首贷薪资占比</t>
        </is>
      </c>
      <c r="I3" s="3" t="inlineStr">
        <is>
          <t>复贷薪资占比</t>
        </is>
      </c>
      <c r="J3" s="3" t="inlineStr">
        <is>
          <t>人机首贷薪资</t>
        </is>
      </c>
      <c r="K3" s="3" t="inlineStr">
        <is>
          <t>人机复贷薪资</t>
        </is>
      </c>
      <c r="L3" s="3" t="inlineStr">
        <is>
          <t>人机薪资总额</t>
        </is>
      </c>
    </row>
    <row r="4">
      <c r="A4" s="4" t="inlineStr">
        <is>
          <t>2025-12</t>
        </is>
      </c>
      <c r="B4" s="16" t="n">
        <v>0.5917871468488218</v>
      </c>
      <c r="C4" s="16" t="n">
        <v>0.3316758382267707</v>
      </c>
      <c r="D4" s="16" t="n">
        <v>0.0765370149244075</v>
      </c>
      <c r="E4" s="9" t="n">
        <v>143251</v>
      </c>
      <c r="F4" s="9" t="n">
        <v>83061</v>
      </c>
      <c r="G4" s="9" t="n">
        <v>58119</v>
      </c>
      <c r="H4" s="16" t="n">
        <v>0.7485375093785577</v>
      </c>
      <c r="I4" s="16" t="n">
        <v>0.2514624906214423</v>
      </c>
      <c r="J4" s="9" t="n">
        <v>4168887</v>
      </c>
      <c r="K4" s="9" t="n">
        <v>650082</v>
      </c>
      <c r="L4" s="9" t="n">
        <v>4818969</v>
      </c>
    </row>
    <row r="5">
      <c r="A5" s="4" t="inlineStr">
        <is>
          <t>2026-01</t>
        </is>
      </c>
      <c r="B5" s="16" t="n">
        <v>0.6202740224665055</v>
      </c>
      <c r="C5" s="16" t="n">
        <v>0.3108417794392641</v>
      </c>
      <c r="D5" s="16" t="n">
        <v>0.06888419809423034</v>
      </c>
      <c r="E5" s="9" t="n">
        <v>198668</v>
      </c>
      <c r="F5" s="9" t="n">
        <v>97810</v>
      </c>
      <c r="G5" s="9" t="n">
        <v>89144</v>
      </c>
      <c r="H5" s="16" t="n">
        <v>0.6613954646846226</v>
      </c>
      <c r="I5" s="16" t="n">
        <v>0.3386045353153774</v>
      </c>
      <c r="J5" s="9" t="n">
        <v>5480735</v>
      </c>
      <c r="K5" s="9" t="n">
        <v>831649</v>
      </c>
      <c r="L5" s="9" t="n">
        <v>6312384</v>
      </c>
    </row>
    <row r="6">
      <c r="A6" s="4" t="inlineStr">
        <is>
          <t>2026-02</t>
        </is>
      </c>
      <c r="B6" s="16" t="n">
        <v>0.632607336265557</v>
      </c>
      <c r="C6" s="16" t="n">
        <v>0.3259127244965688</v>
      </c>
      <c r="D6" s="16" t="n">
        <v>0.04147993923787419</v>
      </c>
      <c r="E6" s="9" t="n">
        <v>136480</v>
      </c>
      <c r="F6" s="9" t="n">
        <v>70826</v>
      </c>
      <c r="G6" s="9" t="n">
        <v>66135</v>
      </c>
      <c r="H6" s="16" t="n">
        <v>0.5996300044703258</v>
      </c>
      <c r="I6" s="16" t="n">
        <v>0.4003699955296742</v>
      </c>
      <c r="J6" s="9" t="n">
        <v>3302844</v>
      </c>
      <c r="K6" s="9" t="n">
        <v>649380</v>
      </c>
      <c r="L6" s="9" t="n">
        <v>3952224</v>
      </c>
    </row>
    <row r="7">
      <c r="A7" s="4" t="inlineStr">
        <is>
          <t>2026-03</t>
        </is>
      </c>
      <c r="B7" s="16" t="n">
        <v>0.6429018911385983</v>
      </c>
      <c r="C7" s="16" t="n">
        <v>0.2825810531565342</v>
      </c>
      <c r="D7" s="16" t="n">
        <v>0.07451705570486752</v>
      </c>
      <c r="E7" s="9" t="n">
        <v>174795</v>
      </c>
      <c r="F7" s="9" t="n">
        <v>102666</v>
      </c>
      <c r="G7" s="9" t="n">
        <v>88880</v>
      </c>
      <c r="H7" s="16" t="n">
        <v>0.61185719120341</v>
      </c>
      <c r="I7" s="16" t="n">
        <v>0.38814280879659</v>
      </c>
      <c r="J7" s="9" t="n">
        <v>4380682</v>
      </c>
      <c r="K7" s="9" t="n">
        <v>920679</v>
      </c>
      <c r="L7" s="9" t="n">
        <v>5301361</v>
      </c>
    </row>
    <row r="8">
      <c r="A8" s="4" t="inlineStr">
        <is>
          <t>2026-04</t>
        </is>
      </c>
      <c r="B8" s="16" t="n">
        <v>0.6848585585168523</v>
      </c>
      <c r="C8" s="16" t="n">
        <v>0.2729138470503977</v>
      </c>
      <c r="D8" s="16" t="n">
        <v>0.04222759443274994</v>
      </c>
      <c r="E8" s="9" t="n">
        <v>181020</v>
      </c>
      <c r="F8" s="9" t="n">
        <v>108851</v>
      </c>
      <c r="G8" s="9" t="n">
        <v>124398</v>
      </c>
      <c r="H8" s="16" t="n">
        <v>0.5312843289699063</v>
      </c>
      <c r="I8" s="16" t="n">
        <v>0.4687156710300938</v>
      </c>
      <c r="J8" s="9" t="n">
        <v>3492679</v>
      </c>
      <c r="K8" s="9" t="n">
        <v>516087</v>
      </c>
      <c r="L8" s="9" t="n">
        <v>4008766</v>
      </c>
    </row>
    <row r="9">
      <c r="A9" s="4" t="inlineStr">
        <is>
          <t>2026-05</t>
        </is>
      </c>
      <c r="B9" s="16" t="n">
        <v>0.7846005921564486</v>
      </c>
      <c r="C9" s="16" t="n">
        <v>0.1625259811471117</v>
      </c>
      <c r="D9" s="16" t="n">
        <v>0.05287342669643966</v>
      </c>
      <c r="E9" s="9" t="n">
        <v>184397</v>
      </c>
      <c r="F9" s="9" t="n">
        <v>101273</v>
      </c>
      <c r="G9" s="9" t="n">
        <v>203045</v>
      </c>
      <c r="H9" s="16" t="n">
        <v>0.6071768671568305</v>
      </c>
      <c r="I9" s="16" t="n">
        <v>0.3928231328431695</v>
      </c>
      <c r="J9" s="9" t="n">
        <v>2438811</v>
      </c>
      <c r="K9" s="9" t="n">
        <v>519588</v>
      </c>
      <c r="L9" s="9" t="n">
        <v>2958399</v>
      </c>
    </row>
    <row r="10">
      <c r="A10" s="4" t="inlineStr">
        <is>
          <t>2026-06</t>
        </is>
      </c>
      <c r="B10" s="16" t="n">
        <v>0.7282534097476996</v>
      </c>
      <c r="C10" s="16" t="n">
        <v>0.2260282378462283</v>
      </c>
      <c r="D10" s="16" t="n">
        <v>0.0457183524060721</v>
      </c>
      <c r="E10" s="9" t="n">
        <v>19219</v>
      </c>
      <c r="F10" s="9" t="n">
        <v>8933</v>
      </c>
      <c r="G10" s="9" t="n">
        <v>16747</v>
      </c>
      <c r="H10" s="16" t="n">
        <v>0.6147021094396516</v>
      </c>
      <c r="I10" s="16" t="n">
        <v>0.3852978905603484</v>
      </c>
      <c r="J10" s="9" t="n">
        <v>287204</v>
      </c>
      <c r="K10" s="9" t="n">
        <v>42467</v>
      </c>
      <c r="L10" s="9" t="n">
        <v>329671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4" customWidth="1" min="4" max="4"/>
    <col width="19" customWidth="1" min="5" max="5"/>
    <col width="24" customWidth="1" min="6" max="6"/>
    <col width="19" customWidth="1" min="7" max="7"/>
    <col width="24" customWidth="1" min="8" max="8"/>
    <col width="19" customWidth="1" min="9" max="9"/>
    <col width="24" customWidth="1" min="10" max="10"/>
    <col width="28" customWidth="1" min="11" max="11"/>
  </cols>
  <sheetData>
    <row r="1">
      <c r="A1" s="1" t="inlineStr">
        <is>
          <t>场景模拟: 人机70/30分佣 + 动态10日还款率 影响测算</t>
        </is>
      </c>
    </row>
    <row r="2"/>
    <row r="3">
      <c r="A3" s="3" t="inlineStr">
        <is>
          <t>月份</t>
        </is>
      </c>
      <c r="B3" s="3" t="inlineStr">
        <is>
          <t>人机实际到手薪资</t>
        </is>
      </c>
      <c r="C3" s="3" t="inlineStr">
        <is>
          <t>模拟70/30分佣①</t>
        </is>
      </c>
      <c r="D3" s="3" t="inlineStr">
        <is>
          <t>增幅</t>
        </is>
      </c>
      <c r="E3" s="3" t="inlineStr">
        <is>
          <t>场景A:70%+还款率提10%</t>
        </is>
      </c>
      <c r="F3" s="3" t="inlineStr">
        <is>
          <t>增幅</t>
        </is>
      </c>
      <c r="G3" s="3" t="inlineStr">
        <is>
          <t>场景B:70%+还款率提20%</t>
        </is>
      </c>
      <c r="H3" s="3" t="inlineStr">
        <is>
          <t>增幅</t>
        </is>
      </c>
      <c r="I3" s="3" t="inlineStr">
        <is>
          <t>场景C:70%+还款率提30%</t>
        </is>
      </c>
      <c r="J3" s="3" t="inlineStr">
        <is>
          <t>增幅</t>
        </is>
      </c>
      <c r="K3" s="3" t="inlineStr">
        <is>
          <t>说明</t>
        </is>
      </c>
    </row>
    <row r="4">
      <c r="A4" s="4" t="inlineStr">
        <is>
          <t>2025-12</t>
        </is>
      </c>
      <c r="B4" s="9" t="n">
        <v>4818969</v>
      </c>
      <c r="C4" s="9" t="n">
        <v>3373277</v>
      </c>
      <c r="D4" s="10" t="n">
        <v>-0.300000257331995</v>
      </c>
      <c r="E4" s="9" t="n">
        <v>3710605</v>
      </c>
      <c r="F4" s="10" t="n">
        <v>-0.2300002830651945</v>
      </c>
      <c r="G4" s="9" t="n">
        <v>4047932</v>
      </c>
      <c r="H4" s="10" t="n">
        <v>-0.160000308798394</v>
      </c>
      <c r="I4" s="9" t="n">
        <v>4385260</v>
      </c>
      <c r="J4" s="10" t="n">
        <v>-0.09000033453159351</v>
      </c>
      <c r="K4" s="4" t="inlineStr">
        <is>
          <t>①70/30指佣金部分按人工70%机器30%分佣</t>
        </is>
      </c>
    </row>
    <row r="5">
      <c r="A5" s="4" t="inlineStr">
        <is>
          <t>2026-01</t>
        </is>
      </c>
      <c r="B5" s="9" t="n">
        <v>6312384</v>
      </c>
      <c r="C5" s="9" t="n">
        <v>4418668</v>
      </c>
      <c r="D5" s="10" t="n">
        <v>-0.3000001154617576</v>
      </c>
      <c r="E5" s="9" t="n">
        <v>4860535</v>
      </c>
      <c r="F5" s="10" t="n">
        <v>-0.2300001270079335</v>
      </c>
      <c r="G5" s="9" t="n">
        <v>5302402</v>
      </c>
      <c r="H5" s="10" t="n">
        <v>-0.1600001385541093</v>
      </c>
      <c r="I5" s="9" t="n">
        <v>5744268</v>
      </c>
      <c r="J5" s="10" t="n">
        <v>-0.09000015010028506</v>
      </c>
      <c r="K5" s="4" t="inlineStr">
        <is>
          <t>①70/30指佣金部分按人工70%机器30%分佣</t>
        </is>
      </c>
    </row>
    <row r="6">
      <c r="A6" s="4" t="inlineStr">
        <is>
          <t>2026-02</t>
        </is>
      </c>
      <c r="B6" s="9" t="n">
        <v>3952224</v>
      </c>
      <c r="C6" s="9" t="n">
        <v>2766556</v>
      </c>
      <c r="D6" s="10" t="n">
        <v>-0.3000002043129735</v>
      </c>
      <c r="E6" s="9" t="n">
        <v>3043212</v>
      </c>
      <c r="F6" s="10" t="n">
        <v>-0.2300002247442706</v>
      </c>
      <c r="G6" s="9" t="n">
        <v>3319867</v>
      </c>
      <c r="H6" s="10" t="n">
        <v>-0.1600002451755681</v>
      </c>
      <c r="I6" s="9" t="n">
        <v>3596523</v>
      </c>
      <c r="J6" s="10" t="n">
        <v>-0.09000026560686536</v>
      </c>
      <c r="K6" s="4" t="inlineStr">
        <is>
          <t>①70/30指佣金部分按人工70%机器30%分佣</t>
        </is>
      </c>
    </row>
    <row r="7">
      <c r="A7" s="4" t="inlineStr">
        <is>
          <t>2026-03</t>
        </is>
      </c>
      <c r="B7" s="9" t="n">
        <v>5301361</v>
      </c>
      <c r="C7" s="9" t="n">
        <v>3710954</v>
      </c>
      <c r="D7" s="10" t="n">
        <v>-0.299999820482817</v>
      </c>
      <c r="E7" s="9" t="n">
        <v>4082049</v>
      </c>
      <c r="F7" s="10" t="n">
        <v>-0.2299998025310986</v>
      </c>
      <c r="G7" s="9" t="n">
        <v>4453144</v>
      </c>
      <c r="H7" s="10" t="n">
        <v>-0.1599997845793806</v>
      </c>
      <c r="I7" s="9" t="n">
        <v>4824240</v>
      </c>
      <c r="J7" s="10" t="n">
        <v>-0.08999976662766185</v>
      </c>
      <c r="K7" s="4" t="inlineStr">
        <is>
          <t>①70/30指佣金部分按人工70%机器30%分佣</t>
        </is>
      </c>
    </row>
    <row r="8">
      <c r="A8" s="4" t="inlineStr">
        <is>
          <t>2026-04</t>
        </is>
      </c>
      <c r="B8" s="9" t="n">
        <v>4008766</v>
      </c>
      <c r="C8" s="9" t="n">
        <v>2806135</v>
      </c>
      <c r="D8" s="10" t="n">
        <v>-0.3000001778873137</v>
      </c>
      <c r="E8" s="9" t="n">
        <v>3086749</v>
      </c>
      <c r="F8" s="10" t="n">
        <v>-0.2300001956760449</v>
      </c>
      <c r="G8" s="9" t="n">
        <v>3367363</v>
      </c>
      <c r="H8" s="10" t="n">
        <v>-0.1600002134647763</v>
      </c>
      <c r="I8" s="9" t="n">
        <v>3647976</v>
      </c>
      <c r="J8" s="10" t="n">
        <v>-0.09000023125350765</v>
      </c>
      <c r="K8" s="4" t="inlineStr">
        <is>
          <t>①70/30指佣金部分按人工70%机器30%分佣</t>
        </is>
      </c>
    </row>
    <row r="9">
      <c r="A9" s="19" t="inlineStr">
        <is>
          <t>2026-05</t>
        </is>
      </c>
      <c r="B9" s="21" t="n">
        <v>2958399</v>
      </c>
      <c r="C9" s="21" t="n">
        <v>2070880</v>
      </c>
      <c r="D9" s="22" t="n">
        <v>-0.2999998076953592</v>
      </c>
      <c r="E9" s="21" t="n">
        <v>2277968</v>
      </c>
      <c r="F9" s="22" t="n">
        <v>-0.2299997884648949</v>
      </c>
      <c r="G9" s="21" t="n">
        <v>2485056</v>
      </c>
      <c r="H9" s="22" t="n">
        <v>-0.1599997692344307</v>
      </c>
      <c r="I9" s="21" t="n">
        <v>2692144</v>
      </c>
      <c r="J9" s="22" t="n">
        <v>-0.08999975000396676</v>
      </c>
      <c r="K9" s="19" t="inlineStr">
        <is>
          <t>①70/30指佣金部分按人工70%机器30%分佣</t>
        </is>
      </c>
    </row>
    <row r="10">
      <c r="A10" s="4" t="inlineStr">
        <is>
          <t>2026-06</t>
        </is>
      </c>
      <c r="B10" s="9" t="n">
        <v>329671</v>
      </c>
      <c r="C10" s="9" t="n">
        <v>230771</v>
      </c>
      <c r="D10" s="10" t="n">
        <v>-0.2999972722777062</v>
      </c>
      <c r="E10" s="9" t="n">
        <v>253848</v>
      </c>
      <c r="F10" s="10" t="n">
        <v>-0.2299969995054768</v>
      </c>
      <c r="G10" s="9" t="n">
        <v>276925</v>
      </c>
      <c r="H10" s="10" t="n">
        <v>-0.1599967267332475</v>
      </c>
      <c r="I10" s="9" t="n">
        <v>300002</v>
      </c>
      <c r="J10" s="10" t="n">
        <v>-0.08999645396101819</v>
      </c>
      <c r="K10" s="4" t="inlineStr">
        <is>
          <t>①70/30指佣金部分按人工70%机器30%分佣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inlineStr">
        <is>
          <t>▶ 5月关键发现: 如果实施70/30+还款率调整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inlineStr">
        <is>
          <t>当前人机供应商5月总到手薪资约296万, 如果仅实施70/30分佣(人工70%):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inlineStr">
        <is>
          <t xml:space="preserve">  人机总佣金(税前) ≈ 费效成本 - 线路费 = 610万 - 294万 = 316万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inlineStr">
        <is>
          <t xml:space="preserve">  人工70%到手 = 316万 × 70% / 1.068 ≈ 207万 (约为当前实际296万的70%)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inlineStr">
        <is>
          <t xml:space="preserve">  ⚠️ 注意: 70/30分佣反而会减少当前到手薪资 - 因为当前可能是100%都给了人工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inlineStr">
        <is>
          <t xml:space="preserve">  根因是线路费占比过高(48.2%), 先解决线路费问题才是关键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</sheetData>
  <mergeCells count="2">
    <mergeCell ref="A1:K1"/>
    <mergeCell ref="A12:K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26" customWidth="1" min="22" max="22"/>
    <col width="13" customWidth="1" min="23" max="23"/>
  </cols>
  <sheetData>
    <row r="1">
      <c r="A1" s="3" t="inlineStr">
        <is>
          <t>月份</t>
        </is>
      </c>
      <c r="B1" s="3" t="inlineStr">
        <is>
          <t>业务线</t>
        </is>
      </c>
      <c r="C1" s="3" t="inlineStr">
        <is>
          <t>首复贷</t>
        </is>
      </c>
      <c r="D1" s="3" t="inlineStr">
        <is>
          <t>作业模式</t>
        </is>
      </c>
      <c r="E1" s="3" t="inlineStr">
        <is>
          <t>供应商</t>
        </is>
      </c>
      <c r="F1" s="3" t="inlineStr">
        <is>
          <t>所在地</t>
        </is>
      </c>
      <c r="G1" s="3" t="inlineStr">
        <is>
          <t>下发用户</t>
        </is>
      </c>
      <c r="H1" s="3" t="inlineStr">
        <is>
          <t>贷款用户</t>
        </is>
      </c>
      <c r="I1" s="3" t="inlineStr">
        <is>
          <t>转化率(%)</t>
        </is>
      </c>
      <c r="J1" s="3" t="inlineStr">
        <is>
          <t>贷款金额</t>
        </is>
      </c>
      <c r="K1" s="3" t="inlineStr">
        <is>
          <t>户均贷款金额</t>
        </is>
      </c>
      <c r="L1" s="3" t="inlineStr">
        <is>
          <t>线路费</t>
        </is>
      </c>
      <c r="M1" s="3" t="inlineStr">
        <is>
          <t>还款系数</t>
        </is>
      </c>
      <c r="N1" s="3" t="inlineStr">
        <is>
          <t>税率</t>
        </is>
      </c>
      <c r="O1" s="3" t="inlineStr">
        <is>
          <t>费效成本</t>
        </is>
      </c>
      <c r="P1" s="3" t="inlineStr">
        <is>
          <t>佣金部分(税前)</t>
        </is>
      </c>
      <c r="Q1" s="3" t="inlineStr">
        <is>
          <t>到手薪资(税后)</t>
        </is>
      </c>
      <c r="R1" s="3" t="inlineStr">
        <is>
          <t>薪资/成本(%)</t>
        </is>
      </c>
      <c r="S1" s="3" t="inlineStr">
        <is>
          <t>线路费/成本(%)</t>
        </is>
      </c>
      <c r="T1" s="3" t="inlineStr">
        <is>
          <t>单用户费效成本</t>
        </is>
      </c>
      <c r="U1" s="3" t="inlineStr">
        <is>
          <t>单用户到手薪资</t>
        </is>
      </c>
      <c r="V1" s="3" t="inlineStr">
        <is>
          <t>有效分佣率</t>
        </is>
      </c>
      <c r="W1" s="3" t="inlineStr">
        <is>
          <t>贷款类型_人机场景</t>
        </is>
      </c>
    </row>
    <row r="2">
      <c r="A2" s="4" t="inlineStr">
        <is>
          <t>2025-12</t>
        </is>
      </c>
      <c r="B2" s="4" t="inlineStr">
        <is>
          <t>金条</t>
        </is>
      </c>
      <c r="C2" s="4" t="inlineStr">
        <is>
          <t>首贷</t>
        </is>
      </c>
      <c r="D2" s="4" t="inlineStr">
        <is>
          <t>纯机</t>
        </is>
      </c>
      <c r="E2" s="4" t="inlineStr">
        <is>
          <t>九四</t>
        </is>
      </c>
      <c r="F2" s="4" t="inlineStr"/>
      <c r="G2" s="9" t="n">
        <v>965603</v>
      </c>
      <c r="H2" s="9" t="n">
        <v>700</v>
      </c>
      <c r="I2" s="11" t="n">
        <v>0.07000000000000001</v>
      </c>
      <c r="J2" s="9" t="n">
        <v>9968800</v>
      </c>
      <c r="K2" s="9" t="n">
        <v>14241</v>
      </c>
      <c r="L2" s="9" t="n">
        <v>83899</v>
      </c>
      <c r="M2" s="11" t="n">
        <v>0.07000000000000001</v>
      </c>
      <c r="N2" s="23" t="n">
        <v>1.068</v>
      </c>
      <c r="O2" s="9" t="n">
        <v>97650</v>
      </c>
      <c r="P2" s="9" t="n">
        <v>13751</v>
      </c>
      <c r="Q2" s="9" t="n">
        <v>12876</v>
      </c>
      <c r="R2" s="6" t="n">
        <v>13.2</v>
      </c>
      <c r="S2" s="6" t="n">
        <v>85.90000000000001</v>
      </c>
      <c r="T2" s="5" t="n">
        <v>139.5</v>
      </c>
      <c r="U2" s="5" t="n">
        <v>18.4</v>
      </c>
      <c r="V2" s="24" t="n">
        <v>0.01970576770953947</v>
      </c>
      <c r="W2" s="4" t="inlineStr">
        <is>
          <t>首贷_纯机</t>
        </is>
      </c>
    </row>
    <row r="3">
      <c r="A3" s="4" t="inlineStr">
        <is>
          <t>2025-12</t>
        </is>
      </c>
      <c r="B3" s="4" t="inlineStr">
        <is>
          <t>金条</t>
        </is>
      </c>
      <c r="C3" s="4" t="inlineStr">
        <is>
          <t>首贷</t>
        </is>
      </c>
      <c r="D3" s="4" t="inlineStr">
        <is>
          <t>人工</t>
        </is>
      </c>
      <c r="E3" s="4" t="inlineStr">
        <is>
          <t>人和</t>
        </is>
      </c>
      <c r="F3" s="4" t="inlineStr"/>
      <c r="G3" s="9" t="n">
        <v>78800</v>
      </c>
      <c r="H3" s="9" t="n">
        <v>1187</v>
      </c>
      <c r="I3" s="11" t="n">
        <v>1.51</v>
      </c>
      <c r="J3" s="9" t="n">
        <v>39253000</v>
      </c>
      <c r="K3" s="9" t="n">
        <v>33069</v>
      </c>
      <c r="L3" s="9" t="n">
        <v>13226</v>
      </c>
      <c r="M3" s="11" t="n">
        <v>0.07000000000000001</v>
      </c>
      <c r="N3" s="23" t="n">
        <v>1.068</v>
      </c>
      <c r="O3" s="9" t="n">
        <v>171829</v>
      </c>
      <c r="P3" s="9" t="n">
        <v>158603</v>
      </c>
      <c r="Q3" s="9" t="n">
        <v>148505</v>
      </c>
      <c r="R3" s="6" t="n">
        <v>86.40000000000001</v>
      </c>
      <c r="S3" s="6" t="n">
        <v>7.7</v>
      </c>
      <c r="T3" s="5" t="n">
        <v>144.8</v>
      </c>
      <c r="U3" s="5" t="n">
        <v>125.1</v>
      </c>
      <c r="V3" s="24" t="n">
        <v>0.05772188476949895</v>
      </c>
      <c r="W3" s="4" t="inlineStr">
        <is>
          <t>首贷_人工</t>
        </is>
      </c>
    </row>
    <row r="4">
      <c r="A4" s="4" t="inlineStr">
        <is>
          <t>2025-12</t>
        </is>
      </c>
      <c r="B4" s="4" t="inlineStr">
        <is>
          <t>金条</t>
        </is>
      </c>
      <c r="C4" s="4" t="inlineStr">
        <is>
          <t>复贷</t>
        </is>
      </c>
      <c r="D4" s="4" t="inlineStr">
        <is>
          <t>人工</t>
        </is>
      </c>
      <c r="E4" s="4" t="inlineStr">
        <is>
          <t>人和</t>
        </is>
      </c>
      <c r="F4" s="4" t="inlineStr"/>
      <c r="G4" s="9" t="n">
        <v>39849</v>
      </c>
      <c r="H4" s="9" t="n">
        <v>2176</v>
      </c>
      <c r="I4" s="11" t="n">
        <v>5.46</v>
      </c>
      <c r="J4" s="9" t="n">
        <v>96863400</v>
      </c>
      <c r="K4" s="9" t="n">
        <v>44514</v>
      </c>
      <c r="L4" s="9" t="n">
        <v>6786</v>
      </c>
      <c r="M4" s="11" t="n">
        <v>0.36</v>
      </c>
      <c r="N4" s="23" t="n">
        <v>1.068</v>
      </c>
      <c r="O4" s="9" t="n">
        <v>94545</v>
      </c>
      <c r="P4" s="9" t="n">
        <v>87759</v>
      </c>
      <c r="Q4" s="9" t="n">
        <v>82171</v>
      </c>
      <c r="R4" s="6" t="n">
        <v>86.90000000000001</v>
      </c>
      <c r="S4" s="6" t="n">
        <v>7.2</v>
      </c>
      <c r="T4" s="5" t="n">
        <v>43.4</v>
      </c>
      <c r="U4" s="5" t="n">
        <v>37.8</v>
      </c>
      <c r="V4" s="24" t="n">
        <v>0.002516688449920197</v>
      </c>
      <c r="W4" s="4" t="inlineStr">
        <is>
          <t>复贷_人工</t>
        </is>
      </c>
    </row>
    <row r="5">
      <c r="A5" s="4" t="inlineStr">
        <is>
          <t>2025-12</t>
        </is>
      </c>
      <c r="B5" s="4" t="inlineStr">
        <is>
          <t>金条</t>
        </is>
      </c>
      <c r="C5" s="4" t="inlineStr">
        <is>
          <t>首贷</t>
        </is>
      </c>
      <c r="D5" s="4" t="inlineStr">
        <is>
          <t>人工</t>
        </is>
      </c>
      <c r="E5" s="4" t="inlineStr">
        <is>
          <t>伽玛</t>
        </is>
      </c>
      <c r="F5" s="4" t="inlineStr"/>
      <c r="G5" s="9" t="n">
        <v>261882</v>
      </c>
      <c r="H5" s="9" t="n">
        <v>3944</v>
      </c>
      <c r="I5" s="11" t="n">
        <v>1.51</v>
      </c>
      <c r="J5" s="9" t="n">
        <v>142868400</v>
      </c>
      <c r="K5" s="9" t="n">
        <v>36224</v>
      </c>
      <c r="L5" s="9" t="n">
        <v>47100</v>
      </c>
      <c r="M5" s="11" t="n">
        <v>0.07000000000000001</v>
      </c>
      <c r="N5" s="23" t="n">
        <v>1.068</v>
      </c>
      <c r="O5" s="9" t="n">
        <v>648910</v>
      </c>
      <c r="P5" s="9" t="n">
        <v>601810</v>
      </c>
      <c r="Q5" s="9" t="n">
        <v>563493</v>
      </c>
      <c r="R5" s="6" t="n">
        <v>86.8</v>
      </c>
      <c r="S5" s="6" t="n">
        <v>7.3</v>
      </c>
      <c r="T5" s="5" t="n">
        <v>164.5</v>
      </c>
      <c r="U5" s="5" t="n">
        <v>142.9</v>
      </c>
      <c r="V5" s="24" t="n">
        <v>0.06017625811086085</v>
      </c>
      <c r="W5" s="4" t="inlineStr">
        <is>
          <t>首贷_人工</t>
        </is>
      </c>
    </row>
    <row r="6">
      <c r="A6" s="4" t="inlineStr">
        <is>
          <t>2025-12</t>
        </is>
      </c>
      <c r="B6" s="4" t="inlineStr">
        <is>
          <t>金条</t>
        </is>
      </c>
      <c r="C6" s="4" t="inlineStr">
        <is>
          <t>复贷</t>
        </is>
      </c>
      <c r="D6" s="4" t="inlineStr">
        <is>
          <t>人工</t>
        </is>
      </c>
      <c r="E6" s="4" t="inlineStr">
        <is>
          <t>伽玛</t>
        </is>
      </c>
      <c r="F6" s="4" t="inlineStr"/>
      <c r="G6" s="9" t="n">
        <v>218023</v>
      </c>
      <c r="H6" s="9" t="n">
        <v>11078</v>
      </c>
      <c r="I6" s="11" t="n">
        <v>5.08</v>
      </c>
      <c r="J6" s="9" t="n">
        <v>402258300</v>
      </c>
      <c r="K6" s="9" t="n">
        <v>36311</v>
      </c>
      <c r="L6" s="9" t="n">
        <v>44314</v>
      </c>
      <c r="M6" s="11" t="n">
        <v>0.36</v>
      </c>
      <c r="N6" s="23" t="n">
        <v>1.068</v>
      </c>
      <c r="O6" s="9" t="n">
        <v>391833</v>
      </c>
      <c r="P6" s="9" t="n">
        <v>347519</v>
      </c>
      <c r="Q6" s="9" t="n">
        <v>325391</v>
      </c>
      <c r="R6" s="6" t="n">
        <v>83</v>
      </c>
      <c r="S6" s="6" t="n">
        <v>11.3</v>
      </c>
      <c r="T6" s="5" t="n">
        <v>35.4</v>
      </c>
      <c r="U6" s="5" t="n">
        <v>29.4</v>
      </c>
      <c r="V6" s="24" t="n">
        <v>0.002399777843131032</v>
      </c>
      <c r="W6" s="4" t="inlineStr">
        <is>
          <t>复贷_人工</t>
        </is>
      </c>
    </row>
    <row r="7">
      <c r="A7" s="4" t="inlineStr">
        <is>
          <t>2025-12</t>
        </is>
      </c>
      <c r="B7" s="4" t="inlineStr">
        <is>
          <t>金条</t>
        </is>
      </c>
      <c r="C7" s="4" t="inlineStr">
        <is>
          <t>复贷</t>
        </is>
      </c>
      <c r="D7" s="4" t="inlineStr">
        <is>
          <t>人工</t>
        </is>
      </c>
      <c r="E7" s="4" t="inlineStr">
        <is>
          <t>兴格毅</t>
        </is>
      </c>
      <c r="F7" s="4" t="inlineStr"/>
      <c r="G7" s="9" t="n">
        <v>90649</v>
      </c>
      <c r="H7" s="9" t="n">
        <v>4725</v>
      </c>
      <c r="I7" s="11" t="n">
        <v>5.21</v>
      </c>
      <c r="J7" s="9" t="n">
        <v>167128500</v>
      </c>
      <c r="K7" s="9" t="n">
        <v>35371</v>
      </c>
      <c r="L7" s="9" t="n">
        <v>13080</v>
      </c>
      <c r="M7" s="11" t="n">
        <v>0.36</v>
      </c>
      <c r="N7" s="23" t="n">
        <v>1.068</v>
      </c>
      <c r="O7" s="9" t="n">
        <v>164057</v>
      </c>
      <c r="P7" s="9" t="n">
        <v>150977</v>
      </c>
      <c r="Q7" s="9" t="n">
        <v>141364</v>
      </c>
      <c r="R7" s="6" t="n">
        <v>86.2</v>
      </c>
      <c r="S7" s="6" t="n">
        <v>8</v>
      </c>
      <c r="T7" s="5" t="n">
        <v>34.7</v>
      </c>
      <c r="U7" s="5" t="n">
        <v>29.9</v>
      </c>
      <c r="V7" s="24" t="n">
        <v>0.002509329979958867</v>
      </c>
      <c r="W7" s="4" t="inlineStr">
        <is>
          <t>复贷_人工</t>
        </is>
      </c>
    </row>
    <row r="8">
      <c r="A8" s="4" t="inlineStr">
        <is>
          <t>2025-12</t>
        </is>
      </c>
      <c r="B8" s="4" t="inlineStr">
        <is>
          <t>金条</t>
        </is>
      </c>
      <c r="C8" s="4" t="inlineStr">
        <is>
          <t>复贷</t>
        </is>
      </c>
      <c r="D8" s="4" t="inlineStr">
        <is>
          <t>人工</t>
        </is>
      </c>
      <c r="E8" s="4" t="inlineStr">
        <is>
          <t>华啸</t>
        </is>
      </c>
      <c r="F8" s="4" t="inlineStr"/>
      <c r="G8" s="9" t="n">
        <v>130372</v>
      </c>
      <c r="H8" s="9" t="n">
        <v>6160</v>
      </c>
      <c r="I8" s="11" t="n">
        <v>4.72</v>
      </c>
      <c r="J8" s="9" t="n">
        <v>218499100</v>
      </c>
      <c r="K8" s="9" t="n">
        <v>35471</v>
      </c>
      <c r="L8" s="9" t="n">
        <v>19837</v>
      </c>
      <c r="M8" s="11" t="n">
        <v>0.36</v>
      </c>
      <c r="N8" s="23" t="n">
        <v>1.068</v>
      </c>
      <c r="O8" s="9" t="n">
        <v>213901</v>
      </c>
      <c r="P8" s="9" t="n">
        <v>194064</v>
      </c>
      <c r="Q8" s="9" t="n">
        <v>181708</v>
      </c>
      <c r="R8" s="6" t="n">
        <v>84.90000000000001</v>
      </c>
      <c r="S8" s="6" t="n">
        <v>9.300000000000001</v>
      </c>
      <c r="T8" s="5" t="n">
        <v>34.7</v>
      </c>
      <c r="U8" s="5" t="n">
        <v>29.5</v>
      </c>
      <c r="V8" s="24" t="n">
        <v>0.002467134494680604</v>
      </c>
      <c r="W8" s="4" t="inlineStr">
        <is>
          <t>复贷_人工</t>
        </is>
      </c>
    </row>
    <row r="9">
      <c r="A9" s="4" t="inlineStr">
        <is>
          <t>2025-12</t>
        </is>
      </c>
      <c r="B9" s="4" t="inlineStr">
        <is>
          <t>金条</t>
        </is>
      </c>
      <c r="C9" s="4" t="inlineStr">
        <is>
          <t>首贷</t>
        </is>
      </c>
      <c r="D9" s="4" t="inlineStr">
        <is>
          <t>人工</t>
        </is>
      </c>
      <c r="E9" s="4" t="inlineStr">
        <is>
          <t>博岳石家庄</t>
        </is>
      </c>
      <c r="F9" s="4" t="inlineStr">
        <is>
          <t>石家庄</t>
        </is>
      </c>
      <c r="G9" s="9" t="n">
        <v>183762</v>
      </c>
      <c r="H9" s="9" t="n">
        <v>2943</v>
      </c>
      <c r="I9" s="11" t="n">
        <v>1.6</v>
      </c>
      <c r="J9" s="9" t="n">
        <v>100186300</v>
      </c>
      <c r="K9" s="9" t="n">
        <v>34042</v>
      </c>
      <c r="L9" s="9" t="n">
        <v>28178</v>
      </c>
      <c r="M9" s="11" t="n">
        <v>0.07000000000000001</v>
      </c>
      <c r="N9" s="23" t="n">
        <v>1.068</v>
      </c>
      <c r="O9" s="9" t="n">
        <v>453933</v>
      </c>
      <c r="P9" s="9" t="n">
        <v>425755</v>
      </c>
      <c r="Q9" s="9" t="n">
        <v>398647</v>
      </c>
      <c r="R9" s="6" t="n">
        <v>87.8</v>
      </c>
      <c r="S9" s="6" t="n">
        <v>6.2</v>
      </c>
      <c r="T9" s="5" t="n">
        <v>154.2</v>
      </c>
      <c r="U9" s="5" t="n">
        <v>135.5</v>
      </c>
      <c r="V9" s="24" t="n">
        <v>0.06070904191206068</v>
      </c>
      <c r="W9" s="4" t="inlineStr">
        <is>
          <t>首贷_人工</t>
        </is>
      </c>
    </row>
    <row r="10">
      <c r="A10" s="4" t="inlineStr">
        <is>
          <t>2025-12</t>
        </is>
      </c>
      <c r="B10" s="4" t="inlineStr">
        <is>
          <t>金条</t>
        </is>
      </c>
      <c r="C10" s="4" t="inlineStr">
        <is>
          <t>复贷</t>
        </is>
      </c>
      <c r="D10" s="4" t="inlineStr">
        <is>
          <t>人工</t>
        </is>
      </c>
      <c r="E10" s="4" t="inlineStr">
        <is>
          <t>博岳石家庄</t>
        </is>
      </c>
      <c r="F10" s="4" t="inlineStr">
        <is>
          <t>石家庄</t>
        </is>
      </c>
      <c r="G10" s="9" t="n">
        <v>96381</v>
      </c>
      <c r="H10" s="9" t="n">
        <v>4660</v>
      </c>
      <c r="I10" s="11" t="n">
        <v>4.83</v>
      </c>
      <c r="J10" s="9" t="n">
        <v>168733200</v>
      </c>
      <c r="K10" s="9" t="n">
        <v>36209</v>
      </c>
      <c r="L10" s="9" t="n">
        <v>15541</v>
      </c>
      <c r="M10" s="11" t="n">
        <v>0.36</v>
      </c>
      <c r="N10" s="23" t="n">
        <v>1.068</v>
      </c>
      <c r="O10" s="9" t="n">
        <v>164995</v>
      </c>
      <c r="P10" s="9" t="n">
        <v>149454</v>
      </c>
      <c r="Q10" s="9" t="n">
        <v>139938</v>
      </c>
      <c r="R10" s="6" t="n">
        <v>84.8</v>
      </c>
      <c r="S10" s="6" t="n">
        <v>9.4</v>
      </c>
      <c r="T10" s="5" t="n">
        <v>35.4</v>
      </c>
      <c r="U10" s="5" t="n">
        <v>30</v>
      </c>
      <c r="V10" s="24" t="n">
        <v>0.002460393093949501</v>
      </c>
      <c r="W10" s="4" t="inlineStr">
        <is>
          <t>复贷_人工</t>
        </is>
      </c>
    </row>
    <row r="11">
      <c r="A11" s="4" t="inlineStr">
        <is>
          <t>2025-12</t>
        </is>
      </c>
      <c r="B11" s="4" t="inlineStr">
        <is>
          <t>金条</t>
        </is>
      </c>
      <c r="C11" s="4" t="inlineStr">
        <is>
          <t>首贷</t>
        </is>
      </c>
      <c r="D11" s="4" t="inlineStr">
        <is>
          <t>人工</t>
        </is>
      </c>
      <c r="E11" s="4" t="inlineStr">
        <is>
          <t>宿迁兆科</t>
        </is>
      </c>
      <c r="F11" s="4" t="inlineStr">
        <is>
          <t>宿迁</t>
        </is>
      </c>
      <c r="G11" s="9" t="n">
        <v>39853</v>
      </c>
      <c r="H11" s="9" t="n">
        <v>617</v>
      </c>
      <c r="I11" s="11" t="n">
        <v>1.55</v>
      </c>
      <c r="J11" s="9" t="n">
        <v>11267300</v>
      </c>
      <c r="K11" s="9" t="n">
        <v>18261</v>
      </c>
      <c r="L11" s="9" t="n">
        <v>5090</v>
      </c>
      <c r="M11" s="11" t="n">
        <v>0.07000000000000001</v>
      </c>
      <c r="N11" s="23" t="n">
        <v>1.068</v>
      </c>
      <c r="O11" s="9" t="n">
        <v>49248</v>
      </c>
      <c r="P11" s="9" t="n">
        <v>44158</v>
      </c>
      <c r="Q11" s="9" t="n">
        <v>41346</v>
      </c>
      <c r="R11" s="6" t="n">
        <v>84</v>
      </c>
      <c r="S11" s="6" t="n">
        <v>10.3</v>
      </c>
      <c r="T11" s="5" t="n">
        <v>79.8</v>
      </c>
      <c r="U11" s="5" t="n">
        <v>67</v>
      </c>
      <c r="V11" s="24" t="n">
        <v>0.05598755437669817</v>
      </c>
      <c r="W11" s="4" t="inlineStr">
        <is>
          <t>首贷_人工</t>
        </is>
      </c>
    </row>
    <row r="12">
      <c r="A12" s="4" t="inlineStr">
        <is>
          <t>2025-12</t>
        </is>
      </c>
      <c r="B12" s="4" t="inlineStr">
        <is>
          <t>金条</t>
        </is>
      </c>
      <c r="C12" s="4" t="inlineStr">
        <is>
          <t>复贷</t>
        </is>
      </c>
      <c r="D12" s="4" t="inlineStr">
        <is>
          <t>人工</t>
        </is>
      </c>
      <c r="E12" s="4" t="inlineStr">
        <is>
          <t>宿迁兆科</t>
        </is>
      </c>
      <c r="F12" s="4" t="inlineStr">
        <is>
          <t>宿迁</t>
        </is>
      </c>
      <c r="G12" s="9" t="n">
        <v>58432</v>
      </c>
      <c r="H12" s="9" t="n">
        <v>4133</v>
      </c>
      <c r="I12" s="11" t="n">
        <v>7.07</v>
      </c>
      <c r="J12" s="9" t="n">
        <v>145065000</v>
      </c>
      <c r="K12" s="9" t="n">
        <v>35099</v>
      </c>
      <c r="L12" s="9" t="n">
        <v>8442</v>
      </c>
      <c r="M12" s="11" t="n">
        <v>0.36</v>
      </c>
      <c r="N12" s="23" t="n">
        <v>1.068</v>
      </c>
      <c r="O12" s="9" t="n">
        <v>147618</v>
      </c>
      <c r="P12" s="9" t="n">
        <v>139176</v>
      </c>
      <c r="Q12" s="9" t="n">
        <v>130315</v>
      </c>
      <c r="R12" s="6" t="n">
        <v>88.3</v>
      </c>
      <c r="S12" s="6" t="n">
        <v>5.7</v>
      </c>
      <c r="T12" s="5" t="n">
        <v>35.7</v>
      </c>
      <c r="U12" s="5" t="n">
        <v>31.5</v>
      </c>
      <c r="V12" s="24" t="n">
        <v>0.002665012235894254</v>
      </c>
      <c r="W12" s="4" t="inlineStr">
        <is>
          <t>复贷_人工</t>
        </is>
      </c>
    </row>
    <row r="13">
      <c r="A13" s="4" t="inlineStr">
        <is>
          <t>2025-12</t>
        </is>
      </c>
      <c r="B13" s="4" t="inlineStr">
        <is>
          <t>金条</t>
        </is>
      </c>
      <c r="C13" s="4" t="inlineStr">
        <is>
          <t>复贷</t>
        </is>
      </c>
      <c r="D13" s="4" t="inlineStr">
        <is>
          <t>人工</t>
        </is>
      </c>
      <c r="E13" s="4" t="inlineStr">
        <is>
          <t>岐力</t>
        </is>
      </c>
      <c r="F13" s="4" t="inlineStr"/>
      <c r="G13" s="9" t="n">
        <v>172644</v>
      </c>
      <c r="H13" s="9" t="n">
        <v>8956</v>
      </c>
      <c r="I13" s="11" t="n">
        <v>5.19</v>
      </c>
      <c r="J13" s="9" t="n">
        <v>354112600</v>
      </c>
      <c r="K13" s="9" t="n">
        <v>39539</v>
      </c>
      <c r="L13" s="9" t="n">
        <v>27220</v>
      </c>
      <c r="M13" s="11" t="n">
        <v>0.36</v>
      </c>
      <c r="N13" s="23" t="n">
        <v>1.068</v>
      </c>
      <c r="O13" s="9" t="n">
        <v>329997</v>
      </c>
      <c r="P13" s="9" t="n">
        <v>302777</v>
      </c>
      <c r="Q13" s="9" t="n">
        <v>283499</v>
      </c>
      <c r="R13" s="6" t="n">
        <v>85.90000000000001</v>
      </c>
      <c r="S13" s="6" t="n">
        <v>8.199999999999999</v>
      </c>
      <c r="T13" s="5" t="n">
        <v>36.8</v>
      </c>
      <c r="U13" s="5" t="n">
        <v>31.7</v>
      </c>
      <c r="V13" s="24" t="n">
        <v>0.00237508414617899</v>
      </c>
      <c r="W13" s="4" t="inlineStr">
        <is>
          <t>复贷_人工</t>
        </is>
      </c>
    </row>
    <row r="14">
      <c r="A14" s="4" t="inlineStr">
        <is>
          <t>2025-12</t>
        </is>
      </c>
      <c r="B14" s="4" t="inlineStr">
        <is>
          <t>金条</t>
        </is>
      </c>
      <c r="C14" s="4" t="inlineStr">
        <is>
          <t>首贷</t>
        </is>
      </c>
      <c r="D14" s="4" t="inlineStr">
        <is>
          <t>人工</t>
        </is>
      </c>
      <c r="E14" s="4" t="inlineStr">
        <is>
          <t>广达陕西</t>
        </is>
      </c>
      <c r="F14" s="4" t="inlineStr">
        <is>
          <t>陕西</t>
        </is>
      </c>
      <c r="G14" s="9" t="n">
        <v>102006</v>
      </c>
      <c r="H14" s="9" t="n">
        <v>1553</v>
      </c>
      <c r="I14" s="11" t="n">
        <v>1.52</v>
      </c>
      <c r="J14" s="9" t="n">
        <v>50760600</v>
      </c>
      <c r="K14" s="9" t="n">
        <v>32686</v>
      </c>
      <c r="L14" s="9" t="n">
        <v>16148</v>
      </c>
      <c r="M14" s="11" t="n">
        <v>0.07000000000000001</v>
      </c>
      <c r="N14" s="23" t="n">
        <v>1.068</v>
      </c>
      <c r="O14" s="9" t="n">
        <v>226020</v>
      </c>
      <c r="P14" s="9" t="n">
        <v>209872</v>
      </c>
      <c r="Q14" s="9" t="n">
        <v>196509</v>
      </c>
      <c r="R14" s="6" t="n">
        <v>86.90000000000001</v>
      </c>
      <c r="S14" s="6" t="n">
        <v>7.1</v>
      </c>
      <c r="T14" s="5" t="n">
        <v>145.5</v>
      </c>
      <c r="U14" s="5" t="n">
        <v>126.5</v>
      </c>
      <c r="V14" s="24" t="n">
        <v>0.05906493281347006</v>
      </c>
      <c r="W14" s="4" t="inlineStr">
        <is>
          <t>首贷_人工</t>
        </is>
      </c>
    </row>
    <row r="15">
      <c r="A15" s="4" t="inlineStr">
        <is>
          <t>2025-12</t>
        </is>
      </c>
      <c r="B15" s="4" t="inlineStr">
        <is>
          <t>金条</t>
        </is>
      </c>
      <c r="C15" s="4" t="inlineStr">
        <is>
          <t>复贷</t>
        </is>
      </c>
      <c r="D15" s="4" t="inlineStr">
        <is>
          <t>人工</t>
        </is>
      </c>
      <c r="E15" s="4" t="inlineStr">
        <is>
          <t>广达陕西</t>
        </is>
      </c>
      <c r="F15" s="4" t="inlineStr">
        <is>
          <t>陕西</t>
        </is>
      </c>
      <c r="G15" s="9" t="n">
        <v>65815</v>
      </c>
      <c r="H15" s="9" t="n">
        <v>3338</v>
      </c>
      <c r="I15" s="11" t="n">
        <v>5.07</v>
      </c>
      <c r="J15" s="9" t="n">
        <v>103037500</v>
      </c>
      <c r="K15" s="9" t="n">
        <v>30868</v>
      </c>
      <c r="L15" s="9" t="n">
        <v>12893</v>
      </c>
      <c r="M15" s="11" t="n">
        <v>0.36</v>
      </c>
      <c r="N15" s="23" t="n">
        <v>1.068</v>
      </c>
      <c r="O15" s="9" t="n">
        <v>100148</v>
      </c>
      <c r="P15" s="9" t="n">
        <v>87255</v>
      </c>
      <c r="Q15" s="9" t="n">
        <v>81699</v>
      </c>
      <c r="R15" s="6" t="n">
        <v>81.59999999999999</v>
      </c>
      <c r="S15" s="6" t="n">
        <v>12.9</v>
      </c>
      <c r="T15" s="5" t="n">
        <v>30</v>
      </c>
      <c r="U15" s="5" t="n">
        <v>24.5</v>
      </c>
      <c r="V15" s="24" t="n">
        <v>0.002352298920296009</v>
      </c>
      <c r="W15" s="4" t="inlineStr">
        <is>
          <t>复贷_人工</t>
        </is>
      </c>
    </row>
    <row r="16">
      <c r="A16" s="4" t="inlineStr">
        <is>
          <t>2025-12</t>
        </is>
      </c>
      <c r="B16" s="4" t="inlineStr">
        <is>
          <t>金条</t>
        </is>
      </c>
      <c r="C16" s="4" t="inlineStr">
        <is>
          <t>首贷</t>
        </is>
      </c>
      <c r="D16" s="4" t="inlineStr">
        <is>
          <t>人工</t>
        </is>
      </c>
      <c r="E16" s="4" t="inlineStr">
        <is>
          <t>毅航合肥</t>
        </is>
      </c>
      <c r="F16" s="4" t="inlineStr">
        <is>
          <t>合肥</t>
        </is>
      </c>
      <c r="G16" s="9" t="n">
        <v>786515</v>
      </c>
      <c r="H16" s="9" t="n">
        <v>12669</v>
      </c>
      <c r="I16" s="11" t="n">
        <v>1.61</v>
      </c>
      <c r="J16" s="9" t="n">
        <v>489557600</v>
      </c>
      <c r="K16" s="9" t="n">
        <v>38642</v>
      </c>
      <c r="L16" s="9" t="n">
        <v>129470</v>
      </c>
      <c r="M16" s="11" t="n">
        <v>0.07000000000000001</v>
      </c>
      <c r="N16" s="23" t="n">
        <v>1.068</v>
      </c>
      <c r="O16" s="9" t="n">
        <v>2174183</v>
      </c>
      <c r="P16" s="9" t="n">
        <v>2044713</v>
      </c>
      <c r="Q16" s="9" t="n">
        <v>1914526</v>
      </c>
      <c r="R16" s="6" t="n">
        <v>88.09999999999999</v>
      </c>
      <c r="S16" s="6" t="n">
        <v>6</v>
      </c>
      <c r="T16" s="5" t="n">
        <v>171.6</v>
      </c>
      <c r="U16" s="5" t="n">
        <v>151.1</v>
      </c>
      <c r="V16" s="24" t="n">
        <v>0.05966649422720782</v>
      </c>
      <c r="W16" s="4" t="inlineStr">
        <is>
          <t>首贷_人工</t>
        </is>
      </c>
    </row>
    <row r="17">
      <c r="A17" s="4" t="inlineStr">
        <is>
          <t>2025-12</t>
        </is>
      </c>
      <c r="B17" s="4" t="inlineStr">
        <is>
          <t>金条</t>
        </is>
      </c>
      <c r="C17" s="4" t="inlineStr">
        <is>
          <t>复贷</t>
        </is>
      </c>
      <c r="D17" s="4" t="inlineStr">
        <is>
          <t>人工</t>
        </is>
      </c>
      <c r="E17" s="4" t="inlineStr">
        <is>
          <t>毅航合肥</t>
        </is>
      </c>
      <c r="F17" s="4" t="inlineStr">
        <is>
          <t>合肥</t>
        </is>
      </c>
      <c r="G17" s="9" t="n">
        <v>444317</v>
      </c>
      <c r="H17" s="9" t="n">
        <v>21452</v>
      </c>
      <c r="I17" s="11" t="n">
        <v>4.83</v>
      </c>
      <c r="J17" s="9" t="n">
        <v>822502600</v>
      </c>
      <c r="K17" s="9" t="n">
        <v>38342</v>
      </c>
      <c r="L17" s="9" t="n">
        <v>69899</v>
      </c>
      <c r="M17" s="11" t="n">
        <v>0.36</v>
      </c>
      <c r="N17" s="23" t="n">
        <v>1.068</v>
      </c>
      <c r="O17" s="9" t="n">
        <v>797874</v>
      </c>
      <c r="P17" s="9" t="n">
        <v>727975</v>
      </c>
      <c r="Q17" s="9" t="n">
        <v>681624</v>
      </c>
      <c r="R17" s="6" t="n">
        <v>85.40000000000001</v>
      </c>
      <c r="S17" s="6" t="n">
        <v>8.800000000000001</v>
      </c>
      <c r="T17" s="5" t="n">
        <v>37.2</v>
      </c>
      <c r="U17" s="5" t="n">
        <v>31.8</v>
      </c>
      <c r="V17" s="24" t="n">
        <v>0.002458536639006099</v>
      </c>
      <c r="W17" s="4" t="inlineStr">
        <is>
          <t>复贷_人工</t>
        </is>
      </c>
    </row>
    <row r="18">
      <c r="A18" s="4" t="inlineStr">
        <is>
          <t>2025-12</t>
        </is>
      </c>
      <c r="B18" s="4" t="inlineStr">
        <is>
          <t>金条</t>
        </is>
      </c>
      <c r="C18" s="4" t="inlineStr">
        <is>
          <t>复贷</t>
        </is>
      </c>
      <c r="D18" s="4" t="inlineStr">
        <is>
          <t>人机</t>
        </is>
      </c>
      <c r="E18" s="4" t="inlineStr">
        <is>
          <t>毛毛虫</t>
        </is>
      </c>
      <c r="F18" s="4" t="inlineStr"/>
      <c r="G18" s="9" t="n">
        <v>1041009</v>
      </c>
      <c r="H18" s="9" t="n">
        <v>5086</v>
      </c>
      <c r="I18" s="11" t="n">
        <v>0.49</v>
      </c>
      <c r="J18" s="9" t="n">
        <v>226073700</v>
      </c>
      <c r="K18" s="9" t="n">
        <v>44450</v>
      </c>
      <c r="L18" s="9" t="n">
        <v>97778</v>
      </c>
      <c r="M18" s="11" t="n">
        <v>0.36</v>
      </c>
      <c r="N18" s="23" t="n">
        <v>1.068</v>
      </c>
      <c r="O18" s="9" t="n">
        <v>257543</v>
      </c>
      <c r="P18" s="9" t="n">
        <v>159765</v>
      </c>
      <c r="Q18" s="9" t="n">
        <v>149593</v>
      </c>
      <c r="R18" s="6" t="n">
        <v>58.1</v>
      </c>
      <c r="S18" s="6" t="n">
        <v>38</v>
      </c>
      <c r="T18" s="5" t="n">
        <v>50.6</v>
      </c>
      <c r="U18" s="5" t="n">
        <v>29.4</v>
      </c>
      <c r="V18" s="24" t="n">
        <v>0.001963039781569757</v>
      </c>
      <c r="W18" s="4" t="inlineStr">
        <is>
          <t>复贷_人机</t>
        </is>
      </c>
    </row>
    <row r="19">
      <c r="A19" s="4" t="inlineStr">
        <is>
          <t>2025-12</t>
        </is>
      </c>
      <c r="B19" s="4" t="inlineStr">
        <is>
          <t>金条</t>
        </is>
      </c>
      <c r="C19" s="4" t="inlineStr">
        <is>
          <t>首贷</t>
        </is>
      </c>
      <c r="D19" s="4" t="inlineStr">
        <is>
          <t>人工</t>
        </is>
      </c>
      <c r="E19" s="4" t="inlineStr">
        <is>
          <t>毛毛虫</t>
        </is>
      </c>
      <c r="F19" s="4" t="inlineStr"/>
      <c r="G19" s="9" t="n">
        <v>537454</v>
      </c>
      <c r="H19" s="9" t="n">
        <v>9316</v>
      </c>
      <c r="I19" s="11" t="n">
        <v>1.73</v>
      </c>
      <c r="J19" s="9" t="n">
        <v>305428500</v>
      </c>
      <c r="K19" s="9" t="n">
        <v>32785</v>
      </c>
      <c r="L19" s="9" t="n">
        <v>84335</v>
      </c>
      <c r="M19" s="11" t="n">
        <v>0.07000000000000001</v>
      </c>
      <c r="N19" s="23" t="n">
        <v>1.068</v>
      </c>
      <c r="O19" s="9" t="n">
        <v>1350237</v>
      </c>
      <c r="P19" s="9" t="n">
        <v>1265902</v>
      </c>
      <c r="Q19" s="9" t="n">
        <v>1185302</v>
      </c>
      <c r="R19" s="6" t="n">
        <v>87.8</v>
      </c>
      <c r="S19" s="6" t="n">
        <v>6.2</v>
      </c>
      <c r="T19" s="5" t="n">
        <v>144.9</v>
      </c>
      <c r="U19" s="5" t="n">
        <v>127.2</v>
      </c>
      <c r="V19" s="24" t="n">
        <v>0.05920964902003016</v>
      </c>
      <c r="W19" s="4" t="inlineStr">
        <is>
          <t>首贷_人工</t>
        </is>
      </c>
    </row>
    <row r="20">
      <c r="A20" s="4" t="inlineStr">
        <is>
          <t>2025-12</t>
        </is>
      </c>
      <c r="B20" s="4" t="inlineStr">
        <is>
          <t>金条</t>
        </is>
      </c>
      <c r="C20" s="4" t="inlineStr">
        <is>
          <t>复贷</t>
        </is>
      </c>
      <c r="D20" s="4" t="inlineStr">
        <is>
          <t>人工</t>
        </is>
      </c>
      <c r="E20" s="4" t="inlineStr">
        <is>
          <t>毛毛虫</t>
        </is>
      </c>
      <c r="F20" s="4" t="inlineStr"/>
      <c r="G20" s="9" t="n">
        <v>191715</v>
      </c>
      <c r="H20" s="9" t="n">
        <v>8647</v>
      </c>
      <c r="I20" s="11" t="n">
        <v>4.51</v>
      </c>
      <c r="J20" s="9" t="n">
        <v>260852800</v>
      </c>
      <c r="K20" s="9" t="n">
        <v>30167</v>
      </c>
      <c r="L20" s="9" t="n">
        <v>25850</v>
      </c>
      <c r="M20" s="11" t="n">
        <v>0.36</v>
      </c>
      <c r="N20" s="23" t="n">
        <v>1.068</v>
      </c>
      <c r="O20" s="9" t="n">
        <v>257122</v>
      </c>
      <c r="P20" s="9" t="n">
        <v>231272</v>
      </c>
      <c r="Q20" s="9" t="n">
        <v>216547</v>
      </c>
      <c r="R20" s="6" t="n">
        <v>84.2</v>
      </c>
      <c r="S20" s="6" t="n">
        <v>10.1</v>
      </c>
      <c r="T20" s="5" t="n">
        <v>29.7</v>
      </c>
      <c r="U20" s="5" t="n">
        <v>25</v>
      </c>
      <c r="V20" s="24" t="n">
        <v>0.002462776792973747</v>
      </c>
      <c r="W20" s="4" t="inlineStr">
        <is>
          <t>复贷_人工</t>
        </is>
      </c>
    </row>
    <row r="21">
      <c r="A21" s="4" t="inlineStr">
        <is>
          <t>2025-12</t>
        </is>
      </c>
      <c r="B21" s="4" t="inlineStr">
        <is>
          <t>金条</t>
        </is>
      </c>
      <c r="C21" s="4" t="inlineStr">
        <is>
          <t>首贷</t>
        </is>
      </c>
      <c r="D21" s="4" t="inlineStr">
        <is>
          <t>人工</t>
        </is>
      </c>
      <c r="E21" s="4" t="inlineStr">
        <is>
          <t>汇讯</t>
        </is>
      </c>
      <c r="F21" s="4" t="inlineStr"/>
      <c r="G21" s="9" t="n">
        <v>258886</v>
      </c>
      <c r="H21" s="9" t="n">
        <v>4111</v>
      </c>
      <c r="I21" s="11" t="n">
        <v>1.59</v>
      </c>
      <c r="J21" s="9" t="n">
        <v>141470800</v>
      </c>
      <c r="K21" s="9" t="n">
        <v>34413</v>
      </c>
      <c r="L21" s="9" t="n">
        <v>44125</v>
      </c>
      <c r="M21" s="11" t="n">
        <v>0.07000000000000001</v>
      </c>
      <c r="N21" s="23" t="n">
        <v>1.068</v>
      </c>
      <c r="O21" s="9" t="n">
        <v>641638</v>
      </c>
      <c r="P21" s="9" t="n">
        <v>597513</v>
      </c>
      <c r="Q21" s="9" t="n">
        <v>559469</v>
      </c>
      <c r="R21" s="6" t="n">
        <v>87.2</v>
      </c>
      <c r="S21" s="6" t="n">
        <v>6.9</v>
      </c>
      <c r="T21" s="5" t="n">
        <v>156.1</v>
      </c>
      <c r="U21" s="5" t="n">
        <v>136.1</v>
      </c>
      <c r="V21" s="24" t="n">
        <v>0.06033683275983453</v>
      </c>
      <c r="W21" s="4" t="inlineStr">
        <is>
          <t>首贷_人工</t>
        </is>
      </c>
    </row>
    <row r="22">
      <c r="A22" s="4" t="inlineStr">
        <is>
          <t>2025-12</t>
        </is>
      </c>
      <c r="B22" s="4" t="inlineStr">
        <is>
          <t>金条</t>
        </is>
      </c>
      <c r="C22" s="4" t="inlineStr">
        <is>
          <t>复贷</t>
        </is>
      </c>
      <c r="D22" s="4" t="inlineStr">
        <is>
          <t>人工</t>
        </is>
      </c>
      <c r="E22" s="4" t="inlineStr">
        <is>
          <t>汇讯</t>
        </is>
      </c>
      <c r="F22" s="4" t="inlineStr"/>
      <c r="G22" s="9" t="n">
        <v>131628</v>
      </c>
      <c r="H22" s="9" t="n">
        <v>6342</v>
      </c>
      <c r="I22" s="11" t="n">
        <v>4.82</v>
      </c>
      <c r="J22" s="9" t="n">
        <v>208852600</v>
      </c>
      <c r="K22" s="9" t="n">
        <v>32932</v>
      </c>
      <c r="L22" s="9" t="n">
        <v>18067</v>
      </c>
      <c r="M22" s="11" t="n">
        <v>0.36</v>
      </c>
      <c r="N22" s="23" t="n">
        <v>1.068</v>
      </c>
      <c r="O22" s="9" t="n">
        <v>203503</v>
      </c>
      <c r="P22" s="9" t="n">
        <v>185436</v>
      </c>
      <c r="Q22" s="9" t="n">
        <v>173630</v>
      </c>
      <c r="R22" s="6" t="n">
        <v>85.3</v>
      </c>
      <c r="S22" s="6" t="n">
        <v>8.9</v>
      </c>
      <c r="T22" s="5" t="n">
        <v>32.1</v>
      </c>
      <c r="U22" s="5" t="n">
        <v>27.4</v>
      </c>
      <c r="V22" s="24" t="n">
        <v>0.002466332715034431</v>
      </c>
      <c r="W22" s="4" t="inlineStr">
        <is>
          <t>复贷_人工</t>
        </is>
      </c>
    </row>
    <row r="23">
      <c r="A23" s="4" t="inlineStr">
        <is>
          <t>2025-12</t>
        </is>
      </c>
      <c r="B23" s="4" t="inlineStr">
        <is>
          <t>金条</t>
        </is>
      </c>
      <c r="C23" s="4" t="inlineStr">
        <is>
          <t>首贷</t>
        </is>
      </c>
      <c r="D23" s="4" t="inlineStr">
        <is>
          <t>纯机</t>
        </is>
      </c>
      <c r="E23" s="4" t="inlineStr">
        <is>
          <t>电话邦</t>
        </is>
      </c>
      <c r="F23" s="4" t="inlineStr"/>
      <c r="G23" s="9" t="n">
        <v>1059862</v>
      </c>
      <c r="H23" s="9" t="n">
        <v>660</v>
      </c>
      <c r="I23" s="11" t="n">
        <v>0.06</v>
      </c>
      <c r="J23" s="9" t="n">
        <v>8137100</v>
      </c>
      <c r="K23" s="9" t="n">
        <v>12329</v>
      </c>
      <c r="L23" s="9" t="n">
        <v>87373</v>
      </c>
      <c r="M23" s="11" t="n">
        <v>0.07000000000000001</v>
      </c>
      <c r="N23" s="23" t="n">
        <v>1.068</v>
      </c>
      <c r="O23" s="9" t="n">
        <v>92070</v>
      </c>
      <c r="P23" s="9" t="n">
        <v>4697</v>
      </c>
      <c r="Q23" s="9" t="n">
        <v>4398</v>
      </c>
      <c r="R23" s="6" t="n">
        <v>4.8</v>
      </c>
      <c r="S23" s="6" t="n">
        <v>94.90000000000001</v>
      </c>
      <c r="T23" s="5" t="n">
        <v>139.5</v>
      </c>
      <c r="U23" s="5" t="n">
        <v>6.7</v>
      </c>
      <c r="V23" s="24" t="n">
        <v>0.008246181071880646</v>
      </c>
      <c r="W23" s="4" t="inlineStr">
        <is>
          <t>首贷_纯机</t>
        </is>
      </c>
    </row>
    <row r="24">
      <c r="A24" s="4" t="inlineStr">
        <is>
          <t>2025-12</t>
        </is>
      </c>
      <c r="B24" s="4" t="inlineStr">
        <is>
          <t>金条</t>
        </is>
      </c>
      <c r="C24" s="4" t="inlineStr">
        <is>
          <t>首贷</t>
        </is>
      </c>
      <c r="D24" s="4" t="inlineStr">
        <is>
          <t>人工</t>
        </is>
      </c>
      <c r="E24" s="4" t="inlineStr">
        <is>
          <t>翰锐曲靖</t>
        </is>
      </c>
      <c r="F24" s="4" t="inlineStr">
        <is>
          <t>曲靖</t>
        </is>
      </c>
      <c r="G24" s="9" t="n">
        <v>86514</v>
      </c>
      <c r="H24" s="9" t="n">
        <v>1249</v>
      </c>
      <c r="I24" s="11" t="n">
        <v>1.44</v>
      </c>
      <c r="J24" s="9" t="n">
        <v>48331400</v>
      </c>
      <c r="K24" s="9" t="n">
        <v>38696</v>
      </c>
      <c r="L24" s="9" t="n">
        <v>13458</v>
      </c>
      <c r="M24" s="11" t="n">
        <v>0.07000000000000001</v>
      </c>
      <c r="N24" s="23" t="n">
        <v>1.068</v>
      </c>
      <c r="O24" s="9" t="n">
        <v>226712</v>
      </c>
      <c r="P24" s="9" t="n">
        <v>213254</v>
      </c>
      <c r="Q24" s="9" t="n">
        <v>199676</v>
      </c>
      <c r="R24" s="6" t="n">
        <v>88.09999999999999</v>
      </c>
      <c r="S24" s="6" t="n">
        <v>5.9</v>
      </c>
      <c r="T24" s="5" t="n">
        <v>181.5</v>
      </c>
      <c r="U24" s="5" t="n">
        <v>159.9</v>
      </c>
      <c r="V24" s="24" t="n">
        <v>0.06303326024666601</v>
      </c>
      <c r="W24" s="4" t="inlineStr">
        <is>
          <t>首贷_人工</t>
        </is>
      </c>
    </row>
    <row r="25">
      <c r="A25" s="4" t="inlineStr">
        <is>
          <t>2025-12</t>
        </is>
      </c>
      <c r="B25" s="4" t="inlineStr">
        <is>
          <t>金条</t>
        </is>
      </c>
      <c r="C25" s="4" t="inlineStr">
        <is>
          <t>复贷</t>
        </is>
      </c>
      <c r="D25" s="4" t="inlineStr">
        <is>
          <t>人工</t>
        </is>
      </c>
      <c r="E25" s="4" t="inlineStr">
        <is>
          <t>翰锐曲靖</t>
        </is>
      </c>
      <c r="F25" s="4" t="inlineStr">
        <is>
          <t>曲靖</t>
        </is>
      </c>
      <c r="G25" s="9" t="n">
        <v>283201</v>
      </c>
      <c r="H25" s="9" t="n">
        <v>13663</v>
      </c>
      <c r="I25" s="11" t="n">
        <v>4.82</v>
      </c>
      <c r="J25" s="9" t="n">
        <v>384957000</v>
      </c>
      <c r="K25" s="9" t="n">
        <v>28175</v>
      </c>
      <c r="L25" s="9" t="n">
        <v>44832</v>
      </c>
      <c r="M25" s="11" t="n">
        <v>0.36</v>
      </c>
      <c r="N25" s="23" t="n">
        <v>1.068</v>
      </c>
      <c r="O25" s="9" t="n">
        <v>364143</v>
      </c>
      <c r="P25" s="9" t="n">
        <v>319311</v>
      </c>
      <c r="Q25" s="9" t="n">
        <v>298981</v>
      </c>
      <c r="R25" s="6" t="n">
        <v>82.09999999999999</v>
      </c>
      <c r="S25" s="6" t="n">
        <v>12.3</v>
      </c>
      <c r="T25" s="5" t="n">
        <v>26.7</v>
      </c>
      <c r="U25" s="5" t="n">
        <v>21.9</v>
      </c>
      <c r="V25" s="24" t="n">
        <v>0.002304088508586673</v>
      </c>
      <c r="W25" s="4" t="inlineStr">
        <is>
          <t>复贷_人工</t>
        </is>
      </c>
    </row>
    <row r="26">
      <c r="A26" s="4" t="inlineStr">
        <is>
          <t>2025-12</t>
        </is>
      </c>
      <c r="B26" s="4" t="inlineStr">
        <is>
          <t>金条</t>
        </is>
      </c>
      <c r="C26" s="4" t="inlineStr">
        <is>
          <t>首贷</t>
        </is>
      </c>
      <c r="D26" s="4" t="inlineStr">
        <is>
          <t>纯机</t>
        </is>
      </c>
      <c r="E26" s="4" t="inlineStr">
        <is>
          <t>言犀赛夫</t>
        </is>
      </c>
      <c r="F26" s="4" t="inlineStr"/>
      <c r="G26" s="9" t="n">
        <v>6058258</v>
      </c>
      <c r="H26" s="9" t="n">
        <v>4186</v>
      </c>
      <c r="I26" s="11" t="n">
        <v>0.07000000000000001</v>
      </c>
      <c r="J26" s="9" t="n">
        <v>75743800</v>
      </c>
      <c r="K26" s="9" t="n">
        <v>18095</v>
      </c>
      <c r="L26" s="9" t="n">
        <v>519620</v>
      </c>
      <c r="M26" s="11" t="n">
        <v>0.07000000000000001</v>
      </c>
      <c r="N26" s="23" t="n">
        <v>1.068</v>
      </c>
      <c r="O26" s="9" t="n">
        <v>583947</v>
      </c>
      <c r="P26" s="9" t="n">
        <v>64327</v>
      </c>
      <c r="Q26" s="9" t="n">
        <v>60232</v>
      </c>
      <c r="R26" s="6" t="n">
        <v>10.3</v>
      </c>
      <c r="S26" s="6" t="n">
        <v>89</v>
      </c>
      <c r="T26" s="5" t="n">
        <v>139.5</v>
      </c>
      <c r="U26" s="5" t="n">
        <v>14.4</v>
      </c>
      <c r="V26" s="24" t="n">
        <v>0.01213244044868547</v>
      </c>
      <c r="W26" s="4" t="inlineStr">
        <is>
          <t>首贷_纯机</t>
        </is>
      </c>
    </row>
    <row r="27">
      <c r="A27" s="4" t="inlineStr">
        <is>
          <t>2025-12</t>
        </is>
      </c>
      <c r="B27" s="4" t="inlineStr">
        <is>
          <t>金条</t>
        </is>
      </c>
      <c r="C27" s="4" t="inlineStr">
        <is>
          <t>复贷</t>
        </is>
      </c>
      <c r="D27" s="4" t="inlineStr">
        <is>
          <t>纯机</t>
        </is>
      </c>
      <c r="E27" s="4" t="inlineStr">
        <is>
          <t>言犀赛夫</t>
        </is>
      </c>
      <c r="F27" s="4" t="inlineStr"/>
      <c r="G27" s="9" t="n">
        <v>220889</v>
      </c>
      <c r="H27" s="9" t="n">
        <v>14071</v>
      </c>
      <c r="I27" s="11" t="n">
        <v>6.37</v>
      </c>
      <c r="J27" s="9" t="n">
        <v>331601200</v>
      </c>
      <c r="K27" s="9" t="n">
        <v>23566</v>
      </c>
      <c r="L27" s="9" t="n">
        <v>24351</v>
      </c>
      <c r="M27" s="11" t="n">
        <v>0.36</v>
      </c>
      <c r="N27" s="23" t="n">
        <v>1.068</v>
      </c>
      <c r="O27" s="9" t="n">
        <v>50934</v>
      </c>
      <c r="P27" s="9" t="n">
        <v>26583</v>
      </c>
      <c r="Q27" s="9" t="n">
        <v>24890</v>
      </c>
      <c r="R27" s="6" t="n">
        <v>48.9</v>
      </c>
      <c r="S27" s="6" t="n">
        <v>47.8</v>
      </c>
      <c r="T27" s="5" t="n">
        <v>3.6</v>
      </c>
      <c r="U27" s="5" t="n">
        <v>1.8</v>
      </c>
      <c r="V27" s="24" t="n">
        <v>0.0002226821455008808</v>
      </c>
      <c r="W27" s="4" t="inlineStr">
        <is>
          <t>复贷_纯机</t>
        </is>
      </c>
    </row>
    <row r="28">
      <c r="A28" s="4" t="inlineStr">
        <is>
          <t>2025-12</t>
        </is>
      </c>
      <c r="B28" s="4" t="inlineStr">
        <is>
          <t>金条</t>
        </is>
      </c>
      <c r="C28" s="4" t="inlineStr">
        <is>
          <t>首贷</t>
        </is>
      </c>
      <c r="D28" s="4" t="inlineStr">
        <is>
          <t>人机</t>
        </is>
      </c>
      <c r="E28" s="4" t="inlineStr">
        <is>
          <t>赛维斯</t>
        </is>
      </c>
      <c r="F28" s="4" t="inlineStr"/>
      <c r="G28" s="9" t="n">
        <v>1941415</v>
      </c>
      <c r="H28" s="9" t="n">
        <v>6177</v>
      </c>
      <c r="I28" s="11" t="n">
        <v>0.32</v>
      </c>
      <c r="J28" s="9" t="n">
        <v>95096000</v>
      </c>
      <c r="K28" s="9" t="n">
        <v>15395</v>
      </c>
      <c r="L28" s="9" t="n">
        <v>221692</v>
      </c>
      <c r="M28" s="11" t="n">
        <v>0.07000000000000001</v>
      </c>
      <c r="N28" s="23" t="n">
        <v>1.068</v>
      </c>
      <c r="O28" s="9" t="n">
        <v>592297</v>
      </c>
      <c r="P28" s="9" t="n">
        <v>370605</v>
      </c>
      <c r="Q28" s="9" t="n">
        <v>347008</v>
      </c>
      <c r="R28" s="6" t="n">
        <v>58.6</v>
      </c>
      <c r="S28" s="6" t="n">
        <v>37.4</v>
      </c>
      <c r="T28" s="5" t="n">
        <v>95.90000000000001</v>
      </c>
      <c r="U28" s="5" t="n">
        <v>56.2</v>
      </c>
      <c r="V28" s="24" t="n">
        <v>0.05567381533247605</v>
      </c>
      <c r="W28" s="4" t="inlineStr">
        <is>
          <t>首贷_人机</t>
        </is>
      </c>
    </row>
    <row r="29">
      <c r="A29" s="4" t="inlineStr">
        <is>
          <t>2025-12</t>
        </is>
      </c>
      <c r="B29" s="4" t="inlineStr">
        <is>
          <t>金条</t>
        </is>
      </c>
      <c r="C29" s="4" t="inlineStr">
        <is>
          <t>复贷</t>
        </is>
      </c>
      <c r="D29" s="4" t="inlineStr">
        <is>
          <t>人机</t>
        </is>
      </c>
      <c r="E29" s="4" t="inlineStr">
        <is>
          <t>赛维斯</t>
        </is>
      </c>
      <c r="F29" s="4" t="inlineStr"/>
      <c r="G29" s="9" t="n">
        <v>754936</v>
      </c>
      <c r="H29" s="9" t="n">
        <v>3827</v>
      </c>
      <c r="I29" s="11" t="n">
        <v>0.51</v>
      </c>
      <c r="J29" s="9" t="n">
        <v>166906700</v>
      </c>
      <c r="K29" s="9" t="n">
        <v>43613</v>
      </c>
      <c r="L29" s="9" t="n">
        <v>79638</v>
      </c>
      <c r="M29" s="11" t="n">
        <v>0.36</v>
      </c>
      <c r="N29" s="23" t="n">
        <v>1.068</v>
      </c>
      <c r="O29" s="9" t="n">
        <v>190140</v>
      </c>
      <c r="P29" s="9" t="n">
        <v>110502</v>
      </c>
      <c r="Q29" s="9" t="n">
        <v>103466</v>
      </c>
      <c r="R29" s="6" t="n">
        <v>54.4</v>
      </c>
      <c r="S29" s="6" t="n">
        <v>41.9</v>
      </c>
      <c r="T29" s="5" t="n">
        <v>49.7</v>
      </c>
      <c r="U29" s="5" t="n">
        <v>27</v>
      </c>
      <c r="V29" s="24" t="n">
        <v>0.001839051398176346</v>
      </c>
      <c r="W29" s="4" t="inlineStr">
        <is>
          <t>复贷_人机</t>
        </is>
      </c>
    </row>
    <row r="30">
      <c r="A30" s="4" t="inlineStr">
        <is>
          <t>2025-12</t>
        </is>
      </c>
      <c r="B30" s="4" t="inlineStr">
        <is>
          <t>金条</t>
        </is>
      </c>
      <c r="C30" s="4" t="inlineStr">
        <is>
          <t>首贷</t>
        </is>
      </c>
      <c r="D30" s="4" t="inlineStr">
        <is>
          <t>人工</t>
        </is>
      </c>
      <c r="E30" s="4" t="inlineStr">
        <is>
          <t>赛维斯</t>
        </is>
      </c>
      <c r="F30" s="4" t="inlineStr"/>
      <c r="G30" s="9" t="n">
        <v>203856</v>
      </c>
      <c r="H30" s="9" t="n">
        <v>3190</v>
      </c>
      <c r="I30" s="11" t="n">
        <v>1.56</v>
      </c>
      <c r="J30" s="9" t="n">
        <v>112138100</v>
      </c>
      <c r="K30" s="9" t="n">
        <v>35153</v>
      </c>
      <c r="L30" s="9" t="n">
        <v>36164</v>
      </c>
      <c r="M30" s="11" t="n">
        <v>0.07000000000000001</v>
      </c>
      <c r="N30" s="23" t="n">
        <v>1.068</v>
      </c>
      <c r="O30" s="9" t="n">
        <v>520058</v>
      </c>
      <c r="P30" s="9" t="n">
        <v>483894</v>
      </c>
      <c r="Q30" s="9" t="n">
        <v>453084</v>
      </c>
      <c r="R30" s="6" t="n">
        <v>87.09999999999999</v>
      </c>
      <c r="S30" s="6" t="n">
        <v>7</v>
      </c>
      <c r="T30" s="5" t="n">
        <v>163</v>
      </c>
      <c r="U30" s="5" t="n">
        <v>142</v>
      </c>
      <c r="V30" s="24" t="n">
        <v>0.06164516278206451</v>
      </c>
      <c r="W30" s="4" t="inlineStr">
        <is>
          <t>首贷_人工</t>
        </is>
      </c>
    </row>
    <row r="31">
      <c r="A31" s="4" t="inlineStr">
        <is>
          <t>2025-12</t>
        </is>
      </c>
      <c r="B31" s="4" t="inlineStr">
        <is>
          <t>金条</t>
        </is>
      </c>
      <c r="C31" s="4" t="inlineStr">
        <is>
          <t>复贷</t>
        </is>
      </c>
      <c r="D31" s="4" t="inlineStr">
        <is>
          <t>人工</t>
        </is>
      </c>
      <c r="E31" s="4" t="inlineStr">
        <is>
          <t>赛维斯</t>
        </is>
      </c>
      <c r="F31" s="4" t="inlineStr"/>
      <c r="G31" s="9" t="n">
        <v>135848</v>
      </c>
      <c r="H31" s="9" t="n">
        <v>7142</v>
      </c>
      <c r="I31" s="11" t="n">
        <v>5.26</v>
      </c>
      <c r="J31" s="9" t="n">
        <v>240903300</v>
      </c>
      <c r="K31" s="9" t="n">
        <v>33731</v>
      </c>
      <c r="L31" s="9" t="n">
        <v>25715</v>
      </c>
      <c r="M31" s="11" t="n">
        <v>0.36</v>
      </c>
      <c r="N31" s="23" t="n">
        <v>1.068</v>
      </c>
      <c r="O31" s="9" t="n">
        <v>240107</v>
      </c>
      <c r="P31" s="9" t="n">
        <v>214392</v>
      </c>
      <c r="Q31" s="9" t="n">
        <v>200742</v>
      </c>
      <c r="R31" s="6" t="n">
        <v>83.59999999999999</v>
      </c>
      <c r="S31" s="6" t="n">
        <v>10.7</v>
      </c>
      <c r="T31" s="5" t="n">
        <v>33.6</v>
      </c>
      <c r="U31" s="5" t="n">
        <v>28.1</v>
      </c>
      <c r="V31" s="24" t="n">
        <v>0.002472084580548848</v>
      </c>
      <c r="W31" s="4" t="inlineStr">
        <is>
          <t>复贷_人工</t>
        </is>
      </c>
    </row>
    <row r="32">
      <c r="A32" s="4" t="inlineStr">
        <is>
          <t>2025-12</t>
        </is>
      </c>
      <c r="B32" s="4" t="inlineStr">
        <is>
          <t>金条</t>
        </is>
      </c>
      <c r="C32" s="4" t="inlineStr">
        <is>
          <t>首贷</t>
        </is>
      </c>
      <c r="D32" s="4" t="inlineStr">
        <is>
          <t>人机</t>
        </is>
      </c>
      <c r="E32" s="4" t="inlineStr">
        <is>
          <t>零犀</t>
        </is>
      </c>
      <c r="F32" s="4" t="inlineStr"/>
      <c r="G32" s="9" t="n">
        <v>8089614</v>
      </c>
      <c r="H32" s="9" t="n">
        <v>28195</v>
      </c>
      <c r="I32" s="11" t="n">
        <v>0.35</v>
      </c>
      <c r="J32" s="9" t="n">
        <v>500741300</v>
      </c>
      <c r="K32" s="9" t="n">
        <v>17760</v>
      </c>
      <c r="L32" s="9" t="n">
        <v>857516</v>
      </c>
      <c r="M32" s="11" t="n">
        <v>0.07000000000000001</v>
      </c>
      <c r="N32" s="23" t="n">
        <v>1.068</v>
      </c>
      <c r="O32" s="9" t="n">
        <v>3102415</v>
      </c>
      <c r="P32" s="9" t="n">
        <v>2244899</v>
      </c>
      <c r="Q32" s="9" t="n">
        <v>2101966</v>
      </c>
      <c r="R32" s="6" t="n">
        <v>67.8</v>
      </c>
      <c r="S32" s="6" t="n">
        <v>27.6</v>
      </c>
      <c r="T32" s="5" t="n">
        <v>110</v>
      </c>
      <c r="U32" s="5" t="n">
        <v>74.59999999999999</v>
      </c>
      <c r="V32" s="24" t="n">
        <v>0.06404501828446288</v>
      </c>
      <c r="W32" s="4" t="inlineStr">
        <is>
          <t>首贷_人机</t>
        </is>
      </c>
    </row>
    <row r="33">
      <c r="A33" s="4" t="inlineStr">
        <is>
          <t>2025-12</t>
        </is>
      </c>
      <c r="B33" s="4" t="inlineStr">
        <is>
          <t>金条</t>
        </is>
      </c>
      <c r="C33" s="4" t="inlineStr">
        <is>
          <t>复贷</t>
        </is>
      </c>
      <c r="D33" s="4" t="inlineStr">
        <is>
          <t>人机</t>
        </is>
      </c>
      <c r="E33" s="4" t="inlineStr">
        <is>
          <t>零犀</t>
        </is>
      </c>
      <c r="F33" s="4" t="inlineStr"/>
      <c r="G33" s="9" t="n">
        <v>3118729</v>
      </c>
      <c r="H33" s="9" t="n">
        <v>13855</v>
      </c>
      <c r="I33" s="11" t="n">
        <v>0.44</v>
      </c>
      <c r="J33" s="9" t="n">
        <v>584973900</v>
      </c>
      <c r="K33" s="9" t="n">
        <v>42221</v>
      </c>
      <c r="L33" s="9" t="n">
        <v>242156</v>
      </c>
      <c r="M33" s="11" t="n">
        <v>0.36</v>
      </c>
      <c r="N33" s="23" t="n">
        <v>1.068</v>
      </c>
      <c r="O33" s="9" t="n">
        <v>666176</v>
      </c>
      <c r="P33" s="9" t="n">
        <v>424020</v>
      </c>
      <c r="Q33" s="9" t="n">
        <v>397023</v>
      </c>
      <c r="R33" s="6" t="n">
        <v>59.6</v>
      </c>
      <c r="S33" s="6" t="n">
        <v>36.4</v>
      </c>
      <c r="T33" s="5" t="n">
        <v>48.1</v>
      </c>
      <c r="U33" s="5" t="n">
        <v>28.7</v>
      </c>
      <c r="V33" s="24" t="n">
        <v>0.002013480145581424</v>
      </c>
      <c r="W33" s="4" t="inlineStr">
        <is>
          <t>复贷_人机</t>
        </is>
      </c>
    </row>
    <row r="34">
      <c r="A34" s="4" t="inlineStr">
        <is>
          <t>2025-12</t>
        </is>
      </c>
      <c r="B34" s="4" t="inlineStr">
        <is>
          <t>金条</t>
        </is>
      </c>
      <c r="C34" s="4" t="inlineStr">
        <is>
          <t>首贷</t>
        </is>
      </c>
      <c r="D34" s="4" t="inlineStr">
        <is>
          <t>纯机</t>
        </is>
      </c>
      <c r="E34" s="4" t="inlineStr">
        <is>
          <t>零犀</t>
        </is>
      </c>
      <c r="F34" s="4" t="inlineStr"/>
      <c r="G34" s="9" t="n">
        <v>16613015</v>
      </c>
      <c r="H34" s="9" t="n">
        <v>17336</v>
      </c>
      <c r="I34" s="11" t="n">
        <v>0.1</v>
      </c>
      <c r="J34" s="9" t="n">
        <v>412741500</v>
      </c>
      <c r="K34" s="9" t="n">
        <v>23808</v>
      </c>
      <c r="L34" s="9" t="n">
        <v>1383837</v>
      </c>
      <c r="M34" s="11" t="n">
        <v>0.07000000000000001</v>
      </c>
      <c r="N34" s="23" t="n">
        <v>1.068</v>
      </c>
      <c r="O34" s="9" t="n">
        <v>2418372</v>
      </c>
      <c r="P34" s="9" t="n">
        <v>1034535</v>
      </c>
      <c r="Q34" s="9" t="n">
        <v>968666</v>
      </c>
      <c r="R34" s="6" t="n">
        <v>40.1</v>
      </c>
      <c r="S34" s="6" t="n">
        <v>57.2</v>
      </c>
      <c r="T34" s="5" t="n">
        <v>139.5</v>
      </c>
      <c r="U34" s="5" t="n">
        <v>55.9</v>
      </c>
      <c r="V34" s="24" t="n">
        <v>0.03580708852531531</v>
      </c>
      <c r="W34" s="4" t="inlineStr">
        <is>
          <t>首贷_纯机</t>
        </is>
      </c>
    </row>
    <row r="35">
      <c r="A35" s="4" t="inlineStr">
        <is>
          <t>2025-12</t>
        </is>
      </c>
      <c r="B35" s="4" t="inlineStr">
        <is>
          <t>金条</t>
        </is>
      </c>
      <c r="C35" s="4" t="inlineStr">
        <is>
          <t>复贷</t>
        </is>
      </c>
      <c r="D35" s="4" t="inlineStr">
        <is>
          <t>纯机</t>
        </is>
      </c>
      <c r="E35" s="4" t="inlineStr">
        <is>
          <t>零犀</t>
        </is>
      </c>
      <c r="F35" s="4" t="inlineStr"/>
      <c r="G35" s="9" t="n">
        <v>308351</v>
      </c>
      <c r="H35" s="9" t="n">
        <v>21166</v>
      </c>
      <c r="I35" s="11" t="n">
        <v>6.86</v>
      </c>
      <c r="J35" s="9" t="n">
        <v>501287700</v>
      </c>
      <c r="K35" s="9" t="n">
        <v>23684</v>
      </c>
      <c r="L35" s="9" t="n">
        <v>33257</v>
      </c>
      <c r="M35" s="11" t="n">
        <v>0.36</v>
      </c>
      <c r="N35" s="23" t="n">
        <v>1.068</v>
      </c>
      <c r="O35" s="9" t="n">
        <v>76998</v>
      </c>
      <c r="P35" s="9" t="n">
        <v>43741</v>
      </c>
      <c r="Q35" s="9" t="n">
        <v>40956</v>
      </c>
      <c r="R35" s="6" t="n">
        <v>53.2</v>
      </c>
      <c r="S35" s="6" t="n">
        <v>43.2</v>
      </c>
      <c r="T35" s="5" t="n">
        <v>3.6</v>
      </c>
      <c r="U35" s="5" t="n">
        <v>1.9</v>
      </c>
      <c r="V35" s="24" t="n">
        <v>0.0002423813266868064</v>
      </c>
      <c r="W35" s="4" t="inlineStr">
        <is>
          <t>复贷_纯机</t>
        </is>
      </c>
    </row>
    <row r="36">
      <c r="A36" s="4" t="inlineStr">
        <is>
          <t>2025-12</t>
        </is>
      </c>
      <c r="B36" s="4" t="inlineStr">
        <is>
          <t>金条</t>
        </is>
      </c>
      <c r="C36" s="4" t="inlineStr">
        <is>
          <t>首贷</t>
        </is>
      </c>
      <c r="D36" s="4" t="inlineStr">
        <is>
          <t>人机</t>
        </is>
      </c>
      <c r="E36" s="4" t="inlineStr">
        <is>
          <t>零犀伽玛</t>
        </is>
      </c>
      <c r="F36" s="4" t="inlineStr"/>
      <c r="G36" s="9" t="n">
        <v>2038874</v>
      </c>
      <c r="H36" s="9" t="n">
        <v>6006</v>
      </c>
      <c r="I36" s="11" t="n">
        <v>0.29</v>
      </c>
      <c r="J36" s="9" t="n">
        <v>92456600</v>
      </c>
      <c r="K36" s="9" t="n">
        <v>15394</v>
      </c>
      <c r="L36" s="9" t="n">
        <v>197432</v>
      </c>
      <c r="M36" s="11" t="n">
        <v>0.07000000000000001</v>
      </c>
      <c r="N36" s="23" t="n">
        <v>1.068</v>
      </c>
      <c r="O36" s="9" t="n">
        <v>562995</v>
      </c>
      <c r="P36" s="9" t="n">
        <v>365563</v>
      </c>
      <c r="Q36" s="9" t="n">
        <v>342288</v>
      </c>
      <c r="R36" s="6" t="n">
        <v>60.8</v>
      </c>
      <c r="S36" s="6" t="n">
        <v>35.1</v>
      </c>
      <c r="T36" s="5" t="n">
        <v>93.7</v>
      </c>
      <c r="U36" s="5" t="n">
        <v>57</v>
      </c>
      <c r="V36" s="24" t="n">
        <v>0.05648410791039873</v>
      </c>
      <c r="W36" s="4" t="inlineStr">
        <is>
          <t>首贷_人机</t>
        </is>
      </c>
    </row>
    <row r="37">
      <c r="A37" s="4" t="inlineStr">
        <is>
          <t>2025-12</t>
        </is>
      </c>
      <c r="B37" s="4" t="inlineStr">
        <is>
          <t>金条</t>
        </is>
      </c>
      <c r="C37" s="4" t="inlineStr">
        <is>
          <t>首贷</t>
        </is>
      </c>
      <c r="D37" s="4" t="inlineStr">
        <is>
          <t>人机</t>
        </is>
      </c>
      <c r="E37" s="4" t="inlineStr">
        <is>
          <t>零犀毅航</t>
        </is>
      </c>
      <c r="F37" s="4" t="inlineStr"/>
      <c r="G37" s="9" t="n">
        <v>2981407</v>
      </c>
      <c r="H37" s="9" t="n">
        <v>10029</v>
      </c>
      <c r="I37" s="11" t="n">
        <v>0.34</v>
      </c>
      <c r="J37" s="9" t="n">
        <v>174547100</v>
      </c>
      <c r="K37" s="9" t="n">
        <v>17404</v>
      </c>
      <c r="L37" s="9" t="n">
        <v>306773</v>
      </c>
      <c r="M37" s="11" t="n">
        <v>0.07000000000000001</v>
      </c>
      <c r="N37" s="23" t="n">
        <v>1.068</v>
      </c>
      <c r="O37" s="9" t="n">
        <v>1087956</v>
      </c>
      <c r="P37" s="9" t="n">
        <v>781183</v>
      </c>
      <c r="Q37" s="9" t="n">
        <v>731445</v>
      </c>
      <c r="R37" s="6" t="n">
        <v>67.2</v>
      </c>
      <c r="S37" s="6" t="n">
        <v>28.2</v>
      </c>
      <c r="T37" s="5" t="n">
        <v>108.5</v>
      </c>
      <c r="U37" s="5" t="n">
        <v>72.90000000000001</v>
      </c>
      <c r="V37" s="24" t="n">
        <v>0.06393550590561024</v>
      </c>
      <c r="W37" s="4" t="inlineStr">
        <is>
          <t>首贷_人机</t>
        </is>
      </c>
    </row>
    <row r="38">
      <c r="A38" s="4" t="inlineStr">
        <is>
          <t>2025-12</t>
        </is>
      </c>
      <c r="B38" s="4" t="inlineStr">
        <is>
          <t>金条</t>
        </is>
      </c>
      <c r="C38" s="4" t="inlineStr">
        <is>
          <t>首贷</t>
        </is>
      </c>
      <c r="D38" s="4" t="inlineStr">
        <is>
          <t>人机</t>
        </is>
      </c>
      <c r="E38" s="4" t="inlineStr">
        <is>
          <t>零犀毛毛虫</t>
        </is>
      </c>
      <c r="F38" s="4" t="inlineStr"/>
      <c r="G38" s="9" t="n">
        <v>1572247</v>
      </c>
      <c r="H38" s="9" t="n">
        <v>5317</v>
      </c>
      <c r="I38" s="11" t="n">
        <v>0.34</v>
      </c>
      <c r="J38" s="9" t="n">
        <v>92059900</v>
      </c>
      <c r="K38" s="9" t="n">
        <v>17314</v>
      </c>
      <c r="L38" s="9" t="n">
        <v>171887</v>
      </c>
      <c r="M38" s="11" t="n">
        <v>0.07000000000000001</v>
      </c>
      <c r="N38" s="23" t="n">
        <v>1.068</v>
      </c>
      <c r="O38" s="9" t="n">
        <v>554755</v>
      </c>
      <c r="P38" s="9" t="n">
        <v>382868</v>
      </c>
      <c r="Q38" s="9" t="n">
        <v>358491</v>
      </c>
      <c r="R38" s="6" t="n">
        <v>64.59999999999999</v>
      </c>
      <c r="S38" s="6" t="n">
        <v>31</v>
      </c>
      <c r="T38" s="5" t="n">
        <v>104.3</v>
      </c>
      <c r="U38" s="5" t="n">
        <v>67.40000000000001</v>
      </c>
      <c r="V38" s="24" t="n">
        <v>0.05941286985042191</v>
      </c>
      <c r="W38" s="4" t="inlineStr">
        <is>
          <t>首贷_人机</t>
        </is>
      </c>
    </row>
    <row r="39">
      <c r="A39" s="4" t="inlineStr">
        <is>
          <t>2025-12</t>
        </is>
      </c>
      <c r="B39" s="4" t="inlineStr">
        <is>
          <t>金条</t>
        </is>
      </c>
      <c r="C39" s="4" t="inlineStr">
        <is>
          <t>首贷</t>
        </is>
      </c>
      <c r="D39" s="4" t="inlineStr">
        <is>
          <t>人机</t>
        </is>
      </c>
      <c r="E39" s="4" t="inlineStr">
        <is>
          <t>零犀赛维斯</t>
        </is>
      </c>
      <c r="F39" s="4" t="inlineStr"/>
      <c r="G39" s="9" t="n">
        <v>1343102</v>
      </c>
      <c r="H39" s="9" t="n">
        <v>4569</v>
      </c>
      <c r="I39" s="11" t="n">
        <v>0.34</v>
      </c>
      <c r="J39" s="9" t="n">
        <v>74540300</v>
      </c>
      <c r="K39" s="9" t="n">
        <v>16314</v>
      </c>
      <c r="L39" s="9" t="n">
        <v>148613</v>
      </c>
      <c r="M39" s="11" t="n">
        <v>0.07000000000000001</v>
      </c>
      <c r="N39" s="23" t="n">
        <v>1.068</v>
      </c>
      <c r="O39" s="9" t="n">
        <v>455865</v>
      </c>
      <c r="P39" s="9" t="n">
        <v>307252</v>
      </c>
      <c r="Q39" s="9" t="n">
        <v>287689</v>
      </c>
      <c r="R39" s="6" t="n">
        <v>63.1</v>
      </c>
      <c r="S39" s="6" t="n">
        <v>32.6</v>
      </c>
      <c r="T39" s="5" t="n">
        <v>99.8</v>
      </c>
      <c r="U39" s="5" t="n">
        <v>63</v>
      </c>
      <c r="V39" s="24" t="n">
        <v>0.0588851169865735</v>
      </c>
      <c r="W39" s="4" t="inlineStr">
        <is>
          <t>首贷_人机</t>
        </is>
      </c>
    </row>
    <row r="40">
      <c r="A40" s="4" t="inlineStr">
        <is>
          <t>2026-01</t>
        </is>
      </c>
      <c r="B40" s="4" t="inlineStr">
        <is>
          <t>金条</t>
        </is>
      </c>
      <c r="C40" s="4" t="inlineStr">
        <is>
          <t>首贷</t>
        </is>
      </c>
      <c r="D40" s="4" t="inlineStr">
        <is>
          <t>纯机</t>
        </is>
      </c>
      <c r="E40" s="4" t="inlineStr">
        <is>
          <t>九四</t>
        </is>
      </c>
      <c r="F40" s="4" t="inlineStr"/>
      <c r="G40" s="9" t="n">
        <v>935002</v>
      </c>
      <c r="H40" s="9" t="n">
        <v>788</v>
      </c>
      <c r="I40" s="11" t="n">
        <v>0.08</v>
      </c>
      <c r="J40" s="9" t="n">
        <v>10265000</v>
      </c>
      <c r="K40" s="9" t="n">
        <v>13027</v>
      </c>
      <c r="L40" s="9" t="n">
        <v>83835</v>
      </c>
      <c r="M40" s="11" t="n">
        <v>0.07000000000000001</v>
      </c>
      <c r="N40" s="23" t="n">
        <v>1.068</v>
      </c>
      <c r="O40" s="9" t="n">
        <v>109926</v>
      </c>
      <c r="P40" s="9" t="n">
        <v>26091</v>
      </c>
      <c r="Q40" s="9" t="n">
        <v>24429</v>
      </c>
      <c r="R40" s="6" t="n">
        <v>22.2</v>
      </c>
      <c r="S40" s="6" t="n">
        <v>76.3</v>
      </c>
      <c r="T40" s="5" t="n">
        <v>139.5</v>
      </c>
      <c r="U40" s="5" t="n">
        <v>31</v>
      </c>
      <c r="V40" s="24" t="n">
        <v>0.0363106255653747</v>
      </c>
      <c r="W40" s="4" t="inlineStr">
        <is>
          <t>首贷_纯机</t>
        </is>
      </c>
    </row>
    <row r="41">
      <c r="A41" s="4" t="inlineStr">
        <is>
          <t>2026-01</t>
        </is>
      </c>
      <c r="B41" s="4" t="inlineStr">
        <is>
          <t>金条</t>
        </is>
      </c>
      <c r="C41" s="4" t="inlineStr">
        <is>
          <t>首贷</t>
        </is>
      </c>
      <c r="D41" s="4" t="inlineStr">
        <is>
          <t>人工</t>
        </is>
      </c>
      <c r="E41" s="4" t="inlineStr">
        <is>
          <t>人和</t>
        </is>
      </c>
      <c r="F41" s="4" t="inlineStr"/>
      <c r="G41" s="9" t="n">
        <v>92095</v>
      </c>
      <c r="H41" s="9" t="n">
        <v>1063</v>
      </c>
      <c r="I41" s="11" t="n">
        <v>1.15</v>
      </c>
      <c r="J41" s="9" t="n">
        <v>35575200</v>
      </c>
      <c r="K41" s="9" t="n">
        <v>33467</v>
      </c>
      <c r="L41" s="9" t="n">
        <v>15420</v>
      </c>
      <c r="M41" s="11" t="n">
        <v>0.07000000000000001</v>
      </c>
      <c r="N41" s="23" t="n">
        <v>1.068</v>
      </c>
      <c r="O41" s="9" t="n">
        <v>167036</v>
      </c>
      <c r="P41" s="9" t="n">
        <v>151616</v>
      </c>
      <c r="Q41" s="9" t="n">
        <v>141963</v>
      </c>
      <c r="R41" s="6" t="n">
        <v>85</v>
      </c>
      <c r="S41" s="6" t="n">
        <v>9.199999999999999</v>
      </c>
      <c r="T41" s="5" t="n">
        <v>157.1</v>
      </c>
      <c r="U41" s="5" t="n">
        <v>133.5</v>
      </c>
      <c r="V41" s="24" t="n">
        <v>0.06088350472078461</v>
      </c>
      <c r="W41" s="4" t="inlineStr">
        <is>
          <t>首贷_人工</t>
        </is>
      </c>
    </row>
    <row r="42">
      <c r="A42" s="4" t="inlineStr">
        <is>
          <t>2026-01</t>
        </is>
      </c>
      <c r="B42" s="4" t="inlineStr">
        <is>
          <t>金条</t>
        </is>
      </c>
      <c r="C42" s="4" t="inlineStr">
        <is>
          <t>复贷</t>
        </is>
      </c>
      <c r="D42" s="4" t="inlineStr">
        <is>
          <t>人工</t>
        </is>
      </c>
      <c r="E42" s="4" t="inlineStr">
        <is>
          <t>人和</t>
        </is>
      </c>
      <c r="F42" s="4" t="inlineStr"/>
      <c r="G42" s="9" t="n">
        <v>123409</v>
      </c>
      <c r="H42" s="9" t="n">
        <v>4867</v>
      </c>
      <c r="I42" s="11" t="n">
        <v>3.94</v>
      </c>
      <c r="J42" s="9" t="n">
        <v>185808000</v>
      </c>
      <c r="K42" s="9" t="n">
        <v>38177</v>
      </c>
      <c r="L42" s="9" t="n">
        <v>19256</v>
      </c>
      <c r="M42" s="11" t="n">
        <v>0.36</v>
      </c>
      <c r="N42" s="23" t="n">
        <v>1.068</v>
      </c>
      <c r="O42" s="9" t="n">
        <v>217573</v>
      </c>
      <c r="P42" s="9" t="n">
        <v>198317</v>
      </c>
      <c r="Q42" s="9" t="n">
        <v>185690</v>
      </c>
      <c r="R42" s="6" t="n">
        <v>85.3</v>
      </c>
      <c r="S42" s="6" t="n">
        <v>8.9</v>
      </c>
      <c r="T42" s="5" t="n">
        <v>44.7</v>
      </c>
      <c r="U42" s="5" t="n">
        <v>38.2</v>
      </c>
      <c r="V42" s="24" t="n">
        <v>0.0029647838389927</v>
      </c>
      <c r="W42" s="4" t="inlineStr">
        <is>
          <t>复贷_人工</t>
        </is>
      </c>
    </row>
    <row r="43">
      <c r="A43" s="4" t="inlineStr">
        <is>
          <t>2026-01</t>
        </is>
      </c>
      <c r="B43" s="4" t="inlineStr">
        <is>
          <t>金条</t>
        </is>
      </c>
      <c r="C43" s="4" t="inlineStr">
        <is>
          <t>首贷</t>
        </is>
      </c>
      <c r="D43" s="4" t="inlineStr">
        <is>
          <t>人工</t>
        </is>
      </c>
      <c r="E43" s="4" t="inlineStr">
        <is>
          <t>伽玛</t>
        </is>
      </c>
      <c r="F43" s="4" t="inlineStr"/>
      <c r="G43" s="9" t="n">
        <v>314648</v>
      </c>
      <c r="H43" s="9" t="n">
        <v>4019</v>
      </c>
      <c r="I43" s="11" t="n">
        <v>1.28</v>
      </c>
      <c r="J43" s="9" t="n">
        <v>151152200</v>
      </c>
      <c r="K43" s="9" t="n">
        <v>37609</v>
      </c>
      <c r="L43" s="9" t="n">
        <v>57039</v>
      </c>
      <c r="M43" s="11" t="n">
        <v>0.07000000000000001</v>
      </c>
      <c r="N43" s="23" t="n">
        <v>1.068</v>
      </c>
      <c r="O43" s="9" t="n">
        <v>721083</v>
      </c>
      <c r="P43" s="9" t="n">
        <v>664044</v>
      </c>
      <c r="Q43" s="9" t="n">
        <v>621764</v>
      </c>
      <c r="R43" s="6" t="n">
        <v>86.2</v>
      </c>
      <c r="S43" s="6" t="n">
        <v>7.9</v>
      </c>
      <c r="T43" s="5" t="n">
        <v>179.4</v>
      </c>
      <c r="U43" s="5" t="n">
        <v>154.7</v>
      </c>
      <c r="V43" s="24" t="n">
        <v>0.06276020366982984</v>
      </c>
      <c r="W43" s="4" t="inlineStr">
        <is>
          <t>首贷_人工</t>
        </is>
      </c>
    </row>
    <row r="44">
      <c r="A44" s="4" t="inlineStr">
        <is>
          <t>2026-01</t>
        </is>
      </c>
      <c r="B44" s="4" t="inlineStr">
        <is>
          <t>金条</t>
        </is>
      </c>
      <c r="C44" s="4" t="inlineStr">
        <is>
          <t>复贷</t>
        </is>
      </c>
      <c r="D44" s="4" t="inlineStr">
        <is>
          <t>人工</t>
        </is>
      </c>
      <c r="E44" s="4" t="inlineStr">
        <is>
          <t>伽玛</t>
        </is>
      </c>
      <c r="F44" s="4" t="inlineStr"/>
      <c r="G44" s="9" t="n">
        <v>363077</v>
      </c>
      <c r="H44" s="9" t="n">
        <v>18592</v>
      </c>
      <c r="I44" s="11" t="n">
        <v>5.12</v>
      </c>
      <c r="J44" s="9" t="n">
        <v>667288400</v>
      </c>
      <c r="K44" s="9" t="n">
        <v>35891</v>
      </c>
      <c r="L44" s="9" t="n">
        <v>66093</v>
      </c>
      <c r="M44" s="11" t="n">
        <v>0.36</v>
      </c>
      <c r="N44" s="23" t="n">
        <v>1.068</v>
      </c>
      <c r="O44" s="9" t="n">
        <v>782084</v>
      </c>
      <c r="P44" s="9" t="n">
        <v>715991</v>
      </c>
      <c r="Q44" s="9" t="n">
        <v>670404</v>
      </c>
      <c r="R44" s="6" t="n">
        <v>85.7</v>
      </c>
      <c r="S44" s="6" t="n">
        <v>8.5</v>
      </c>
      <c r="T44" s="5" t="n">
        <v>42.1</v>
      </c>
      <c r="U44" s="5" t="n">
        <v>36.1</v>
      </c>
      <c r="V44" s="24" t="n">
        <v>0.002980516203921556</v>
      </c>
      <c r="W44" s="4" t="inlineStr">
        <is>
          <t>复贷_人工</t>
        </is>
      </c>
    </row>
    <row r="45">
      <c r="A45" s="4" t="inlineStr">
        <is>
          <t>2026-01</t>
        </is>
      </c>
      <c r="B45" s="4" t="inlineStr">
        <is>
          <t>金条</t>
        </is>
      </c>
      <c r="C45" s="4" t="inlineStr">
        <is>
          <t>首贷</t>
        </is>
      </c>
      <c r="D45" s="4" t="inlineStr">
        <is>
          <t>人工</t>
        </is>
      </c>
      <c r="E45" s="4" t="inlineStr">
        <is>
          <t>华啸</t>
        </is>
      </c>
      <c r="F45" s="4" t="inlineStr"/>
      <c r="G45" s="9" t="n">
        <v>20629</v>
      </c>
      <c r="H45" s="9" t="n">
        <v>186</v>
      </c>
      <c r="I45" s="11" t="n">
        <v>0.9</v>
      </c>
      <c r="J45" s="9" t="n">
        <v>4205300</v>
      </c>
      <c r="K45" s="9" t="n">
        <v>22609</v>
      </c>
      <c r="L45" s="9" t="n">
        <v>2716</v>
      </c>
      <c r="M45" s="11" t="n">
        <v>0.07000000000000001</v>
      </c>
      <c r="N45" s="23" t="n">
        <v>1.068</v>
      </c>
      <c r="O45" s="9" t="n">
        <v>19276</v>
      </c>
      <c r="P45" s="9" t="n">
        <v>16560</v>
      </c>
      <c r="Q45" s="9" t="n">
        <v>15506</v>
      </c>
      <c r="R45" s="6" t="n">
        <v>80.40000000000001</v>
      </c>
      <c r="S45" s="6" t="n">
        <v>14.1</v>
      </c>
      <c r="T45" s="5" t="n">
        <v>103.6</v>
      </c>
      <c r="U45" s="5" t="n">
        <v>83.40000000000001</v>
      </c>
      <c r="V45" s="24" t="n">
        <v>0.05625554147657208</v>
      </c>
      <c r="W45" s="4" t="inlineStr">
        <is>
          <t>首贷_人工</t>
        </is>
      </c>
    </row>
    <row r="46">
      <c r="A46" s="4" t="inlineStr">
        <is>
          <t>2026-01</t>
        </is>
      </c>
      <c r="B46" s="4" t="inlineStr">
        <is>
          <t>金条</t>
        </is>
      </c>
      <c r="C46" s="4" t="inlineStr">
        <is>
          <t>复贷</t>
        </is>
      </c>
      <c r="D46" s="4" t="inlineStr">
        <is>
          <t>人工</t>
        </is>
      </c>
      <c r="E46" s="4" t="inlineStr">
        <is>
          <t>华啸</t>
        </is>
      </c>
      <c r="F46" s="4" t="inlineStr"/>
      <c r="G46" s="9" t="n">
        <v>212920</v>
      </c>
      <c r="H46" s="9" t="n">
        <v>11634</v>
      </c>
      <c r="I46" s="11" t="n">
        <v>5.46</v>
      </c>
      <c r="J46" s="9" t="n">
        <v>408171700</v>
      </c>
      <c r="K46" s="9" t="n">
        <v>35084</v>
      </c>
      <c r="L46" s="9" t="n">
        <v>38787</v>
      </c>
      <c r="M46" s="11" t="n">
        <v>0.36</v>
      </c>
      <c r="N46" s="23" t="n">
        <v>1.068</v>
      </c>
      <c r="O46" s="9" t="n">
        <v>477296</v>
      </c>
      <c r="P46" s="9" t="n">
        <v>438509</v>
      </c>
      <c r="Q46" s="9" t="n">
        <v>410589</v>
      </c>
      <c r="R46" s="6" t="n">
        <v>86</v>
      </c>
      <c r="S46" s="6" t="n">
        <v>8.1</v>
      </c>
      <c r="T46" s="5" t="n">
        <v>41</v>
      </c>
      <c r="U46" s="5" t="n">
        <v>35.3</v>
      </c>
      <c r="V46" s="24" t="n">
        <v>0.002984235691880539</v>
      </c>
      <c r="W46" s="4" t="inlineStr">
        <is>
          <t>复贷_人工</t>
        </is>
      </c>
    </row>
    <row r="47">
      <c r="A47" s="4" t="inlineStr">
        <is>
          <t>2026-01</t>
        </is>
      </c>
      <c r="B47" s="4" t="inlineStr">
        <is>
          <t>金条</t>
        </is>
      </c>
      <c r="C47" s="4" t="inlineStr">
        <is>
          <t>首贷</t>
        </is>
      </c>
      <c r="D47" s="4" t="inlineStr">
        <is>
          <t>人工</t>
        </is>
      </c>
      <c r="E47" s="4" t="inlineStr">
        <is>
          <t>博岳石家庄</t>
        </is>
      </c>
      <c r="F47" s="4" t="inlineStr">
        <is>
          <t>石家庄</t>
        </is>
      </c>
      <c r="G47" s="9" t="n">
        <v>190826</v>
      </c>
      <c r="H47" s="9" t="n">
        <v>2644</v>
      </c>
      <c r="I47" s="11" t="n">
        <v>1.39</v>
      </c>
      <c r="J47" s="9" t="n">
        <v>91967400</v>
      </c>
      <c r="K47" s="9" t="n">
        <v>34783</v>
      </c>
      <c r="L47" s="9" t="n">
        <v>31035</v>
      </c>
      <c r="M47" s="11" t="n">
        <v>0.07000000000000001</v>
      </c>
      <c r="N47" s="23" t="n">
        <v>1.068</v>
      </c>
      <c r="O47" s="9" t="n">
        <v>435205</v>
      </c>
      <c r="P47" s="9" t="n">
        <v>404170</v>
      </c>
      <c r="Q47" s="9" t="n">
        <v>378437</v>
      </c>
      <c r="R47" s="6" t="n">
        <v>87</v>
      </c>
      <c r="S47" s="6" t="n">
        <v>7.1</v>
      </c>
      <c r="T47" s="5" t="n">
        <v>164.6</v>
      </c>
      <c r="U47" s="5" t="n">
        <v>143.1</v>
      </c>
      <c r="V47" s="24" t="n">
        <v>0.06278156328065317</v>
      </c>
      <c r="W47" s="4" t="inlineStr">
        <is>
          <t>首贷_人工</t>
        </is>
      </c>
    </row>
    <row r="48">
      <c r="A48" s="4" t="inlineStr">
        <is>
          <t>2026-01</t>
        </is>
      </c>
      <c r="B48" s="4" t="inlineStr">
        <is>
          <t>金条</t>
        </is>
      </c>
      <c r="C48" s="4" t="inlineStr">
        <is>
          <t>复贷</t>
        </is>
      </c>
      <c r="D48" s="4" t="inlineStr">
        <is>
          <t>人工</t>
        </is>
      </c>
      <c r="E48" s="4" t="inlineStr">
        <is>
          <t>博岳石家庄</t>
        </is>
      </c>
      <c r="F48" s="4" t="inlineStr">
        <is>
          <t>石家庄</t>
        </is>
      </c>
      <c r="G48" s="9" t="n">
        <v>207434</v>
      </c>
      <c r="H48" s="9" t="n">
        <v>9102</v>
      </c>
      <c r="I48" s="11" t="n">
        <v>4.39</v>
      </c>
      <c r="J48" s="9" t="n">
        <v>313022300</v>
      </c>
      <c r="K48" s="9" t="n">
        <v>34390</v>
      </c>
      <c r="L48" s="9" t="n">
        <v>28856</v>
      </c>
      <c r="M48" s="11" t="n">
        <v>0.36</v>
      </c>
      <c r="N48" s="23" t="n">
        <v>1.068</v>
      </c>
      <c r="O48" s="9" t="n">
        <v>365311</v>
      </c>
      <c r="P48" s="9" t="n">
        <v>336455</v>
      </c>
      <c r="Q48" s="9" t="n">
        <v>315033</v>
      </c>
      <c r="R48" s="6" t="n">
        <v>86.2</v>
      </c>
      <c r="S48" s="6" t="n">
        <v>7.9</v>
      </c>
      <c r="T48" s="5" t="n">
        <v>40.1</v>
      </c>
      <c r="U48" s="5" t="n">
        <v>34.6</v>
      </c>
      <c r="V48" s="24" t="n">
        <v>0.002985720896633314</v>
      </c>
      <c r="W48" s="4" t="inlineStr">
        <is>
          <t>复贷_人工</t>
        </is>
      </c>
    </row>
    <row r="49">
      <c r="A49" s="4" t="inlineStr">
        <is>
          <t>2026-01</t>
        </is>
      </c>
      <c r="B49" s="4" t="inlineStr">
        <is>
          <t>金条</t>
        </is>
      </c>
      <c r="C49" s="4" t="inlineStr">
        <is>
          <t>首贷</t>
        </is>
      </c>
      <c r="D49" s="4" t="inlineStr">
        <is>
          <t>人工</t>
        </is>
      </c>
      <c r="E49" s="4" t="inlineStr">
        <is>
          <t>宿迁兆科</t>
        </is>
      </c>
      <c r="F49" s="4" t="inlineStr">
        <is>
          <t>宿迁</t>
        </is>
      </c>
      <c r="G49" s="9" t="n">
        <v>41052</v>
      </c>
      <c r="H49" s="9" t="n">
        <v>685</v>
      </c>
      <c r="I49" s="11" t="n">
        <v>1.67</v>
      </c>
      <c r="J49" s="9" t="n">
        <v>16765900</v>
      </c>
      <c r="K49" s="9" t="n">
        <v>24476</v>
      </c>
      <c r="L49" s="9" t="n">
        <v>7924</v>
      </c>
      <c r="M49" s="11" t="n">
        <v>0.07000000000000001</v>
      </c>
      <c r="N49" s="23" t="n">
        <v>1.068</v>
      </c>
      <c r="O49" s="9" t="n">
        <v>82134</v>
      </c>
      <c r="P49" s="9" t="n">
        <v>74210</v>
      </c>
      <c r="Q49" s="9" t="n">
        <v>69484</v>
      </c>
      <c r="R49" s="6" t="n">
        <v>84.59999999999999</v>
      </c>
      <c r="S49" s="6" t="n">
        <v>9.6</v>
      </c>
      <c r="T49" s="5" t="n">
        <v>119.9</v>
      </c>
      <c r="U49" s="5" t="n">
        <v>101.4</v>
      </c>
      <c r="V49" s="24" t="n">
        <v>0.06323208757912531</v>
      </c>
      <c r="W49" s="4" t="inlineStr">
        <is>
          <t>首贷_人工</t>
        </is>
      </c>
    </row>
    <row r="50">
      <c r="A50" s="4" t="inlineStr">
        <is>
          <t>2026-01</t>
        </is>
      </c>
      <c r="B50" s="4" t="inlineStr">
        <is>
          <t>金条</t>
        </is>
      </c>
      <c r="C50" s="4" t="inlineStr">
        <is>
          <t>复贷</t>
        </is>
      </c>
      <c r="D50" s="4" t="inlineStr">
        <is>
          <t>人工</t>
        </is>
      </c>
      <c r="E50" s="4" t="inlineStr">
        <is>
          <t>宿迁兆科</t>
        </is>
      </c>
      <c r="F50" s="4" t="inlineStr">
        <is>
          <t>宿迁</t>
        </is>
      </c>
      <c r="G50" s="9" t="n">
        <v>50956</v>
      </c>
      <c r="H50" s="9" t="n">
        <v>3650</v>
      </c>
      <c r="I50" s="11" t="n">
        <v>7.16</v>
      </c>
      <c r="J50" s="9" t="n">
        <v>142522400</v>
      </c>
      <c r="K50" s="9" t="n">
        <v>39047</v>
      </c>
      <c r="L50" s="9" t="n">
        <v>9010</v>
      </c>
      <c r="M50" s="11" t="n">
        <v>0.36</v>
      </c>
      <c r="N50" s="23" t="n">
        <v>1.068</v>
      </c>
      <c r="O50" s="9" t="n">
        <v>165556</v>
      </c>
      <c r="P50" s="9" t="n">
        <v>156546</v>
      </c>
      <c r="Q50" s="9" t="n">
        <v>146579</v>
      </c>
      <c r="R50" s="6" t="n">
        <v>88.5</v>
      </c>
      <c r="S50" s="6" t="n">
        <v>5.4</v>
      </c>
      <c r="T50" s="5" t="n">
        <v>45.4</v>
      </c>
      <c r="U50" s="5" t="n">
        <v>40.2</v>
      </c>
      <c r="V50" s="24" t="n">
        <v>0.003051099335964031</v>
      </c>
      <c r="W50" s="4" t="inlineStr">
        <is>
          <t>复贷_人工</t>
        </is>
      </c>
    </row>
    <row r="51">
      <c r="A51" s="4" t="inlineStr">
        <is>
          <t>2026-01</t>
        </is>
      </c>
      <c r="B51" s="4" t="inlineStr">
        <is>
          <t>金条</t>
        </is>
      </c>
      <c r="C51" s="4" t="inlineStr">
        <is>
          <t>首贷</t>
        </is>
      </c>
      <c r="D51" s="4" t="inlineStr">
        <is>
          <t>人工</t>
        </is>
      </c>
      <c r="E51" s="4" t="inlineStr">
        <is>
          <t>岐力</t>
        </is>
      </c>
      <c r="F51" s="4" t="inlineStr"/>
      <c r="G51" s="9" t="n">
        <v>23860</v>
      </c>
      <c r="H51" s="9" t="n">
        <v>222</v>
      </c>
      <c r="I51" s="11" t="n">
        <v>0.93</v>
      </c>
      <c r="J51" s="9" t="n">
        <v>6300400</v>
      </c>
      <c r="K51" s="9" t="n">
        <v>28380</v>
      </c>
      <c r="L51" s="9" t="n">
        <v>3233</v>
      </c>
      <c r="M51" s="11" t="n">
        <v>0.07000000000000001</v>
      </c>
      <c r="N51" s="23" t="n">
        <v>1.068</v>
      </c>
      <c r="O51" s="9" t="n">
        <v>27213</v>
      </c>
      <c r="P51" s="9" t="n">
        <v>23980</v>
      </c>
      <c r="Q51" s="9" t="n">
        <v>22453</v>
      </c>
      <c r="R51" s="6" t="n">
        <v>82.5</v>
      </c>
      <c r="S51" s="6" t="n">
        <v>11.9</v>
      </c>
      <c r="T51" s="5" t="n">
        <v>122.6</v>
      </c>
      <c r="U51" s="5" t="n">
        <v>101.1</v>
      </c>
      <c r="V51" s="24" t="n">
        <v>0.05437296498181521</v>
      </c>
      <c r="W51" s="4" t="inlineStr">
        <is>
          <t>首贷_人工</t>
        </is>
      </c>
    </row>
    <row r="52">
      <c r="A52" s="4" t="inlineStr">
        <is>
          <t>2026-01</t>
        </is>
      </c>
      <c r="B52" s="4" t="inlineStr">
        <is>
          <t>金条</t>
        </is>
      </c>
      <c r="C52" s="4" t="inlineStr">
        <is>
          <t>复贷</t>
        </is>
      </c>
      <c r="D52" s="4" t="inlineStr">
        <is>
          <t>人工</t>
        </is>
      </c>
      <c r="E52" s="4" t="inlineStr">
        <is>
          <t>岐力</t>
        </is>
      </c>
      <c r="F52" s="4" t="inlineStr"/>
      <c r="G52" s="9" t="n">
        <v>257879</v>
      </c>
      <c r="H52" s="9" t="n">
        <v>12669</v>
      </c>
      <c r="I52" s="11" t="n">
        <v>4.91</v>
      </c>
      <c r="J52" s="9" t="n">
        <v>531813400</v>
      </c>
      <c r="K52" s="9" t="n">
        <v>41978</v>
      </c>
      <c r="L52" s="9" t="n">
        <v>44672</v>
      </c>
      <c r="M52" s="11" t="n">
        <v>0.36</v>
      </c>
      <c r="N52" s="23" t="n">
        <v>1.068</v>
      </c>
      <c r="O52" s="9" t="n">
        <v>621988</v>
      </c>
      <c r="P52" s="9" t="n">
        <v>577316</v>
      </c>
      <c r="Q52" s="9" t="n">
        <v>540558</v>
      </c>
      <c r="R52" s="6" t="n">
        <v>86.90000000000001</v>
      </c>
      <c r="S52" s="6" t="n">
        <v>7.2</v>
      </c>
      <c r="T52" s="5" t="n">
        <v>49.1</v>
      </c>
      <c r="U52" s="5" t="n">
        <v>42.7</v>
      </c>
      <c r="V52" s="24" t="n">
        <v>0.003015447816011322</v>
      </c>
      <c r="W52" s="4" t="inlineStr">
        <is>
          <t>复贷_人工</t>
        </is>
      </c>
    </row>
    <row r="53">
      <c r="A53" s="4" t="inlineStr">
        <is>
          <t>2026-01</t>
        </is>
      </c>
      <c r="B53" s="4" t="inlineStr">
        <is>
          <t>金条</t>
        </is>
      </c>
      <c r="C53" s="4" t="inlineStr">
        <is>
          <t>首贷</t>
        </is>
      </c>
      <c r="D53" s="4" t="inlineStr">
        <is>
          <t>人工</t>
        </is>
      </c>
      <c r="E53" s="4" t="inlineStr">
        <is>
          <t>广达陕西</t>
        </is>
      </c>
      <c r="F53" s="4" t="inlineStr">
        <is>
          <t>陕西</t>
        </is>
      </c>
      <c r="G53" s="9" t="n">
        <v>113936</v>
      </c>
      <c r="H53" s="9" t="n">
        <v>1509</v>
      </c>
      <c r="I53" s="11" t="n">
        <v>1.32</v>
      </c>
      <c r="J53" s="9" t="n">
        <v>51517100</v>
      </c>
      <c r="K53" s="9" t="n">
        <v>34140</v>
      </c>
      <c r="L53" s="9" t="n">
        <v>19622</v>
      </c>
      <c r="M53" s="11" t="n">
        <v>0.07000000000000001</v>
      </c>
      <c r="N53" s="23" t="n">
        <v>1.068</v>
      </c>
      <c r="O53" s="9" t="n">
        <v>240877</v>
      </c>
      <c r="P53" s="9" t="n">
        <v>221255</v>
      </c>
      <c r="Q53" s="9" t="n">
        <v>207167</v>
      </c>
      <c r="R53" s="6" t="n">
        <v>86</v>
      </c>
      <c r="S53" s="6" t="n">
        <v>8.1</v>
      </c>
      <c r="T53" s="5" t="n">
        <v>159.6</v>
      </c>
      <c r="U53" s="5" t="n">
        <v>137.3</v>
      </c>
      <c r="V53" s="24" t="n">
        <v>0.06135410794252227</v>
      </c>
      <c r="W53" s="4" t="inlineStr">
        <is>
          <t>首贷_人工</t>
        </is>
      </c>
    </row>
    <row r="54">
      <c r="A54" s="4" t="inlineStr">
        <is>
          <t>2026-01</t>
        </is>
      </c>
      <c r="B54" s="4" t="inlineStr">
        <is>
          <t>金条</t>
        </is>
      </c>
      <c r="C54" s="4" t="inlineStr">
        <is>
          <t>复贷</t>
        </is>
      </c>
      <c r="D54" s="4" t="inlineStr">
        <is>
          <t>人工</t>
        </is>
      </c>
      <c r="E54" s="4" t="inlineStr">
        <is>
          <t>广达陕西</t>
        </is>
      </c>
      <c r="F54" s="4" t="inlineStr">
        <is>
          <t>陕西</t>
        </is>
      </c>
      <c r="G54" s="9" t="n">
        <v>124093</v>
      </c>
      <c r="H54" s="9" t="n">
        <v>5579</v>
      </c>
      <c r="I54" s="11" t="n">
        <v>4.5</v>
      </c>
      <c r="J54" s="9" t="n">
        <v>175772500</v>
      </c>
      <c r="K54" s="9" t="n">
        <v>31506</v>
      </c>
      <c r="L54" s="9" t="n">
        <v>20883</v>
      </c>
      <c r="M54" s="11" t="n">
        <v>0.36</v>
      </c>
      <c r="N54" s="23" t="n">
        <v>1.068</v>
      </c>
      <c r="O54" s="9" t="n">
        <v>205139</v>
      </c>
      <c r="P54" s="9" t="n">
        <v>184256</v>
      </c>
      <c r="Q54" s="9" t="n">
        <v>172525</v>
      </c>
      <c r="R54" s="6" t="n">
        <v>84.09999999999999</v>
      </c>
      <c r="S54" s="6" t="n">
        <v>10.2</v>
      </c>
      <c r="T54" s="5" t="n">
        <v>36.8</v>
      </c>
      <c r="U54" s="5" t="n">
        <v>30.9</v>
      </c>
      <c r="V54" s="24" t="n">
        <v>0.002911844698244732</v>
      </c>
      <c r="W54" s="4" t="inlineStr">
        <is>
          <t>复贷_人工</t>
        </is>
      </c>
    </row>
    <row r="55">
      <c r="A55" s="4" t="inlineStr">
        <is>
          <t>2026-01</t>
        </is>
      </c>
      <c r="B55" s="4" t="inlineStr">
        <is>
          <t>金条</t>
        </is>
      </c>
      <c r="C55" s="4" t="inlineStr">
        <is>
          <t>首贷</t>
        </is>
      </c>
      <c r="D55" s="4" t="inlineStr">
        <is>
          <t>人工</t>
        </is>
      </c>
      <c r="E55" s="4" t="inlineStr">
        <is>
          <t>毅航合肥</t>
        </is>
      </c>
      <c r="F55" s="4" t="inlineStr">
        <is>
          <t>合肥</t>
        </is>
      </c>
      <c r="G55" s="9" t="n">
        <v>986604</v>
      </c>
      <c r="H55" s="9" t="n">
        <v>13379</v>
      </c>
      <c r="I55" s="11" t="n">
        <v>1.36</v>
      </c>
      <c r="J55" s="9" t="n">
        <v>569556800</v>
      </c>
      <c r="K55" s="9" t="n">
        <v>42571</v>
      </c>
      <c r="L55" s="9" t="n">
        <v>156090</v>
      </c>
      <c r="M55" s="11" t="n">
        <v>0.07000000000000001</v>
      </c>
      <c r="N55" s="23" t="n">
        <v>1.068</v>
      </c>
      <c r="O55" s="9" t="n">
        <v>2596220</v>
      </c>
      <c r="P55" s="9" t="n">
        <v>2440130</v>
      </c>
      <c r="Q55" s="9" t="n">
        <v>2284766</v>
      </c>
      <c r="R55" s="6" t="n">
        <v>88</v>
      </c>
      <c r="S55" s="6" t="n">
        <v>6</v>
      </c>
      <c r="T55" s="5" t="n">
        <v>194.1</v>
      </c>
      <c r="U55" s="5" t="n">
        <v>170.8</v>
      </c>
      <c r="V55" s="24" t="n">
        <v>0.06120372893449783</v>
      </c>
      <c r="W55" s="4" t="inlineStr">
        <is>
          <t>首贷_人工</t>
        </is>
      </c>
    </row>
    <row r="56">
      <c r="A56" s="4" t="inlineStr">
        <is>
          <t>2026-01</t>
        </is>
      </c>
      <c r="B56" s="4" t="inlineStr">
        <is>
          <t>金条</t>
        </is>
      </c>
      <c r="C56" s="4" t="inlineStr">
        <is>
          <t>复贷</t>
        </is>
      </c>
      <c r="D56" s="4" t="inlineStr">
        <is>
          <t>人工</t>
        </is>
      </c>
      <c r="E56" s="4" t="inlineStr">
        <is>
          <t>毅航合肥</t>
        </is>
      </c>
      <c r="F56" s="4" t="inlineStr">
        <is>
          <t>合肥</t>
        </is>
      </c>
      <c r="G56" s="9" t="n">
        <v>668038</v>
      </c>
      <c r="H56" s="9" t="n">
        <v>36025</v>
      </c>
      <c r="I56" s="11" t="n">
        <v>5.39</v>
      </c>
      <c r="J56" s="9" t="n">
        <v>1443946600</v>
      </c>
      <c r="K56" s="9" t="n">
        <v>40082</v>
      </c>
      <c r="L56" s="9" t="n">
        <v>106584</v>
      </c>
      <c r="M56" s="11" t="n">
        <v>0.36</v>
      </c>
      <c r="N56" s="23" t="n">
        <v>1.068</v>
      </c>
      <c r="O56" s="9" t="n">
        <v>1736541</v>
      </c>
      <c r="P56" s="9" t="n">
        <v>1629957</v>
      </c>
      <c r="Q56" s="9" t="n">
        <v>1526177</v>
      </c>
      <c r="R56" s="6" t="n">
        <v>87.90000000000001</v>
      </c>
      <c r="S56" s="6" t="n">
        <v>6.1</v>
      </c>
      <c r="T56" s="5" t="n">
        <v>48.2</v>
      </c>
      <c r="U56" s="5" t="n">
        <v>42.4</v>
      </c>
      <c r="V56" s="24" t="n">
        <v>0.003135613417652241</v>
      </c>
      <c r="W56" s="4" t="inlineStr">
        <is>
          <t>复贷_人工</t>
        </is>
      </c>
    </row>
    <row r="57">
      <c r="A57" s="4" t="inlineStr">
        <is>
          <t>2026-01</t>
        </is>
      </c>
      <c r="B57" s="4" t="inlineStr">
        <is>
          <t>金条</t>
        </is>
      </c>
      <c r="C57" s="4" t="inlineStr">
        <is>
          <t>复贷</t>
        </is>
      </c>
      <c r="D57" s="4" t="inlineStr">
        <is>
          <t>人机</t>
        </is>
      </c>
      <c r="E57" s="4" t="inlineStr">
        <is>
          <t>毛毛虫</t>
        </is>
      </c>
      <c r="F57" s="4" t="inlineStr"/>
      <c r="G57" s="9" t="n">
        <v>133138</v>
      </c>
      <c r="H57" s="9" t="n">
        <v>2032</v>
      </c>
      <c r="I57" s="11" t="n">
        <v>1.53</v>
      </c>
      <c r="J57" s="9" t="n">
        <v>81377200</v>
      </c>
      <c r="K57" s="9" t="n">
        <v>40048</v>
      </c>
      <c r="L57" s="9" t="n">
        <v>15711</v>
      </c>
      <c r="M57" s="11" t="n">
        <v>0.36</v>
      </c>
      <c r="N57" s="23" t="n">
        <v>1.068</v>
      </c>
      <c r="O57" s="9" t="n">
        <v>93747</v>
      </c>
      <c r="P57" s="9" t="n">
        <v>78036</v>
      </c>
      <c r="Q57" s="9" t="n">
        <v>73067</v>
      </c>
      <c r="R57" s="6" t="n">
        <v>77.90000000000001</v>
      </c>
      <c r="S57" s="6" t="n">
        <v>16.8</v>
      </c>
      <c r="T57" s="5" t="n">
        <v>46.1</v>
      </c>
      <c r="U57" s="5" t="n">
        <v>36</v>
      </c>
      <c r="V57" s="24" t="n">
        <v>0.002663727268407695</v>
      </c>
      <c r="W57" s="4" t="inlineStr">
        <is>
          <t>复贷_人机</t>
        </is>
      </c>
    </row>
    <row r="58">
      <c r="A58" s="4" t="inlineStr">
        <is>
          <t>2026-01</t>
        </is>
      </c>
      <c r="B58" s="4" t="inlineStr">
        <is>
          <t>金条</t>
        </is>
      </c>
      <c r="C58" s="4" t="inlineStr">
        <is>
          <t>首贷</t>
        </is>
      </c>
      <c r="D58" s="4" t="inlineStr">
        <is>
          <t>人工</t>
        </is>
      </c>
      <c r="E58" s="4" t="inlineStr">
        <is>
          <t>毛毛虫</t>
        </is>
      </c>
      <c r="F58" s="4" t="inlineStr"/>
      <c r="G58" s="9" t="n">
        <v>715721</v>
      </c>
      <c r="H58" s="9" t="n">
        <v>10025</v>
      </c>
      <c r="I58" s="11" t="n">
        <v>1.4</v>
      </c>
      <c r="J58" s="9" t="n">
        <v>407192300</v>
      </c>
      <c r="K58" s="9" t="n">
        <v>40618</v>
      </c>
      <c r="L58" s="9" t="n">
        <v>107958</v>
      </c>
      <c r="M58" s="11" t="n">
        <v>0.07000000000000001</v>
      </c>
      <c r="N58" s="23" t="n">
        <v>1.068</v>
      </c>
      <c r="O58" s="9" t="n">
        <v>1873901</v>
      </c>
      <c r="P58" s="9" t="n">
        <v>1765943</v>
      </c>
      <c r="Q58" s="9" t="n">
        <v>1653505</v>
      </c>
      <c r="R58" s="6" t="n">
        <v>88.2</v>
      </c>
      <c r="S58" s="6" t="n">
        <v>5.8</v>
      </c>
      <c r="T58" s="5" t="n">
        <v>186.9</v>
      </c>
      <c r="U58" s="5" t="n">
        <v>164.9</v>
      </c>
      <c r="V58" s="24" t="n">
        <v>0.0619553885052766</v>
      </c>
      <c r="W58" s="4" t="inlineStr">
        <is>
          <t>首贷_人工</t>
        </is>
      </c>
    </row>
    <row r="59">
      <c r="A59" s="4" t="inlineStr">
        <is>
          <t>2026-01</t>
        </is>
      </c>
      <c r="B59" s="4" t="inlineStr">
        <is>
          <t>金条</t>
        </is>
      </c>
      <c r="C59" s="4" t="inlineStr">
        <is>
          <t>复贷</t>
        </is>
      </c>
      <c r="D59" s="4" t="inlineStr">
        <is>
          <t>人工</t>
        </is>
      </c>
      <c r="E59" s="4" t="inlineStr">
        <is>
          <t>毛毛虫</t>
        </is>
      </c>
      <c r="F59" s="4" t="inlineStr"/>
      <c r="G59" s="9" t="n">
        <v>338053</v>
      </c>
      <c r="H59" s="9" t="n">
        <v>16876</v>
      </c>
      <c r="I59" s="11" t="n">
        <v>4.99</v>
      </c>
      <c r="J59" s="9" t="n">
        <v>598294200</v>
      </c>
      <c r="K59" s="9" t="n">
        <v>35452</v>
      </c>
      <c r="L59" s="9" t="n">
        <v>54068</v>
      </c>
      <c r="M59" s="11" t="n">
        <v>0.36</v>
      </c>
      <c r="N59" s="23" t="n">
        <v>1.068</v>
      </c>
      <c r="O59" s="9" t="n">
        <v>702710</v>
      </c>
      <c r="P59" s="9" t="n">
        <v>648642</v>
      </c>
      <c r="Q59" s="9" t="n">
        <v>607343</v>
      </c>
      <c r="R59" s="6" t="n">
        <v>86.40000000000001</v>
      </c>
      <c r="S59" s="6" t="n">
        <v>7.7</v>
      </c>
      <c r="T59" s="5" t="n">
        <v>41.6</v>
      </c>
      <c r="U59" s="5" t="n">
        <v>36</v>
      </c>
      <c r="V59" s="24" t="n">
        <v>0.003011534013422382</v>
      </c>
      <c r="W59" s="4" t="inlineStr">
        <is>
          <t>复贷_人工</t>
        </is>
      </c>
    </row>
    <row r="60">
      <c r="A60" s="4" t="inlineStr">
        <is>
          <t>2026-01</t>
        </is>
      </c>
      <c r="B60" s="4" t="inlineStr">
        <is>
          <t>金条</t>
        </is>
      </c>
      <c r="C60" s="4" t="inlineStr">
        <is>
          <t>首贷</t>
        </is>
      </c>
      <c r="D60" s="4" t="inlineStr">
        <is>
          <t>人工</t>
        </is>
      </c>
      <c r="E60" s="4" t="inlineStr">
        <is>
          <t>汇讯</t>
        </is>
      </c>
      <c r="F60" s="4" t="inlineStr"/>
      <c r="G60" s="9" t="n">
        <v>305662</v>
      </c>
      <c r="H60" s="9" t="n">
        <v>3875</v>
      </c>
      <c r="I60" s="11" t="n">
        <v>1.27</v>
      </c>
      <c r="J60" s="9" t="n">
        <v>153910800</v>
      </c>
      <c r="K60" s="9" t="n">
        <v>39719</v>
      </c>
      <c r="L60" s="9" t="n">
        <v>50636</v>
      </c>
      <c r="M60" s="11" t="n">
        <v>0.07000000000000001</v>
      </c>
      <c r="N60" s="23" t="n">
        <v>1.068</v>
      </c>
      <c r="O60" s="9" t="n">
        <v>726945</v>
      </c>
      <c r="P60" s="9" t="n">
        <v>676309</v>
      </c>
      <c r="Q60" s="9" t="n">
        <v>633248</v>
      </c>
      <c r="R60" s="6" t="n">
        <v>87.09999999999999</v>
      </c>
      <c r="S60" s="6" t="n">
        <v>7</v>
      </c>
      <c r="T60" s="5" t="n">
        <v>187.6</v>
      </c>
      <c r="U60" s="5" t="n">
        <v>163.4</v>
      </c>
      <c r="V60" s="24" t="n">
        <v>0.06277374390138406</v>
      </c>
      <c r="W60" s="4" t="inlineStr">
        <is>
          <t>首贷_人工</t>
        </is>
      </c>
    </row>
    <row r="61">
      <c r="A61" s="4" t="inlineStr">
        <is>
          <t>2026-01</t>
        </is>
      </c>
      <c r="B61" s="4" t="inlineStr">
        <is>
          <t>金条</t>
        </is>
      </c>
      <c r="C61" s="4" t="inlineStr">
        <is>
          <t>复贷</t>
        </is>
      </c>
      <c r="D61" s="4" t="inlineStr">
        <is>
          <t>人工</t>
        </is>
      </c>
      <c r="E61" s="4" t="inlineStr">
        <is>
          <t>汇讯</t>
        </is>
      </c>
      <c r="F61" s="4" t="inlineStr"/>
      <c r="G61" s="9" t="n">
        <v>175185</v>
      </c>
      <c r="H61" s="9" t="n">
        <v>9391</v>
      </c>
      <c r="I61" s="11" t="n">
        <v>5.36</v>
      </c>
      <c r="J61" s="9" t="n">
        <v>311380200</v>
      </c>
      <c r="K61" s="9" t="n">
        <v>33157</v>
      </c>
      <c r="L61" s="9" t="n">
        <v>27275</v>
      </c>
      <c r="M61" s="11" t="n">
        <v>0.36</v>
      </c>
      <c r="N61" s="23" t="n">
        <v>1.068</v>
      </c>
      <c r="O61" s="9" t="n">
        <v>364843</v>
      </c>
      <c r="P61" s="9" t="n">
        <v>337568</v>
      </c>
      <c r="Q61" s="9" t="n">
        <v>316075</v>
      </c>
      <c r="R61" s="6" t="n">
        <v>86.59999999999999</v>
      </c>
      <c r="S61" s="6" t="n">
        <v>7.5</v>
      </c>
      <c r="T61" s="5" t="n">
        <v>38.9</v>
      </c>
      <c r="U61" s="5" t="n">
        <v>33.7</v>
      </c>
      <c r="V61" s="24" t="n">
        <v>0.003011395358114899</v>
      </c>
      <c r="W61" s="4" t="inlineStr">
        <is>
          <t>复贷_人工</t>
        </is>
      </c>
    </row>
    <row r="62">
      <c r="A62" s="4" t="inlineStr">
        <is>
          <t>2026-01</t>
        </is>
      </c>
      <c r="B62" s="4" t="inlineStr">
        <is>
          <t>金条</t>
        </is>
      </c>
      <c r="C62" s="4" t="inlineStr">
        <is>
          <t>首贷</t>
        </is>
      </c>
      <c r="D62" s="4" t="inlineStr">
        <is>
          <t>纯机</t>
        </is>
      </c>
      <c r="E62" s="4" t="inlineStr">
        <is>
          <t>电话邦</t>
        </is>
      </c>
      <c r="F62" s="4" t="inlineStr"/>
      <c r="G62" s="9" t="n">
        <v>1026258</v>
      </c>
      <c r="H62" s="9" t="n">
        <v>769</v>
      </c>
      <c r="I62" s="11" t="n">
        <v>0.07000000000000001</v>
      </c>
      <c r="J62" s="9" t="n">
        <v>9663500</v>
      </c>
      <c r="K62" s="9" t="n">
        <v>12566</v>
      </c>
      <c r="L62" s="9" t="n">
        <v>95564</v>
      </c>
      <c r="M62" s="11" t="n">
        <v>0.07000000000000001</v>
      </c>
      <c r="N62" s="23" t="n">
        <v>1.068</v>
      </c>
      <c r="O62" s="9" t="n">
        <v>107276</v>
      </c>
      <c r="P62" s="9" t="n">
        <v>11712</v>
      </c>
      <c r="Q62" s="9" t="n">
        <v>10966</v>
      </c>
      <c r="R62" s="6" t="n">
        <v>10.2</v>
      </c>
      <c r="S62" s="6" t="n">
        <v>89.09999999999999</v>
      </c>
      <c r="T62" s="5" t="n">
        <v>139.5</v>
      </c>
      <c r="U62" s="5" t="n">
        <v>14.3</v>
      </c>
      <c r="V62" s="24" t="n">
        <v>0.01731404622696597</v>
      </c>
      <c r="W62" s="4" t="inlineStr">
        <is>
          <t>首贷_纯机</t>
        </is>
      </c>
    </row>
    <row r="63">
      <c r="A63" s="4" t="inlineStr">
        <is>
          <t>2026-01</t>
        </is>
      </c>
      <c r="B63" s="4" t="inlineStr">
        <is>
          <t>金条</t>
        </is>
      </c>
      <c r="C63" s="4" t="inlineStr">
        <is>
          <t>首贷</t>
        </is>
      </c>
      <c r="D63" s="4" t="inlineStr">
        <is>
          <t>人工</t>
        </is>
      </c>
      <c r="E63" s="4" t="inlineStr">
        <is>
          <t>翰锐曲靖</t>
        </is>
      </c>
      <c r="F63" s="4" t="inlineStr">
        <is>
          <t>曲靖</t>
        </is>
      </c>
      <c r="G63" s="9" t="n">
        <v>87126</v>
      </c>
      <c r="H63" s="9" t="n">
        <v>1115</v>
      </c>
      <c r="I63" s="11" t="n">
        <v>1.28</v>
      </c>
      <c r="J63" s="9" t="n">
        <v>40989000</v>
      </c>
      <c r="K63" s="9" t="n">
        <v>36761</v>
      </c>
      <c r="L63" s="9" t="n">
        <v>14063</v>
      </c>
      <c r="M63" s="11" t="n">
        <v>0.07000000000000001</v>
      </c>
      <c r="N63" s="23" t="n">
        <v>1.068</v>
      </c>
      <c r="O63" s="9" t="n">
        <v>198414</v>
      </c>
      <c r="P63" s="9" t="n">
        <v>184351</v>
      </c>
      <c r="Q63" s="9" t="n">
        <v>172613</v>
      </c>
      <c r="R63" s="6" t="n">
        <v>87</v>
      </c>
      <c r="S63" s="6" t="n">
        <v>7.1</v>
      </c>
      <c r="T63" s="5" t="n">
        <v>177.9</v>
      </c>
      <c r="U63" s="5" t="n">
        <v>154.8</v>
      </c>
      <c r="V63" s="24" t="n">
        <v>0.06425103599223483</v>
      </c>
      <c r="W63" s="4" t="inlineStr">
        <is>
          <t>首贷_人工</t>
        </is>
      </c>
    </row>
    <row r="64">
      <c r="A64" s="4" t="inlineStr">
        <is>
          <t>2026-01</t>
        </is>
      </c>
      <c r="B64" s="4" t="inlineStr">
        <is>
          <t>金条</t>
        </is>
      </c>
      <c r="C64" s="4" t="inlineStr">
        <is>
          <t>复贷</t>
        </is>
      </c>
      <c r="D64" s="4" t="inlineStr">
        <is>
          <t>人工</t>
        </is>
      </c>
      <c r="E64" s="4" t="inlineStr">
        <is>
          <t>翰锐曲靖</t>
        </is>
      </c>
      <c r="F64" s="4" t="inlineStr">
        <is>
          <t>曲靖</t>
        </is>
      </c>
      <c r="G64" s="9" t="n">
        <v>287899</v>
      </c>
      <c r="H64" s="9" t="n">
        <v>16427</v>
      </c>
      <c r="I64" s="11" t="n">
        <v>5.71</v>
      </c>
      <c r="J64" s="9" t="n">
        <v>558833600</v>
      </c>
      <c r="K64" s="9" t="n">
        <v>34019</v>
      </c>
      <c r="L64" s="9" t="n">
        <v>47589</v>
      </c>
      <c r="M64" s="11" t="n">
        <v>0.36</v>
      </c>
      <c r="N64" s="23" t="n">
        <v>1.068</v>
      </c>
      <c r="O64" s="9" t="n">
        <v>650004</v>
      </c>
      <c r="P64" s="9" t="n">
        <v>602415</v>
      </c>
      <c r="Q64" s="9" t="n">
        <v>564059</v>
      </c>
      <c r="R64" s="6" t="n">
        <v>86.8</v>
      </c>
      <c r="S64" s="6" t="n">
        <v>7.3</v>
      </c>
      <c r="T64" s="5" t="n">
        <v>39.6</v>
      </c>
      <c r="U64" s="5" t="n">
        <v>34.3</v>
      </c>
      <c r="V64" s="24" t="n">
        <v>0.0029944065639575</v>
      </c>
      <c r="W64" s="4" t="inlineStr">
        <is>
          <t>复贷_人工</t>
        </is>
      </c>
    </row>
    <row r="65">
      <c r="A65" s="4" t="inlineStr">
        <is>
          <t>2026-01</t>
        </is>
      </c>
      <c r="B65" s="4" t="inlineStr">
        <is>
          <t>金条</t>
        </is>
      </c>
      <c r="C65" s="4" t="inlineStr">
        <is>
          <t>首贷</t>
        </is>
      </c>
      <c r="D65" s="4" t="inlineStr">
        <is>
          <t>纯机</t>
        </is>
      </c>
      <c r="E65" s="4" t="inlineStr">
        <is>
          <t>言犀赛夫</t>
        </is>
      </c>
      <c r="F65" s="4" t="inlineStr"/>
      <c r="G65" s="9" t="n">
        <v>6250302</v>
      </c>
      <c r="H65" s="9" t="n">
        <v>6240</v>
      </c>
      <c r="I65" s="11" t="n">
        <v>0.1</v>
      </c>
      <c r="J65" s="9" t="n">
        <v>111146600</v>
      </c>
      <c r="K65" s="9" t="n">
        <v>17812</v>
      </c>
      <c r="L65" s="9" t="n">
        <v>574540</v>
      </c>
      <c r="M65" s="11" t="n">
        <v>0.07000000000000001</v>
      </c>
      <c r="N65" s="23" t="n">
        <v>1.068</v>
      </c>
      <c r="O65" s="9" t="n">
        <v>870480</v>
      </c>
      <c r="P65" s="9" t="n">
        <v>295940</v>
      </c>
      <c r="Q65" s="9" t="n">
        <v>277097</v>
      </c>
      <c r="R65" s="6" t="n">
        <v>31.8</v>
      </c>
      <c r="S65" s="6" t="n">
        <v>66</v>
      </c>
      <c r="T65" s="5" t="n">
        <v>139.5</v>
      </c>
      <c r="U65" s="5" t="n">
        <v>44.4</v>
      </c>
      <c r="V65" s="24" t="n">
        <v>0.03803727946436765</v>
      </c>
      <c r="W65" s="4" t="inlineStr">
        <is>
          <t>首贷_纯机</t>
        </is>
      </c>
    </row>
    <row r="66">
      <c r="A66" s="4" t="inlineStr">
        <is>
          <t>2026-01</t>
        </is>
      </c>
      <c r="B66" s="4" t="inlineStr">
        <is>
          <t>金条</t>
        </is>
      </c>
      <c r="C66" s="4" t="inlineStr">
        <is>
          <t>复贷</t>
        </is>
      </c>
      <c r="D66" s="4" t="inlineStr">
        <is>
          <t>纯机</t>
        </is>
      </c>
      <c r="E66" s="4" t="inlineStr">
        <is>
          <t>言犀赛夫</t>
        </is>
      </c>
      <c r="F66" s="4" t="inlineStr"/>
      <c r="G66" s="9" t="n">
        <v>356573</v>
      </c>
      <c r="H66" s="9" t="n">
        <v>24815</v>
      </c>
      <c r="I66" s="11" t="n">
        <v>6.96</v>
      </c>
      <c r="J66" s="9" t="n">
        <v>688121700</v>
      </c>
      <c r="K66" s="9" t="n">
        <v>27730</v>
      </c>
      <c r="L66" s="9" t="n">
        <v>47871</v>
      </c>
      <c r="M66" s="11" t="n">
        <v>0.36</v>
      </c>
      <c r="N66" s="23" t="n">
        <v>1.068</v>
      </c>
      <c r="O66" s="9" t="n">
        <v>105695</v>
      </c>
      <c r="P66" s="9" t="n">
        <v>57824</v>
      </c>
      <c r="Q66" s="9" t="n">
        <v>54143</v>
      </c>
      <c r="R66" s="6" t="n">
        <v>51.2</v>
      </c>
      <c r="S66" s="6" t="n">
        <v>45.3</v>
      </c>
      <c r="T66" s="5" t="n">
        <v>4.3</v>
      </c>
      <c r="U66" s="5" t="n">
        <v>2.2</v>
      </c>
      <c r="V66" s="24" t="n">
        <v>0.0002334212425247194</v>
      </c>
      <c r="W66" s="4" t="inlineStr">
        <is>
          <t>复贷_纯机</t>
        </is>
      </c>
    </row>
    <row r="67">
      <c r="A67" s="4" t="inlineStr">
        <is>
          <t>2026-01</t>
        </is>
      </c>
      <c r="B67" s="4" t="inlineStr">
        <is>
          <t>金条</t>
        </is>
      </c>
      <c r="C67" s="4" t="inlineStr">
        <is>
          <t>首贷</t>
        </is>
      </c>
      <c r="D67" s="4" t="inlineStr">
        <is>
          <t>人机</t>
        </is>
      </c>
      <c r="E67" s="4" t="inlineStr">
        <is>
          <t>赛维斯</t>
        </is>
      </c>
      <c r="F67" s="4" t="inlineStr"/>
      <c r="G67" s="9" t="n">
        <v>2278892</v>
      </c>
      <c r="H67" s="9" t="n">
        <v>6405</v>
      </c>
      <c r="I67" s="11" t="n">
        <v>0.28</v>
      </c>
      <c r="J67" s="9" t="n">
        <v>107764500</v>
      </c>
      <c r="K67" s="9" t="n">
        <v>16825</v>
      </c>
      <c r="L67" s="9" t="n">
        <v>261155</v>
      </c>
      <c r="M67" s="11" t="n">
        <v>0.07000000000000001</v>
      </c>
      <c r="N67" s="23" t="n">
        <v>1.068</v>
      </c>
      <c r="O67" s="9" t="n">
        <v>581592</v>
      </c>
      <c r="P67" s="9" t="n">
        <v>320437</v>
      </c>
      <c r="Q67" s="9" t="n">
        <v>300035</v>
      </c>
      <c r="R67" s="6" t="n">
        <v>51.6</v>
      </c>
      <c r="S67" s="6" t="n">
        <v>44.9</v>
      </c>
      <c r="T67" s="5" t="n">
        <v>90.8</v>
      </c>
      <c r="U67" s="5" t="n">
        <v>46.8</v>
      </c>
      <c r="V67" s="24" t="n">
        <v>0.04247847323164333</v>
      </c>
      <c r="W67" s="4" t="inlineStr">
        <is>
          <t>首贷_人机</t>
        </is>
      </c>
    </row>
    <row r="68">
      <c r="A68" s="4" t="inlineStr">
        <is>
          <t>2026-01</t>
        </is>
      </c>
      <c r="B68" s="4" t="inlineStr">
        <is>
          <t>金条</t>
        </is>
      </c>
      <c r="C68" s="4" t="inlineStr">
        <is>
          <t>复贷</t>
        </is>
      </c>
      <c r="D68" s="4" t="inlineStr">
        <is>
          <t>人机</t>
        </is>
      </c>
      <c r="E68" s="4" t="inlineStr">
        <is>
          <t>赛维斯</t>
        </is>
      </c>
      <c r="F68" s="4" t="inlineStr"/>
      <c r="G68" s="9" t="n">
        <v>1226730</v>
      </c>
      <c r="H68" s="9" t="n">
        <v>6912</v>
      </c>
      <c r="I68" s="11" t="n">
        <v>0.5600000000000001</v>
      </c>
      <c r="J68" s="9" t="n">
        <v>325158800</v>
      </c>
      <c r="K68" s="9" t="n">
        <v>47043</v>
      </c>
      <c r="L68" s="9" t="n">
        <v>149137</v>
      </c>
      <c r="M68" s="11" t="n">
        <v>0.36</v>
      </c>
      <c r="N68" s="23" t="n">
        <v>1.068</v>
      </c>
      <c r="O68" s="9" t="n">
        <v>374583</v>
      </c>
      <c r="P68" s="9" t="n">
        <v>225446</v>
      </c>
      <c r="Q68" s="9" t="n">
        <v>211092</v>
      </c>
      <c r="R68" s="6" t="n">
        <v>56.4</v>
      </c>
      <c r="S68" s="6" t="n">
        <v>39.8</v>
      </c>
      <c r="T68" s="5" t="n">
        <v>54.2</v>
      </c>
      <c r="U68" s="5" t="n">
        <v>30.5</v>
      </c>
      <c r="V68" s="24" t="n">
        <v>0.001925947841143739</v>
      </c>
      <c r="W68" s="4" t="inlineStr">
        <is>
          <t>复贷_人机</t>
        </is>
      </c>
    </row>
    <row r="69">
      <c r="A69" s="4" t="inlineStr">
        <is>
          <t>2026-01</t>
        </is>
      </c>
      <c r="B69" s="4" t="inlineStr">
        <is>
          <t>金条</t>
        </is>
      </c>
      <c r="C69" s="4" t="inlineStr">
        <is>
          <t>首贷</t>
        </is>
      </c>
      <c r="D69" s="4" t="inlineStr">
        <is>
          <t>人工</t>
        </is>
      </c>
      <c r="E69" s="4" t="inlineStr">
        <is>
          <t>赛维斯</t>
        </is>
      </c>
      <c r="F69" s="4" t="inlineStr"/>
      <c r="G69" s="9" t="n">
        <v>229189</v>
      </c>
      <c r="H69" s="9" t="n">
        <v>3036</v>
      </c>
      <c r="I69" s="11" t="n">
        <v>1.32</v>
      </c>
      <c r="J69" s="9" t="n">
        <v>116749900</v>
      </c>
      <c r="K69" s="9" t="n">
        <v>38455</v>
      </c>
      <c r="L69" s="9" t="n">
        <v>37950</v>
      </c>
      <c r="M69" s="11" t="n">
        <v>0.07000000000000001</v>
      </c>
      <c r="N69" s="23" t="n">
        <v>1.068</v>
      </c>
      <c r="O69" s="9" t="n">
        <v>553320</v>
      </c>
      <c r="P69" s="9" t="n">
        <v>515370</v>
      </c>
      <c r="Q69" s="9" t="n">
        <v>482556</v>
      </c>
      <c r="R69" s="6" t="n">
        <v>87.2</v>
      </c>
      <c r="S69" s="6" t="n">
        <v>6.9</v>
      </c>
      <c r="T69" s="5" t="n">
        <v>182.3</v>
      </c>
      <c r="U69" s="5" t="n">
        <v>158.9</v>
      </c>
      <c r="V69" s="24" t="n">
        <v>0.06306154070734596</v>
      </c>
      <c r="W69" s="4" t="inlineStr">
        <is>
          <t>首贷_人工</t>
        </is>
      </c>
    </row>
    <row r="70">
      <c r="A70" s="4" t="inlineStr">
        <is>
          <t>2026-01</t>
        </is>
      </c>
      <c r="B70" s="4" t="inlineStr">
        <is>
          <t>金条</t>
        </is>
      </c>
      <c r="C70" s="4" t="inlineStr">
        <is>
          <t>复贷</t>
        </is>
      </c>
      <c r="D70" s="4" t="inlineStr">
        <is>
          <t>人工</t>
        </is>
      </c>
      <c r="E70" s="4" t="inlineStr">
        <is>
          <t>赛维斯</t>
        </is>
      </c>
      <c r="F70" s="4" t="inlineStr"/>
      <c r="G70" s="9" t="n">
        <v>242316</v>
      </c>
      <c r="H70" s="9" t="n">
        <v>12098</v>
      </c>
      <c r="I70" s="11" t="n">
        <v>4.99</v>
      </c>
      <c r="J70" s="9" t="n">
        <v>437334800</v>
      </c>
      <c r="K70" s="9" t="n">
        <v>36149</v>
      </c>
      <c r="L70" s="9" t="n">
        <v>38736</v>
      </c>
      <c r="M70" s="11" t="n">
        <v>0.36</v>
      </c>
      <c r="N70" s="23" t="n">
        <v>1.068</v>
      </c>
      <c r="O70" s="9" t="n">
        <v>527506</v>
      </c>
      <c r="P70" s="9" t="n">
        <v>488770</v>
      </c>
      <c r="Q70" s="9" t="n">
        <v>457650</v>
      </c>
      <c r="R70" s="6" t="n">
        <v>86.8</v>
      </c>
      <c r="S70" s="6" t="n">
        <v>7.3</v>
      </c>
      <c r="T70" s="5" t="n">
        <v>43.6</v>
      </c>
      <c r="U70" s="5" t="n">
        <v>37.8</v>
      </c>
      <c r="V70" s="24" t="n">
        <v>0.003104473836622296</v>
      </c>
      <c r="W70" s="4" t="inlineStr">
        <is>
          <t>复贷_人工</t>
        </is>
      </c>
    </row>
    <row r="71">
      <c r="A71" s="4" t="inlineStr">
        <is>
          <t>2026-01</t>
        </is>
      </c>
      <c r="B71" s="4" t="inlineStr">
        <is>
          <t>金条</t>
        </is>
      </c>
      <c r="C71" s="4" t="inlineStr">
        <is>
          <t>首贷</t>
        </is>
      </c>
      <c r="D71" s="4" t="inlineStr">
        <is>
          <t>人机</t>
        </is>
      </c>
      <c r="E71" s="4" t="inlineStr">
        <is>
          <t>零犀</t>
        </is>
      </c>
      <c r="F71" s="4" t="inlineStr"/>
      <c r="G71" s="9" t="n">
        <v>10262894</v>
      </c>
      <c r="H71" s="9" t="n">
        <v>34844</v>
      </c>
      <c r="I71" s="11" t="n">
        <v>0.34</v>
      </c>
      <c r="J71" s="9" t="n">
        <v>768615100</v>
      </c>
      <c r="K71" s="9" t="n">
        <v>22059</v>
      </c>
      <c r="L71" s="9" t="n">
        <v>1072642</v>
      </c>
      <c r="M71" s="11" t="n">
        <v>0.07000000000000001</v>
      </c>
      <c r="N71" s="23" t="n">
        <v>1.068</v>
      </c>
      <c r="O71" s="9" t="n">
        <v>4169398</v>
      </c>
      <c r="P71" s="9" t="n">
        <v>3096756</v>
      </c>
      <c r="Q71" s="9" t="n">
        <v>2899584</v>
      </c>
      <c r="R71" s="6" t="n">
        <v>69.5</v>
      </c>
      <c r="S71" s="6" t="n">
        <v>25.7</v>
      </c>
      <c r="T71" s="5" t="n">
        <v>119.7</v>
      </c>
      <c r="U71" s="5" t="n">
        <v>83.2</v>
      </c>
      <c r="V71" s="24" t="n">
        <v>0.05755724995328796</v>
      </c>
      <c r="W71" s="4" t="inlineStr">
        <is>
          <t>首贷_人机</t>
        </is>
      </c>
    </row>
    <row r="72">
      <c r="A72" s="4" t="inlineStr">
        <is>
          <t>2026-01</t>
        </is>
      </c>
      <c r="B72" s="4" t="inlineStr">
        <is>
          <t>金条</t>
        </is>
      </c>
      <c r="C72" s="4" t="inlineStr">
        <is>
          <t>复贷</t>
        </is>
      </c>
      <c r="D72" s="4" t="inlineStr">
        <is>
          <t>人机</t>
        </is>
      </c>
      <c r="E72" s="4" t="inlineStr">
        <is>
          <t>零犀</t>
        </is>
      </c>
      <c r="F72" s="4" t="inlineStr"/>
      <c r="G72" s="9" t="n">
        <v>1917233</v>
      </c>
      <c r="H72" s="9" t="n">
        <v>13579</v>
      </c>
      <c r="I72" s="11" t="n">
        <v>0.71</v>
      </c>
      <c r="J72" s="9" t="n">
        <v>669310200</v>
      </c>
      <c r="K72" s="9" t="n">
        <v>49290</v>
      </c>
      <c r="L72" s="9" t="n">
        <v>186327</v>
      </c>
      <c r="M72" s="11" t="n">
        <v>0.36</v>
      </c>
      <c r="N72" s="23" t="n">
        <v>1.068</v>
      </c>
      <c r="O72" s="9" t="n">
        <v>771045</v>
      </c>
      <c r="P72" s="9" t="n">
        <v>584718</v>
      </c>
      <c r="Q72" s="9" t="n">
        <v>547490</v>
      </c>
      <c r="R72" s="6" t="n">
        <v>71</v>
      </c>
      <c r="S72" s="6" t="n">
        <v>24.2</v>
      </c>
      <c r="T72" s="5" t="n">
        <v>56.8</v>
      </c>
      <c r="U72" s="5" t="n">
        <v>40.3</v>
      </c>
      <c r="V72" s="24" t="n">
        <v>0.002426702396985234</v>
      </c>
      <c r="W72" s="4" t="inlineStr">
        <is>
          <t>复贷_人机</t>
        </is>
      </c>
    </row>
    <row r="73">
      <c r="A73" s="4" t="inlineStr">
        <is>
          <t>2026-01</t>
        </is>
      </c>
      <c r="B73" s="4" t="inlineStr">
        <is>
          <t>金条</t>
        </is>
      </c>
      <c r="C73" s="4" t="inlineStr">
        <is>
          <t>首贷</t>
        </is>
      </c>
      <c r="D73" s="4" t="inlineStr">
        <is>
          <t>纯机</t>
        </is>
      </c>
      <c r="E73" s="4" t="inlineStr">
        <is>
          <t>零犀</t>
        </is>
      </c>
      <c r="F73" s="4" t="inlineStr"/>
      <c r="G73" s="9" t="n">
        <v>15800865</v>
      </c>
      <c r="H73" s="9" t="n">
        <v>17745</v>
      </c>
      <c r="I73" s="11" t="n">
        <v>0.11</v>
      </c>
      <c r="J73" s="9" t="n">
        <v>392797900</v>
      </c>
      <c r="K73" s="9" t="n">
        <v>22136</v>
      </c>
      <c r="L73" s="9" t="n">
        <v>1455996</v>
      </c>
      <c r="M73" s="11" t="n">
        <v>0.07000000000000001</v>
      </c>
      <c r="N73" s="23" t="n">
        <v>1.068</v>
      </c>
      <c r="O73" s="9" t="n">
        <v>2475428</v>
      </c>
      <c r="P73" s="9" t="n">
        <v>1019432</v>
      </c>
      <c r="Q73" s="9" t="n">
        <v>954524</v>
      </c>
      <c r="R73" s="6" t="n">
        <v>38.6</v>
      </c>
      <c r="S73" s="6" t="n">
        <v>58.8</v>
      </c>
      <c r="T73" s="5" t="n">
        <v>139.5</v>
      </c>
      <c r="U73" s="5" t="n">
        <v>53.8</v>
      </c>
      <c r="V73" s="24" t="n">
        <v>0.03707584558296845</v>
      </c>
      <c r="W73" s="4" t="inlineStr">
        <is>
          <t>首贷_纯机</t>
        </is>
      </c>
    </row>
    <row r="74">
      <c r="A74" s="4" t="inlineStr">
        <is>
          <t>2026-01</t>
        </is>
      </c>
      <c r="B74" s="4" t="inlineStr">
        <is>
          <t>金条</t>
        </is>
      </c>
      <c r="C74" s="4" t="inlineStr">
        <is>
          <t>复贷</t>
        </is>
      </c>
      <c r="D74" s="4" t="inlineStr">
        <is>
          <t>纯机</t>
        </is>
      </c>
      <c r="E74" s="4" t="inlineStr">
        <is>
          <t>零犀</t>
        </is>
      </c>
      <c r="F74" s="4" t="inlineStr"/>
      <c r="G74" s="9" t="n">
        <v>570744</v>
      </c>
      <c r="H74" s="9" t="n">
        <v>38787</v>
      </c>
      <c r="I74" s="11" t="n">
        <v>6.8</v>
      </c>
      <c r="J74" s="9" t="n">
        <v>1036391900</v>
      </c>
      <c r="K74" s="9" t="n">
        <v>26720</v>
      </c>
      <c r="L74" s="9" t="n">
        <v>76207</v>
      </c>
      <c r="M74" s="11" t="n">
        <v>0.36</v>
      </c>
      <c r="N74" s="23" t="n">
        <v>1.068</v>
      </c>
      <c r="O74" s="9" t="n">
        <v>159190</v>
      </c>
      <c r="P74" s="9" t="n">
        <v>82983</v>
      </c>
      <c r="Q74" s="9" t="n">
        <v>77699</v>
      </c>
      <c r="R74" s="6" t="n">
        <v>48.8</v>
      </c>
      <c r="S74" s="6" t="n">
        <v>47.9</v>
      </c>
      <c r="T74" s="5" t="n">
        <v>4.1</v>
      </c>
      <c r="U74" s="5" t="n">
        <v>2</v>
      </c>
      <c r="V74" s="24" t="n">
        <v>0.0002224142559714461</v>
      </c>
      <c r="W74" s="4" t="inlineStr">
        <is>
          <t>复贷_纯机</t>
        </is>
      </c>
    </row>
    <row r="75">
      <c r="A75" s="4" t="inlineStr">
        <is>
          <t>2026-01</t>
        </is>
      </c>
      <c r="B75" s="4" t="inlineStr">
        <is>
          <t>金条</t>
        </is>
      </c>
      <c r="C75" s="4" t="inlineStr">
        <is>
          <t>首贷</t>
        </is>
      </c>
      <c r="D75" s="4" t="inlineStr">
        <is>
          <t>人机</t>
        </is>
      </c>
      <c r="E75" s="4" t="inlineStr">
        <is>
          <t>零犀伽玛</t>
        </is>
      </c>
      <c r="F75" s="4" t="inlineStr"/>
      <c r="G75" s="9" t="n">
        <v>2513420</v>
      </c>
      <c r="H75" s="9" t="n">
        <v>7945</v>
      </c>
      <c r="I75" s="11" t="n">
        <v>0.32</v>
      </c>
      <c r="J75" s="9" t="n">
        <v>144302700</v>
      </c>
      <c r="K75" s="9" t="n">
        <v>18163</v>
      </c>
      <c r="L75" s="9" t="n">
        <v>271934</v>
      </c>
      <c r="M75" s="11" t="n">
        <v>0.07000000000000001</v>
      </c>
      <c r="N75" s="23" t="n">
        <v>1.068</v>
      </c>
      <c r="O75" s="9" t="n">
        <v>781279</v>
      </c>
      <c r="P75" s="9" t="n">
        <v>509345</v>
      </c>
      <c r="Q75" s="9" t="n">
        <v>476915</v>
      </c>
      <c r="R75" s="6" t="n">
        <v>61</v>
      </c>
      <c r="S75" s="6" t="n">
        <v>34.8</v>
      </c>
      <c r="T75" s="5" t="n">
        <v>98.3</v>
      </c>
      <c r="U75" s="5" t="n">
        <v>60</v>
      </c>
      <c r="V75" s="24" t="n">
        <v>0.05042426193589684</v>
      </c>
      <c r="W75" s="4" t="inlineStr">
        <is>
          <t>首贷_人机</t>
        </is>
      </c>
    </row>
    <row r="76">
      <c r="A76" s="4" t="inlineStr">
        <is>
          <t>2026-01</t>
        </is>
      </c>
      <c r="B76" s="4" t="inlineStr">
        <is>
          <t>金条</t>
        </is>
      </c>
      <c r="C76" s="4" t="inlineStr">
        <is>
          <t>首贷</t>
        </is>
      </c>
      <c r="D76" s="4" t="inlineStr">
        <is>
          <t>人机</t>
        </is>
      </c>
      <c r="E76" s="4" t="inlineStr">
        <is>
          <t>零犀毅航</t>
        </is>
      </c>
      <c r="F76" s="4" t="inlineStr"/>
      <c r="G76" s="9" t="n">
        <v>3781808</v>
      </c>
      <c r="H76" s="9" t="n">
        <v>12862</v>
      </c>
      <c r="I76" s="11" t="n">
        <v>0.34</v>
      </c>
      <c r="J76" s="9" t="n">
        <v>262594900</v>
      </c>
      <c r="K76" s="9" t="n">
        <v>20416</v>
      </c>
      <c r="L76" s="9" t="n">
        <v>401334</v>
      </c>
      <c r="M76" s="11" t="n">
        <v>0.07000000000000001</v>
      </c>
      <c r="N76" s="23" t="n">
        <v>1.068</v>
      </c>
      <c r="O76" s="9" t="n">
        <v>1422467</v>
      </c>
      <c r="P76" s="9" t="n">
        <v>1021133</v>
      </c>
      <c r="Q76" s="9" t="n">
        <v>956117</v>
      </c>
      <c r="R76" s="6" t="n">
        <v>67.2</v>
      </c>
      <c r="S76" s="6" t="n">
        <v>28.2</v>
      </c>
      <c r="T76" s="5" t="n">
        <v>110.6</v>
      </c>
      <c r="U76" s="5" t="n">
        <v>74.3</v>
      </c>
      <c r="V76" s="24" t="n">
        <v>0.05555178065421029</v>
      </c>
      <c r="W76" s="4" t="inlineStr">
        <is>
          <t>首贷_人机</t>
        </is>
      </c>
    </row>
    <row r="77">
      <c r="A77" s="4" t="inlineStr">
        <is>
          <t>2026-01</t>
        </is>
      </c>
      <c r="B77" s="4" t="inlineStr">
        <is>
          <t>金条</t>
        </is>
      </c>
      <c r="C77" s="4" t="inlineStr">
        <is>
          <t>首贷</t>
        </is>
      </c>
      <c r="D77" s="4" t="inlineStr">
        <is>
          <t>人机</t>
        </is>
      </c>
      <c r="E77" s="4" t="inlineStr">
        <is>
          <t>零犀毛毛虫</t>
        </is>
      </c>
      <c r="F77" s="4" t="inlineStr"/>
      <c r="G77" s="9" t="n">
        <v>1948705</v>
      </c>
      <c r="H77" s="9" t="n">
        <v>6662</v>
      </c>
      <c r="I77" s="11" t="n">
        <v>0.34</v>
      </c>
      <c r="J77" s="9" t="n">
        <v>131905400</v>
      </c>
      <c r="K77" s="9" t="n">
        <v>19800</v>
      </c>
      <c r="L77" s="9" t="n">
        <v>211660</v>
      </c>
      <c r="M77" s="11" t="n">
        <v>0.07000000000000001</v>
      </c>
      <c r="N77" s="23" t="n">
        <v>1.068</v>
      </c>
      <c r="O77" s="9" t="n">
        <v>703632</v>
      </c>
      <c r="P77" s="9" t="n">
        <v>491972</v>
      </c>
      <c r="Q77" s="9" t="n">
        <v>460647</v>
      </c>
      <c r="R77" s="6" t="n">
        <v>65.5</v>
      </c>
      <c r="S77" s="6" t="n">
        <v>30.1</v>
      </c>
      <c r="T77" s="5" t="n">
        <v>105.6</v>
      </c>
      <c r="U77" s="5" t="n">
        <v>69.09999999999999</v>
      </c>
      <c r="V77" s="24" t="n">
        <v>0.05328190831134608</v>
      </c>
      <c r="W77" s="4" t="inlineStr">
        <is>
          <t>首贷_人机</t>
        </is>
      </c>
    </row>
    <row r="78">
      <c r="A78" s="4" t="inlineStr">
        <is>
          <t>2026-01</t>
        </is>
      </c>
      <c r="B78" s="4" t="inlineStr">
        <is>
          <t>金条</t>
        </is>
      </c>
      <c r="C78" s="4" t="inlineStr">
        <is>
          <t>首贷</t>
        </is>
      </c>
      <c r="D78" s="4" t="inlineStr">
        <is>
          <t>人机</t>
        </is>
      </c>
      <c r="E78" s="4" t="inlineStr">
        <is>
          <t>零犀赛维斯</t>
        </is>
      </c>
      <c r="F78" s="4" t="inlineStr"/>
      <c r="G78" s="9" t="n">
        <v>2011172</v>
      </c>
      <c r="H78" s="9" t="n">
        <v>6569</v>
      </c>
      <c r="I78" s="11" t="n">
        <v>0.33</v>
      </c>
      <c r="J78" s="9" t="n">
        <v>120954300</v>
      </c>
      <c r="K78" s="9" t="n">
        <v>18413</v>
      </c>
      <c r="L78" s="9" t="n">
        <v>233130</v>
      </c>
      <c r="M78" s="11" t="n">
        <v>0.07000000000000001</v>
      </c>
      <c r="N78" s="23" t="n">
        <v>1.068</v>
      </c>
      <c r="O78" s="9" t="n">
        <v>646912</v>
      </c>
      <c r="P78" s="9" t="n">
        <v>413782</v>
      </c>
      <c r="Q78" s="9" t="n">
        <v>387437</v>
      </c>
      <c r="R78" s="6" t="n">
        <v>59.9</v>
      </c>
      <c r="S78" s="6" t="n">
        <v>36</v>
      </c>
      <c r="T78" s="5" t="n">
        <v>98.5</v>
      </c>
      <c r="U78" s="5" t="n">
        <v>59</v>
      </c>
      <c r="V78" s="24" t="n">
        <v>0.04887111436775236</v>
      </c>
      <c r="W78" s="4" t="inlineStr">
        <is>
          <t>首贷_人机</t>
        </is>
      </c>
    </row>
    <row r="79">
      <c r="A79" s="4" t="inlineStr">
        <is>
          <t>2026-02</t>
        </is>
      </c>
      <c r="B79" s="4" t="inlineStr">
        <is>
          <t>金条</t>
        </is>
      </c>
      <c r="C79" s="4" t="inlineStr">
        <is>
          <t>首贷</t>
        </is>
      </c>
      <c r="D79" s="4" t="inlineStr">
        <is>
          <t>纯机</t>
        </is>
      </c>
      <c r="E79" s="4" t="inlineStr">
        <is>
          <t>九四</t>
        </is>
      </c>
      <c r="F79" s="4" t="inlineStr"/>
      <c r="G79" s="9" t="n">
        <v>757231</v>
      </c>
      <c r="H79" s="9" t="n">
        <v>510</v>
      </c>
      <c r="I79" s="11" t="n">
        <v>0.07000000000000001</v>
      </c>
      <c r="J79" s="9" t="n">
        <v>4888200</v>
      </c>
      <c r="K79" s="9" t="n">
        <v>9585</v>
      </c>
      <c r="L79" s="9" t="n">
        <v>64296</v>
      </c>
      <c r="M79" s="11" t="n">
        <v>0.07000000000000001</v>
      </c>
      <c r="N79" s="23" t="n">
        <v>1.068</v>
      </c>
      <c r="O79" s="9" t="n">
        <v>71145</v>
      </c>
      <c r="P79" s="9" t="n">
        <v>6849</v>
      </c>
      <c r="Q79" s="9" t="n">
        <v>6413</v>
      </c>
      <c r="R79" s="6" t="n">
        <v>9</v>
      </c>
      <c r="S79" s="6" t="n">
        <v>90.40000000000001</v>
      </c>
      <c r="T79" s="5" t="n">
        <v>139.5</v>
      </c>
      <c r="U79" s="5" t="n">
        <v>12.6</v>
      </c>
      <c r="V79" s="24" t="n">
        <v>0.02001613214329551</v>
      </c>
      <c r="W79" s="4" t="inlineStr">
        <is>
          <t>首贷_纯机</t>
        </is>
      </c>
    </row>
    <row r="80">
      <c r="A80" s="4" t="inlineStr">
        <is>
          <t>2026-02</t>
        </is>
      </c>
      <c r="B80" s="4" t="inlineStr">
        <is>
          <t>金条</t>
        </is>
      </c>
      <c r="C80" s="4" t="inlineStr">
        <is>
          <t>首贷</t>
        </is>
      </c>
      <c r="D80" s="4" t="inlineStr">
        <is>
          <t>人工</t>
        </is>
      </c>
      <c r="E80" s="4" t="inlineStr">
        <is>
          <t>人和</t>
        </is>
      </c>
      <c r="F80" s="4" t="inlineStr"/>
      <c r="G80" s="9" t="n">
        <v>54859</v>
      </c>
      <c r="H80" s="9" t="n">
        <v>544</v>
      </c>
      <c r="I80" s="11" t="n">
        <v>0.99</v>
      </c>
      <c r="J80" s="9" t="n">
        <v>20413100</v>
      </c>
      <c r="K80" s="9" t="n">
        <v>37524</v>
      </c>
      <c r="L80" s="9" t="n">
        <v>9146</v>
      </c>
      <c r="M80" s="11" t="n">
        <v>0.07000000000000001</v>
      </c>
      <c r="N80" s="23" t="n">
        <v>1.068</v>
      </c>
      <c r="O80" s="9" t="n">
        <v>91630</v>
      </c>
      <c r="P80" s="9" t="n">
        <v>82484</v>
      </c>
      <c r="Q80" s="9" t="n">
        <v>77233</v>
      </c>
      <c r="R80" s="6" t="n">
        <v>84.3</v>
      </c>
      <c r="S80" s="6" t="n">
        <v>10</v>
      </c>
      <c r="T80" s="5" t="n">
        <v>168.4</v>
      </c>
      <c r="U80" s="5" t="n">
        <v>142</v>
      </c>
      <c r="V80" s="24" t="n">
        <v>0.057724836362084</v>
      </c>
      <c r="W80" s="4" t="inlineStr">
        <is>
          <t>首贷_人工</t>
        </is>
      </c>
    </row>
    <row r="81">
      <c r="A81" s="4" t="inlineStr">
        <is>
          <t>2026-02</t>
        </is>
      </c>
      <c r="B81" s="4" t="inlineStr">
        <is>
          <t>金条</t>
        </is>
      </c>
      <c r="C81" s="4" t="inlineStr">
        <is>
          <t>复贷</t>
        </is>
      </c>
      <c r="D81" s="4" t="inlineStr">
        <is>
          <t>人工</t>
        </is>
      </c>
      <c r="E81" s="4" t="inlineStr">
        <is>
          <t>人和</t>
        </is>
      </c>
      <c r="F81" s="4" t="inlineStr"/>
      <c r="G81" s="9" t="n">
        <v>85218</v>
      </c>
      <c r="H81" s="9" t="n">
        <v>4448</v>
      </c>
      <c r="I81" s="11" t="n">
        <v>5.22</v>
      </c>
      <c r="J81" s="9" t="n">
        <v>140017000</v>
      </c>
      <c r="K81" s="9" t="n">
        <v>31479</v>
      </c>
      <c r="L81" s="9" t="n">
        <v>14069</v>
      </c>
      <c r="M81" s="11" t="n">
        <v>0.36</v>
      </c>
      <c r="N81" s="23" t="n">
        <v>1.068</v>
      </c>
      <c r="O81" s="9" t="n">
        <v>164593</v>
      </c>
      <c r="P81" s="9" t="n">
        <v>150524</v>
      </c>
      <c r="Q81" s="9" t="n">
        <v>140940</v>
      </c>
      <c r="R81" s="6" t="n">
        <v>85.59999999999999</v>
      </c>
      <c r="S81" s="6" t="n">
        <v>8.5</v>
      </c>
      <c r="T81" s="5" t="n">
        <v>37</v>
      </c>
      <c r="U81" s="5" t="n">
        <v>31.7</v>
      </c>
      <c r="V81" s="24" t="n">
        <v>0.002986224688589402</v>
      </c>
      <c r="W81" s="4" t="inlineStr">
        <is>
          <t>复贷_人工</t>
        </is>
      </c>
    </row>
    <row r="82">
      <c r="A82" s="4" t="inlineStr">
        <is>
          <t>2026-02</t>
        </is>
      </c>
      <c r="B82" s="4" t="inlineStr">
        <is>
          <t>金条</t>
        </is>
      </c>
      <c r="C82" s="4" t="inlineStr">
        <is>
          <t>首贷</t>
        </is>
      </c>
      <c r="D82" s="4" t="inlineStr">
        <is>
          <t>人工</t>
        </is>
      </c>
      <c r="E82" s="4" t="inlineStr">
        <is>
          <t>伽玛</t>
        </is>
      </c>
      <c r="F82" s="4" t="inlineStr"/>
      <c r="G82" s="9" t="n">
        <v>216432</v>
      </c>
      <c r="H82" s="9" t="n">
        <v>2273</v>
      </c>
      <c r="I82" s="11" t="n">
        <v>1.05</v>
      </c>
      <c r="J82" s="9" t="n">
        <v>75351900</v>
      </c>
      <c r="K82" s="9" t="n">
        <v>33151</v>
      </c>
      <c r="L82" s="9" t="n">
        <v>35774</v>
      </c>
      <c r="M82" s="11" t="n">
        <v>0.07000000000000001</v>
      </c>
      <c r="N82" s="23" t="n">
        <v>1.068</v>
      </c>
      <c r="O82" s="9" t="n">
        <v>355049</v>
      </c>
      <c r="P82" s="9" t="n">
        <v>319275</v>
      </c>
      <c r="Q82" s="9" t="n">
        <v>298947</v>
      </c>
      <c r="R82" s="6" t="n">
        <v>84.2</v>
      </c>
      <c r="S82" s="6" t="n">
        <v>10.1</v>
      </c>
      <c r="T82" s="5" t="n">
        <v>156.2</v>
      </c>
      <c r="U82" s="5" t="n">
        <v>131.5</v>
      </c>
      <c r="V82" s="24" t="n">
        <v>0.06053027765154466</v>
      </c>
      <c r="W82" s="4" t="inlineStr">
        <is>
          <t>首贷_人工</t>
        </is>
      </c>
    </row>
    <row r="83">
      <c r="A83" s="4" t="inlineStr">
        <is>
          <t>2026-02</t>
        </is>
      </c>
      <c r="B83" s="4" t="inlineStr">
        <is>
          <t>金条</t>
        </is>
      </c>
      <c r="C83" s="4" t="inlineStr">
        <is>
          <t>复贷</t>
        </is>
      </c>
      <c r="D83" s="4" t="inlineStr">
        <is>
          <t>人工</t>
        </is>
      </c>
      <c r="E83" s="4" t="inlineStr">
        <is>
          <t>伽玛</t>
        </is>
      </c>
      <c r="F83" s="4" t="inlineStr"/>
      <c r="G83" s="9" t="n">
        <v>265200</v>
      </c>
      <c r="H83" s="9" t="n">
        <v>13609</v>
      </c>
      <c r="I83" s="11" t="n">
        <v>5.13</v>
      </c>
      <c r="J83" s="9" t="n">
        <v>503449100</v>
      </c>
      <c r="K83" s="9" t="n">
        <v>36994</v>
      </c>
      <c r="L83" s="9" t="n">
        <v>46785</v>
      </c>
      <c r="M83" s="11" t="n">
        <v>0.36</v>
      </c>
      <c r="N83" s="23" t="n">
        <v>1.068</v>
      </c>
      <c r="O83" s="9" t="n">
        <v>589173</v>
      </c>
      <c r="P83" s="9" t="n">
        <v>542388</v>
      </c>
      <c r="Q83" s="9" t="n">
        <v>507854</v>
      </c>
      <c r="R83" s="6" t="n">
        <v>86.2</v>
      </c>
      <c r="S83" s="6" t="n">
        <v>7.9</v>
      </c>
      <c r="T83" s="5" t="n">
        <v>43.3</v>
      </c>
      <c r="U83" s="5" t="n">
        <v>37.3</v>
      </c>
      <c r="V83" s="24" t="n">
        <v>0.002992622954998496</v>
      </c>
      <c r="W83" s="4" t="inlineStr">
        <is>
          <t>复贷_人工</t>
        </is>
      </c>
    </row>
    <row r="84">
      <c r="A84" s="4" t="inlineStr">
        <is>
          <t>2026-02</t>
        </is>
      </c>
      <c r="B84" s="4" t="inlineStr">
        <is>
          <t>金条</t>
        </is>
      </c>
      <c r="C84" s="4" t="inlineStr">
        <is>
          <t>首贷</t>
        </is>
      </c>
      <c r="D84" s="4" t="inlineStr">
        <is>
          <t>人工</t>
        </is>
      </c>
      <c r="E84" s="4" t="inlineStr">
        <is>
          <t>华啸</t>
        </is>
      </c>
      <c r="F84" s="4" t="inlineStr"/>
      <c r="G84" s="9" t="n">
        <v>28350</v>
      </c>
      <c r="H84" s="9" t="n">
        <v>275</v>
      </c>
      <c r="I84" s="11" t="n">
        <v>0.97</v>
      </c>
      <c r="J84" s="9" t="n">
        <v>6761000</v>
      </c>
      <c r="K84" s="9" t="n">
        <v>24585</v>
      </c>
      <c r="L84" s="9" t="n">
        <v>3704</v>
      </c>
      <c r="M84" s="11" t="n">
        <v>0.07000000000000001</v>
      </c>
      <c r="N84" s="23" t="n">
        <v>1.068</v>
      </c>
      <c r="O84" s="9" t="n">
        <v>30992</v>
      </c>
      <c r="P84" s="9" t="n">
        <v>27288</v>
      </c>
      <c r="Q84" s="9" t="n">
        <v>25550</v>
      </c>
      <c r="R84" s="6" t="n">
        <v>82.40000000000001</v>
      </c>
      <c r="S84" s="6" t="n">
        <v>12</v>
      </c>
      <c r="T84" s="5" t="n">
        <v>112.7</v>
      </c>
      <c r="U84" s="5" t="n">
        <v>92.90000000000001</v>
      </c>
      <c r="V84" s="24" t="n">
        <v>0.05765841908424366</v>
      </c>
      <c r="W84" s="4" t="inlineStr">
        <is>
          <t>首贷_人工</t>
        </is>
      </c>
    </row>
    <row r="85">
      <c r="A85" s="4" t="inlineStr">
        <is>
          <t>2026-02</t>
        </is>
      </c>
      <c r="B85" s="4" t="inlineStr">
        <is>
          <t>金条</t>
        </is>
      </c>
      <c r="C85" s="4" t="inlineStr">
        <is>
          <t>复贷</t>
        </is>
      </c>
      <c r="D85" s="4" t="inlineStr">
        <is>
          <t>人工</t>
        </is>
      </c>
      <c r="E85" s="4" t="inlineStr">
        <is>
          <t>华啸</t>
        </is>
      </c>
      <c r="F85" s="4" t="inlineStr"/>
      <c r="G85" s="9" t="n">
        <v>123869</v>
      </c>
      <c r="H85" s="9" t="n">
        <v>6585</v>
      </c>
      <c r="I85" s="11" t="n">
        <v>5.32</v>
      </c>
      <c r="J85" s="9" t="n">
        <v>196069600</v>
      </c>
      <c r="K85" s="9" t="n">
        <v>29775</v>
      </c>
      <c r="L85" s="9" t="n">
        <v>16900</v>
      </c>
      <c r="M85" s="11" t="n">
        <v>0.36</v>
      </c>
      <c r="N85" s="23" t="n">
        <v>1.068</v>
      </c>
      <c r="O85" s="9" t="n">
        <v>229181</v>
      </c>
      <c r="P85" s="9" t="n">
        <v>212281</v>
      </c>
      <c r="Q85" s="9" t="n">
        <v>198765</v>
      </c>
      <c r="R85" s="6" t="n">
        <v>86.7</v>
      </c>
      <c r="S85" s="6" t="n">
        <v>7.4</v>
      </c>
      <c r="T85" s="5" t="n">
        <v>34.8</v>
      </c>
      <c r="U85" s="5" t="n">
        <v>30.2</v>
      </c>
      <c r="V85" s="24" t="n">
        <v>0.00300744962219765</v>
      </c>
      <c r="W85" s="4" t="inlineStr">
        <is>
          <t>复贷_人工</t>
        </is>
      </c>
    </row>
    <row r="86">
      <c r="A86" s="4" t="inlineStr">
        <is>
          <t>2026-02</t>
        </is>
      </c>
      <c r="B86" s="4" t="inlineStr">
        <is>
          <t>金条</t>
        </is>
      </c>
      <c r="C86" s="4" t="inlineStr">
        <is>
          <t>首贷</t>
        </is>
      </c>
      <c r="D86" s="4" t="inlineStr">
        <is>
          <t>人工</t>
        </is>
      </c>
      <c r="E86" s="4" t="inlineStr">
        <is>
          <t>博岳石家庄</t>
        </is>
      </c>
      <c r="F86" s="4" t="inlineStr">
        <is>
          <t>石家庄</t>
        </is>
      </c>
      <c r="G86" s="9" t="n">
        <v>129632</v>
      </c>
      <c r="H86" s="9" t="n">
        <v>1517</v>
      </c>
      <c r="I86" s="11" t="n">
        <v>1.17</v>
      </c>
      <c r="J86" s="9" t="n">
        <v>61036500</v>
      </c>
      <c r="K86" s="9" t="n">
        <v>40235</v>
      </c>
      <c r="L86" s="9" t="n">
        <v>19063</v>
      </c>
      <c r="M86" s="11" t="n">
        <v>0.07000000000000001</v>
      </c>
      <c r="N86" s="23" t="n">
        <v>1.068</v>
      </c>
      <c r="O86" s="9" t="n">
        <v>295577</v>
      </c>
      <c r="P86" s="9" t="n">
        <v>276514</v>
      </c>
      <c r="Q86" s="9" t="n">
        <v>258908</v>
      </c>
      <c r="R86" s="6" t="n">
        <v>87.59999999999999</v>
      </c>
      <c r="S86" s="6" t="n">
        <v>6.4</v>
      </c>
      <c r="T86" s="5" t="n">
        <v>194.8</v>
      </c>
      <c r="U86" s="5" t="n">
        <v>170.7</v>
      </c>
      <c r="V86" s="24" t="n">
        <v>0.06471865195415857</v>
      </c>
      <c r="W86" s="4" t="inlineStr">
        <is>
          <t>首贷_人工</t>
        </is>
      </c>
    </row>
    <row r="87">
      <c r="A87" s="4" t="inlineStr">
        <is>
          <t>2026-02</t>
        </is>
      </c>
      <c r="B87" s="4" t="inlineStr">
        <is>
          <t>金条</t>
        </is>
      </c>
      <c r="C87" s="4" t="inlineStr">
        <is>
          <t>复贷</t>
        </is>
      </c>
      <c r="D87" s="4" t="inlineStr">
        <is>
          <t>人工</t>
        </is>
      </c>
      <c r="E87" s="4" t="inlineStr">
        <is>
          <t>博岳石家庄</t>
        </is>
      </c>
      <c r="F87" s="4" t="inlineStr">
        <is>
          <t>石家庄</t>
        </is>
      </c>
      <c r="G87" s="9" t="n">
        <v>164577</v>
      </c>
      <c r="H87" s="9" t="n">
        <v>7878</v>
      </c>
      <c r="I87" s="11" t="n">
        <v>4.79</v>
      </c>
      <c r="J87" s="9" t="n">
        <v>249006400</v>
      </c>
      <c r="K87" s="9" t="n">
        <v>31608</v>
      </c>
      <c r="L87" s="9" t="n">
        <v>24334</v>
      </c>
      <c r="M87" s="11" t="n">
        <v>0.36</v>
      </c>
      <c r="N87" s="23" t="n">
        <v>1.068</v>
      </c>
      <c r="O87" s="9" t="n">
        <v>290370</v>
      </c>
      <c r="P87" s="9" t="n">
        <v>266036</v>
      </c>
      <c r="Q87" s="9" t="n">
        <v>249097</v>
      </c>
      <c r="R87" s="6" t="n">
        <v>85.8</v>
      </c>
      <c r="S87" s="6" t="n">
        <v>8.4</v>
      </c>
      <c r="T87" s="5" t="n">
        <v>36.9</v>
      </c>
      <c r="U87" s="5" t="n">
        <v>31.6</v>
      </c>
      <c r="V87" s="24" t="n">
        <v>0.002967750583474517</v>
      </c>
      <c r="W87" s="4" t="inlineStr">
        <is>
          <t>复贷_人工</t>
        </is>
      </c>
    </row>
    <row r="88">
      <c r="A88" s="4" t="inlineStr">
        <is>
          <t>2026-02</t>
        </is>
      </c>
      <c r="B88" s="4" t="inlineStr">
        <is>
          <t>金条</t>
        </is>
      </c>
      <c r="C88" s="4" t="inlineStr">
        <is>
          <t>首贷</t>
        </is>
      </c>
      <c r="D88" s="4" t="inlineStr">
        <is>
          <t>人工</t>
        </is>
      </c>
      <c r="E88" s="4" t="inlineStr">
        <is>
          <t>宿迁兆科</t>
        </is>
      </c>
      <c r="F88" s="4" t="inlineStr">
        <is>
          <t>宿迁</t>
        </is>
      </c>
      <c r="G88" s="9" t="n">
        <v>26519</v>
      </c>
      <c r="H88" s="9" t="n">
        <v>369</v>
      </c>
      <c r="I88" s="11" t="n">
        <v>1.39</v>
      </c>
      <c r="J88" s="9" t="n">
        <v>11200100</v>
      </c>
      <c r="K88" s="9" t="n">
        <v>30353</v>
      </c>
      <c r="L88" s="9" t="n">
        <v>5183</v>
      </c>
      <c r="M88" s="11" t="n">
        <v>0.07000000000000001</v>
      </c>
      <c r="N88" s="23" t="n">
        <v>1.068</v>
      </c>
      <c r="O88" s="9" t="n">
        <v>55968</v>
      </c>
      <c r="P88" s="9" t="n">
        <v>50785</v>
      </c>
      <c r="Q88" s="9" t="n">
        <v>47552</v>
      </c>
      <c r="R88" s="6" t="n">
        <v>85</v>
      </c>
      <c r="S88" s="6" t="n">
        <v>9.300000000000001</v>
      </c>
      <c r="T88" s="5" t="n">
        <v>151.7</v>
      </c>
      <c r="U88" s="5" t="n">
        <v>128.9</v>
      </c>
      <c r="V88" s="24" t="n">
        <v>0.06477620735529147</v>
      </c>
      <c r="W88" s="4" t="inlineStr">
        <is>
          <t>首贷_人工</t>
        </is>
      </c>
    </row>
    <row r="89">
      <c r="A89" s="4" t="inlineStr">
        <is>
          <t>2026-02</t>
        </is>
      </c>
      <c r="B89" s="4" t="inlineStr">
        <is>
          <t>金条</t>
        </is>
      </c>
      <c r="C89" s="4" t="inlineStr">
        <is>
          <t>复贷</t>
        </is>
      </c>
      <c r="D89" s="4" t="inlineStr">
        <is>
          <t>人工</t>
        </is>
      </c>
      <c r="E89" s="4" t="inlineStr">
        <is>
          <t>宿迁兆科</t>
        </is>
      </c>
      <c r="F89" s="4" t="inlineStr">
        <is>
          <t>宿迁</t>
        </is>
      </c>
      <c r="G89" s="9" t="n">
        <v>38793</v>
      </c>
      <c r="H89" s="9" t="n">
        <v>2034</v>
      </c>
      <c r="I89" s="11" t="n">
        <v>5.24</v>
      </c>
      <c r="J89" s="9" t="n">
        <v>82075800</v>
      </c>
      <c r="K89" s="9" t="n">
        <v>40352</v>
      </c>
      <c r="L89" s="9" t="n">
        <v>7158</v>
      </c>
      <c r="M89" s="11" t="n">
        <v>0.36</v>
      </c>
      <c r="N89" s="23" t="n">
        <v>1.068</v>
      </c>
      <c r="O89" s="9" t="n">
        <v>95774</v>
      </c>
      <c r="P89" s="9" t="n">
        <v>88616</v>
      </c>
      <c r="Q89" s="9" t="n">
        <v>82975</v>
      </c>
      <c r="R89" s="6" t="n">
        <v>86.59999999999999</v>
      </c>
      <c r="S89" s="6" t="n">
        <v>7.5</v>
      </c>
      <c r="T89" s="5" t="n">
        <v>47.1</v>
      </c>
      <c r="U89" s="5" t="n">
        <v>40.8</v>
      </c>
      <c r="V89" s="24" t="n">
        <v>0.002999124657396645</v>
      </c>
      <c r="W89" s="4" t="inlineStr">
        <is>
          <t>复贷_人工</t>
        </is>
      </c>
    </row>
    <row r="90">
      <c r="A90" s="4" t="inlineStr">
        <is>
          <t>2026-02</t>
        </is>
      </c>
      <c r="B90" s="4" t="inlineStr">
        <is>
          <t>金条</t>
        </is>
      </c>
      <c r="C90" s="4" t="inlineStr">
        <is>
          <t>首贷</t>
        </is>
      </c>
      <c r="D90" s="4" t="inlineStr">
        <is>
          <t>人工</t>
        </is>
      </c>
      <c r="E90" s="4" t="inlineStr">
        <is>
          <t>岐力</t>
        </is>
      </c>
      <c r="F90" s="4" t="inlineStr"/>
      <c r="G90" s="9" t="n">
        <v>30758</v>
      </c>
      <c r="H90" s="9" t="n">
        <v>316</v>
      </c>
      <c r="I90" s="11" t="n">
        <v>1.03</v>
      </c>
      <c r="J90" s="9" t="n">
        <v>10250800</v>
      </c>
      <c r="K90" s="9" t="n">
        <v>32439</v>
      </c>
      <c r="L90" s="9" t="n">
        <v>4902</v>
      </c>
      <c r="M90" s="11" t="n">
        <v>0.07000000000000001</v>
      </c>
      <c r="N90" s="23" t="n">
        <v>1.068</v>
      </c>
      <c r="O90" s="9" t="n">
        <v>49082</v>
      </c>
      <c r="P90" s="9" t="n">
        <v>44180</v>
      </c>
      <c r="Q90" s="9" t="n">
        <v>41367</v>
      </c>
      <c r="R90" s="6" t="n">
        <v>84.3</v>
      </c>
      <c r="S90" s="6" t="n">
        <v>10</v>
      </c>
      <c r="T90" s="5" t="n">
        <v>155.3</v>
      </c>
      <c r="U90" s="5" t="n">
        <v>130.9</v>
      </c>
      <c r="V90" s="24" t="n">
        <v>0.0615701074201874</v>
      </c>
      <c r="W90" s="4" t="inlineStr">
        <is>
          <t>首贷_人工</t>
        </is>
      </c>
    </row>
    <row r="91">
      <c r="A91" s="4" t="inlineStr">
        <is>
          <t>2026-02</t>
        </is>
      </c>
      <c r="B91" s="4" t="inlineStr">
        <is>
          <t>金条</t>
        </is>
      </c>
      <c r="C91" s="4" t="inlineStr">
        <is>
          <t>复贷</t>
        </is>
      </c>
      <c r="D91" s="4" t="inlineStr">
        <is>
          <t>人工</t>
        </is>
      </c>
      <c r="E91" s="4" t="inlineStr">
        <is>
          <t>岐力</t>
        </is>
      </c>
      <c r="F91" s="4" t="inlineStr"/>
      <c r="G91" s="9" t="n">
        <v>240251</v>
      </c>
      <c r="H91" s="9" t="n">
        <v>10942</v>
      </c>
      <c r="I91" s="11" t="n">
        <v>4.55</v>
      </c>
      <c r="J91" s="9" t="n">
        <v>406475400</v>
      </c>
      <c r="K91" s="9" t="n">
        <v>37148</v>
      </c>
      <c r="L91" s="9" t="n">
        <v>33171</v>
      </c>
      <c r="M91" s="11" t="n">
        <v>0.36</v>
      </c>
      <c r="N91" s="23" t="n">
        <v>1.068</v>
      </c>
      <c r="O91" s="9" t="n">
        <v>478724</v>
      </c>
      <c r="P91" s="9" t="n">
        <v>445553</v>
      </c>
      <c r="Q91" s="9" t="n">
        <v>417184</v>
      </c>
      <c r="R91" s="6" t="n">
        <v>87.09999999999999</v>
      </c>
      <c r="S91" s="6" t="n">
        <v>6.9</v>
      </c>
      <c r="T91" s="5" t="n">
        <v>43.8</v>
      </c>
      <c r="U91" s="5" t="n">
        <v>38.1</v>
      </c>
      <c r="V91" s="24" t="n">
        <v>0.003044826875678632</v>
      </c>
      <c r="W91" s="4" t="inlineStr">
        <is>
          <t>复贷_人工</t>
        </is>
      </c>
    </row>
    <row r="92">
      <c r="A92" s="4" t="inlineStr">
        <is>
          <t>2026-02</t>
        </is>
      </c>
      <c r="B92" s="4" t="inlineStr">
        <is>
          <t>金条</t>
        </is>
      </c>
      <c r="C92" s="4" t="inlineStr">
        <is>
          <t>首贷</t>
        </is>
      </c>
      <c r="D92" s="4" t="inlineStr">
        <is>
          <t>人工</t>
        </is>
      </c>
      <c r="E92" s="4" t="inlineStr">
        <is>
          <t>广达陕西</t>
        </is>
      </c>
      <c r="F92" s="4" t="inlineStr">
        <is>
          <t>陕西</t>
        </is>
      </c>
      <c r="G92" s="9" t="n">
        <v>70020</v>
      </c>
      <c r="H92" s="9" t="n">
        <v>772</v>
      </c>
      <c r="I92" s="11" t="n">
        <v>1.1</v>
      </c>
      <c r="J92" s="9" t="n">
        <v>25156500</v>
      </c>
      <c r="K92" s="9" t="n">
        <v>32586</v>
      </c>
      <c r="L92" s="9" t="n">
        <v>10746</v>
      </c>
      <c r="M92" s="11" t="n">
        <v>0.07000000000000001</v>
      </c>
      <c r="N92" s="23" t="n">
        <v>1.068</v>
      </c>
      <c r="O92" s="9" t="n">
        <v>116505</v>
      </c>
      <c r="P92" s="9" t="n">
        <v>105759</v>
      </c>
      <c r="Q92" s="9" t="n">
        <v>99025</v>
      </c>
      <c r="R92" s="6" t="n">
        <v>85</v>
      </c>
      <c r="S92" s="6" t="n">
        <v>9.199999999999999</v>
      </c>
      <c r="T92" s="5" t="n">
        <v>150.9</v>
      </c>
      <c r="U92" s="5" t="n">
        <v>128.3</v>
      </c>
      <c r="V92" s="24" t="n">
        <v>0.06005775275347751</v>
      </c>
      <c r="W92" s="4" t="inlineStr">
        <is>
          <t>首贷_人工</t>
        </is>
      </c>
    </row>
    <row r="93">
      <c r="A93" s="4" t="inlineStr">
        <is>
          <t>2026-02</t>
        </is>
      </c>
      <c r="B93" s="4" t="inlineStr">
        <is>
          <t>金条</t>
        </is>
      </c>
      <c r="C93" s="4" t="inlineStr">
        <is>
          <t>复贷</t>
        </is>
      </c>
      <c r="D93" s="4" t="inlineStr">
        <is>
          <t>人工</t>
        </is>
      </c>
      <c r="E93" s="4" t="inlineStr">
        <is>
          <t>广达陕西</t>
        </is>
      </c>
      <c r="F93" s="4" t="inlineStr">
        <is>
          <t>陕西</t>
        </is>
      </c>
      <c r="G93" s="9" t="n">
        <v>113948</v>
      </c>
      <c r="H93" s="9" t="n">
        <v>4993</v>
      </c>
      <c r="I93" s="11" t="n">
        <v>4.38</v>
      </c>
      <c r="J93" s="9" t="n">
        <v>155478300</v>
      </c>
      <c r="K93" s="9" t="n">
        <v>31139</v>
      </c>
      <c r="L93" s="9" t="n">
        <v>15643</v>
      </c>
      <c r="M93" s="11" t="n">
        <v>0.36</v>
      </c>
      <c r="N93" s="23" t="n">
        <v>1.068</v>
      </c>
      <c r="O93" s="9" t="n">
        <v>186406</v>
      </c>
      <c r="P93" s="9" t="n">
        <v>170763</v>
      </c>
      <c r="Q93" s="9" t="n">
        <v>159891</v>
      </c>
      <c r="R93" s="6" t="n">
        <v>85.8</v>
      </c>
      <c r="S93" s="6" t="n">
        <v>8.4</v>
      </c>
      <c r="T93" s="5" t="n">
        <v>37.3</v>
      </c>
      <c r="U93" s="5" t="n">
        <v>32</v>
      </c>
      <c r="V93" s="24" t="n">
        <v>0.003050854470795389</v>
      </c>
      <c r="W93" s="4" t="inlineStr">
        <is>
          <t>复贷_人工</t>
        </is>
      </c>
    </row>
    <row r="94">
      <c r="A94" s="4" t="inlineStr">
        <is>
          <t>2026-02</t>
        </is>
      </c>
      <c r="B94" s="4" t="inlineStr">
        <is>
          <t>金条</t>
        </is>
      </c>
      <c r="C94" s="4" t="inlineStr">
        <is>
          <t>首贷</t>
        </is>
      </c>
      <c r="D94" s="4" t="inlineStr">
        <is>
          <t>人工</t>
        </is>
      </c>
      <c r="E94" s="4" t="inlineStr">
        <is>
          <t>毅航合肥</t>
        </is>
      </c>
      <c r="F94" s="4" t="inlineStr">
        <is>
          <t>合肥</t>
        </is>
      </c>
      <c r="G94" s="9" t="n">
        <v>643854</v>
      </c>
      <c r="H94" s="9" t="n">
        <v>7970</v>
      </c>
      <c r="I94" s="11" t="n">
        <v>1.24</v>
      </c>
      <c r="J94" s="9" t="n">
        <v>317603700</v>
      </c>
      <c r="K94" s="9" t="n">
        <v>39850</v>
      </c>
      <c r="L94" s="9" t="n">
        <v>95382</v>
      </c>
      <c r="M94" s="11" t="n">
        <v>0.07000000000000001</v>
      </c>
      <c r="N94" s="23" t="n">
        <v>1.068</v>
      </c>
      <c r="O94" s="9" t="n">
        <v>1439571</v>
      </c>
      <c r="P94" s="9" t="n">
        <v>1344189</v>
      </c>
      <c r="Q94" s="9" t="n">
        <v>1258604</v>
      </c>
      <c r="R94" s="6" t="n">
        <v>87.40000000000001</v>
      </c>
      <c r="S94" s="6" t="n">
        <v>6.6</v>
      </c>
      <c r="T94" s="5" t="n">
        <v>180.6</v>
      </c>
      <c r="U94" s="5" t="n">
        <v>157.9</v>
      </c>
      <c r="V94" s="24" t="n">
        <v>0.06046119739788924</v>
      </c>
      <c r="W94" s="4" t="inlineStr">
        <is>
          <t>首贷_人工</t>
        </is>
      </c>
    </row>
    <row r="95">
      <c r="A95" s="4" t="inlineStr">
        <is>
          <t>2026-02</t>
        </is>
      </c>
      <c r="B95" s="4" t="inlineStr">
        <is>
          <t>金条</t>
        </is>
      </c>
      <c r="C95" s="4" t="inlineStr">
        <is>
          <t>复贷</t>
        </is>
      </c>
      <c r="D95" s="4" t="inlineStr">
        <is>
          <t>人工</t>
        </is>
      </c>
      <c r="E95" s="4" t="inlineStr">
        <is>
          <t>毅航合肥</t>
        </is>
      </c>
      <c r="F95" s="4" t="inlineStr">
        <is>
          <t>合肥</t>
        </is>
      </c>
      <c r="G95" s="9" t="n">
        <v>444726</v>
      </c>
      <c r="H95" s="9" t="n">
        <v>24049</v>
      </c>
      <c r="I95" s="11" t="n">
        <v>5.41</v>
      </c>
      <c r="J95" s="9" t="n">
        <v>1020778600</v>
      </c>
      <c r="K95" s="9" t="n">
        <v>42446</v>
      </c>
      <c r="L95" s="9" t="n">
        <v>72218</v>
      </c>
      <c r="M95" s="11" t="n">
        <v>0.36</v>
      </c>
      <c r="N95" s="23" t="n">
        <v>1.068</v>
      </c>
      <c r="O95" s="9" t="n">
        <v>1225353</v>
      </c>
      <c r="P95" s="9" t="n">
        <v>1153135</v>
      </c>
      <c r="Q95" s="9" t="n">
        <v>1079715</v>
      </c>
      <c r="R95" s="6" t="n">
        <v>88.09999999999999</v>
      </c>
      <c r="S95" s="6" t="n">
        <v>5.9</v>
      </c>
      <c r="T95" s="5" t="n">
        <v>51</v>
      </c>
      <c r="U95" s="5" t="n">
        <v>44.9</v>
      </c>
      <c r="V95" s="24" t="n">
        <v>0.003137950558306941</v>
      </c>
      <c r="W95" s="4" t="inlineStr">
        <is>
          <t>复贷_人工</t>
        </is>
      </c>
    </row>
    <row r="96">
      <c r="A96" s="4" t="inlineStr">
        <is>
          <t>2026-02</t>
        </is>
      </c>
      <c r="B96" s="4" t="inlineStr">
        <is>
          <t>金条</t>
        </is>
      </c>
      <c r="C96" s="4" t="inlineStr">
        <is>
          <t>首贷</t>
        </is>
      </c>
      <c r="D96" s="4" t="inlineStr">
        <is>
          <t>人工</t>
        </is>
      </c>
      <c r="E96" s="4" t="inlineStr">
        <is>
          <t>毛毛虫</t>
        </is>
      </c>
      <c r="F96" s="4" t="inlineStr"/>
      <c r="G96" s="9" t="n">
        <v>502808</v>
      </c>
      <c r="H96" s="9" t="n">
        <v>5296</v>
      </c>
      <c r="I96" s="11" t="n">
        <v>1.05</v>
      </c>
      <c r="J96" s="9" t="n">
        <v>207419000</v>
      </c>
      <c r="K96" s="9" t="n">
        <v>39165</v>
      </c>
      <c r="L96" s="9" t="n">
        <v>68218</v>
      </c>
      <c r="M96" s="11" t="n">
        <v>0.07000000000000001</v>
      </c>
      <c r="N96" s="23" t="n">
        <v>1.068</v>
      </c>
      <c r="O96" s="9" t="n">
        <v>970296</v>
      </c>
      <c r="P96" s="9" t="n">
        <v>902078</v>
      </c>
      <c r="Q96" s="9" t="n">
        <v>844642</v>
      </c>
      <c r="R96" s="6" t="n">
        <v>87</v>
      </c>
      <c r="S96" s="6" t="n">
        <v>7</v>
      </c>
      <c r="T96" s="5" t="n">
        <v>183.2</v>
      </c>
      <c r="U96" s="5" t="n">
        <v>159.5</v>
      </c>
      <c r="V96" s="24" t="n">
        <v>0.06212945087686552</v>
      </c>
      <c r="W96" s="4" t="inlineStr">
        <is>
          <t>首贷_人工</t>
        </is>
      </c>
    </row>
    <row r="97">
      <c r="A97" s="4" t="inlineStr">
        <is>
          <t>2026-02</t>
        </is>
      </c>
      <c r="B97" s="4" t="inlineStr">
        <is>
          <t>金条</t>
        </is>
      </c>
      <c r="C97" s="4" t="inlineStr">
        <is>
          <t>复贷</t>
        </is>
      </c>
      <c r="D97" s="4" t="inlineStr">
        <is>
          <t>人工</t>
        </is>
      </c>
      <c r="E97" s="4" t="inlineStr">
        <is>
          <t>毛毛虫</t>
        </is>
      </c>
      <c r="F97" s="4" t="inlineStr"/>
      <c r="G97" s="9" t="n">
        <v>193351</v>
      </c>
      <c r="H97" s="9" t="n">
        <v>10636</v>
      </c>
      <c r="I97" s="11" t="n">
        <v>5.5</v>
      </c>
      <c r="J97" s="9" t="n">
        <v>343205500</v>
      </c>
      <c r="K97" s="9" t="n">
        <v>32268</v>
      </c>
      <c r="L97" s="9" t="n">
        <v>30194</v>
      </c>
      <c r="M97" s="11" t="n">
        <v>0.36</v>
      </c>
      <c r="N97" s="23" t="n">
        <v>1.068</v>
      </c>
      <c r="O97" s="9" t="n">
        <v>402133</v>
      </c>
      <c r="P97" s="9" t="n">
        <v>371939</v>
      </c>
      <c r="Q97" s="9" t="n">
        <v>348257</v>
      </c>
      <c r="R97" s="6" t="n">
        <v>86.59999999999999</v>
      </c>
      <c r="S97" s="6" t="n">
        <v>7.5</v>
      </c>
      <c r="T97" s="5" t="n">
        <v>37.8</v>
      </c>
      <c r="U97" s="5" t="n">
        <v>32.7</v>
      </c>
      <c r="V97" s="24" t="n">
        <v>0.003010336049069403</v>
      </c>
      <c r="W97" s="4" t="inlineStr">
        <is>
          <t>复贷_人工</t>
        </is>
      </c>
    </row>
    <row r="98">
      <c r="A98" s="4" t="inlineStr">
        <is>
          <t>2026-02</t>
        </is>
      </c>
      <c r="B98" s="4" t="inlineStr">
        <is>
          <t>金条</t>
        </is>
      </c>
      <c r="C98" s="4" t="inlineStr">
        <is>
          <t>首贷</t>
        </is>
      </c>
      <c r="D98" s="4" t="inlineStr">
        <is>
          <t>人工</t>
        </is>
      </c>
      <c r="E98" s="4" t="inlineStr">
        <is>
          <t>汇讯</t>
        </is>
      </c>
      <c r="F98" s="4" t="inlineStr"/>
      <c r="G98" s="9" t="n">
        <v>208192</v>
      </c>
      <c r="H98" s="9" t="n">
        <v>1750</v>
      </c>
      <c r="I98" s="11" t="n">
        <v>0.84</v>
      </c>
      <c r="J98" s="9" t="n">
        <v>68355100</v>
      </c>
      <c r="K98" s="9" t="n">
        <v>39060</v>
      </c>
      <c r="L98" s="9" t="n">
        <v>23064</v>
      </c>
      <c r="M98" s="11" t="n">
        <v>0.07000000000000001</v>
      </c>
      <c r="N98" s="23" t="n">
        <v>1.068</v>
      </c>
      <c r="O98" s="9" t="n">
        <v>322102</v>
      </c>
      <c r="P98" s="9" t="n">
        <v>299038</v>
      </c>
      <c r="Q98" s="9" t="n">
        <v>279998</v>
      </c>
      <c r="R98" s="6" t="n">
        <v>86.90000000000001</v>
      </c>
      <c r="S98" s="6" t="n">
        <v>7.2</v>
      </c>
      <c r="T98" s="5" t="n">
        <v>184.1</v>
      </c>
      <c r="U98" s="5" t="n">
        <v>160</v>
      </c>
      <c r="V98" s="24" t="n">
        <v>0.06249674755170322</v>
      </c>
      <c r="W98" s="4" t="inlineStr">
        <is>
          <t>首贷_人工</t>
        </is>
      </c>
    </row>
    <row r="99">
      <c r="A99" s="4" t="inlineStr">
        <is>
          <t>2026-02</t>
        </is>
      </c>
      <c r="B99" s="4" t="inlineStr">
        <is>
          <t>金条</t>
        </is>
      </c>
      <c r="C99" s="4" t="inlineStr">
        <is>
          <t>复贷</t>
        </is>
      </c>
      <c r="D99" s="4" t="inlineStr">
        <is>
          <t>人工</t>
        </is>
      </c>
      <c r="E99" s="4" t="inlineStr">
        <is>
          <t>汇讯</t>
        </is>
      </c>
      <c r="F99" s="4" t="inlineStr"/>
      <c r="G99" s="9" t="n">
        <v>126750</v>
      </c>
      <c r="H99" s="9" t="n">
        <v>6072</v>
      </c>
      <c r="I99" s="11" t="n">
        <v>4.79</v>
      </c>
      <c r="J99" s="9" t="n">
        <v>179464700</v>
      </c>
      <c r="K99" s="9" t="n">
        <v>29556</v>
      </c>
      <c r="L99" s="9" t="n">
        <v>17562</v>
      </c>
      <c r="M99" s="11" t="n">
        <v>0.36</v>
      </c>
      <c r="N99" s="23" t="n">
        <v>1.068</v>
      </c>
      <c r="O99" s="9" t="n">
        <v>210278</v>
      </c>
      <c r="P99" s="9" t="n">
        <v>192716</v>
      </c>
      <c r="Q99" s="9" t="n">
        <v>180446</v>
      </c>
      <c r="R99" s="6" t="n">
        <v>85.8</v>
      </c>
      <c r="S99" s="6" t="n">
        <v>8.4</v>
      </c>
      <c r="T99" s="5" t="n">
        <v>34.6</v>
      </c>
      <c r="U99" s="5" t="n">
        <v>29.7</v>
      </c>
      <c r="V99" s="24" t="n">
        <v>0.002982883108612569</v>
      </c>
      <c r="W99" s="4" t="inlineStr">
        <is>
          <t>复贷_人工</t>
        </is>
      </c>
    </row>
    <row r="100">
      <c r="A100" s="4" t="inlineStr">
        <is>
          <t>2026-02</t>
        </is>
      </c>
      <c r="B100" s="4" t="inlineStr">
        <is>
          <t>金条</t>
        </is>
      </c>
      <c r="C100" s="4" t="inlineStr">
        <is>
          <t>首贷</t>
        </is>
      </c>
      <c r="D100" s="4" t="inlineStr">
        <is>
          <t>纯机</t>
        </is>
      </c>
      <c r="E100" s="4" t="inlineStr">
        <is>
          <t>电话邦</t>
        </is>
      </c>
      <c r="F100" s="4" t="inlineStr"/>
      <c r="G100" s="9" t="n">
        <v>679727</v>
      </c>
      <c r="H100" s="9" t="n">
        <v>448</v>
      </c>
      <c r="I100" s="11" t="n">
        <v>0.07000000000000001</v>
      </c>
      <c r="J100" s="9" t="n">
        <v>5229200</v>
      </c>
      <c r="K100" s="9" t="n">
        <v>11672</v>
      </c>
      <c r="L100" s="9" t="n">
        <v>59535</v>
      </c>
      <c r="M100" s="11" t="n">
        <v>0.07000000000000001</v>
      </c>
      <c r="N100" s="23" t="n">
        <v>1.068</v>
      </c>
      <c r="O100" s="9" t="n">
        <v>62496</v>
      </c>
      <c r="P100" s="9" t="n">
        <v>2961</v>
      </c>
      <c r="Q100" s="9" t="n">
        <v>2772</v>
      </c>
      <c r="R100" s="6" t="n">
        <v>4.4</v>
      </c>
      <c r="S100" s="6" t="n">
        <v>95.3</v>
      </c>
      <c r="T100" s="5" t="n">
        <v>139.5</v>
      </c>
      <c r="U100" s="5" t="n">
        <v>6.2</v>
      </c>
      <c r="V100" s="24" t="n">
        <v>0.008089191463321347</v>
      </c>
      <c r="W100" s="4" t="inlineStr">
        <is>
          <t>首贷_纯机</t>
        </is>
      </c>
    </row>
    <row r="101">
      <c r="A101" s="4" t="inlineStr">
        <is>
          <t>2026-02</t>
        </is>
      </c>
      <c r="B101" s="4" t="inlineStr">
        <is>
          <t>金条</t>
        </is>
      </c>
      <c r="C101" s="4" t="inlineStr">
        <is>
          <t>首贷</t>
        </is>
      </c>
      <c r="D101" s="4" t="inlineStr">
        <is>
          <t>人工</t>
        </is>
      </c>
      <c r="E101" s="4" t="inlineStr">
        <is>
          <t>翰锐曲靖</t>
        </is>
      </c>
      <c r="F101" s="4" t="inlineStr">
        <is>
          <t>曲靖</t>
        </is>
      </c>
      <c r="G101" s="9" t="n">
        <v>54037</v>
      </c>
      <c r="H101" s="9" t="n">
        <v>598</v>
      </c>
      <c r="I101" s="11" t="n">
        <v>1.11</v>
      </c>
      <c r="J101" s="9" t="n">
        <v>21911600</v>
      </c>
      <c r="K101" s="9" t="n">
        <v>36641</v>
      </c>
      <c r="L101" s="9" t="n">
        <v>8260</v>
      </c>
      <c r="M101" s="11" t="n">
        <v>0.07000000000000001</v>
      </c>
      <c r="N101" s="23" t="n">
        <v>1.068</v>
      </c>
      <c r="O101" s="9" t="n">
        <v>103976</v>
      </c>
      <c r="P101" s="9" t="n">
        <v>95716</v>
      </c>
      <c r="Q101" s="9" t="n">
        <v>89622</v>
      </c>
      <c r="R101" s="6" t="n">
        <v>86.2</v>
      </c>
      <c r="S101" s="6" t="n">
        <v>7.9</v>
      </c>
      <c r="T101" s="5" t="n">
        <v>173.9</v>
      </c>
      <c r="U101" s="5" t="n">
        <v>149.9</v>
      </c>
      <c r="V101" s="24" t="n">
        <v>0.06240399736082387</v>
      </c>
      <c r="W101" s="4" t="inlineStr">
        <is>
          <t>首贷_人工</t>
        </is>
      </c>
    </row>
    <row r="102">
      <c r="A102" s="4" t="inlineStr">
        <is>
          <t>2026-02</t>
        </is>
      </c>
      <c r="B102" s="4" t="inlineStr">
        <is>
          <t>金条</t>
        </is>
      </c>
      <c r="C102" s="4" t="inlineStr">
        <is>
          <t>复贷</t>
        </is>
      </c>
      <c r="D102" s="4" t="inlineStr">
        <is>
          <t>人工</t>
        </is>
      </c>
      <c r="E102" s="4" t="inlineStr">
        <is>
          <t>翰锐曲靖</t>
        </is>
      </c>
      <c r="F102" s="4" t="inlineStr">
        <is>
          <t>曲靖</t>
        </is>
      </c>
      <c r="G102" s="9" t="n">
        <v>208249</v>
      </c>
      <c r="H102" s="9" t="n">
        <v>10501</v>
      </c>
      <c r="I102" s="11" t="n">
        <v>5.04</v>
      </c>
      <c r="J102" s="9" t="n">
        <v>331631400</v>
      </c>
      <c r="K102" s="9" t="n">
        <v>31581</v>
      </c>
      <c r="L102" s="9" t="n">
        <v>30583</v>
      </c>
      <c r="M102" s="11" t="n">
        <v>0.36</v>
      </c>
      <c r="N102" s="23" t="n">
        <v>1.068</v>
      </c>
      <c r="O102" s="9" t="n">
        <v>392887</v>
      </c>
      <c r="P102" s="9" t="n">
        <v>362304</v>
      </c>
      <c r="Q102" s="9" t="n">
        <v>339236</v>
      </c>
      <c r="R102" s="6" t="n">
        <v>86.3</v>
      </c>
      <c r="S102" s="6" t="n">
        <v>7.8</v>
      </c>
      <c r="T102" s="5" t="n">
        <v>37.4</v>
      </c>
      <c r="U102" s="5" t="n">
        <v>32.3</v>
      </c>
      <c r="V102" s="24" t="n">
        <v>0.00303469454339969</v>
      </c>
      <c r="W102" s="4" t="inlineStr">
        <is>
          <t>复贷_人工</t>
        </is>
      </c>
    </row>
    <row r="103">
      <c r="A103" s="4" t="inlineStr">
        <is>
          <t>2026-02</t>
        </is>
      </c>
      <c r="B103" s="4" t="inlineStr">
        <is>
          <t>金条</t>
        </is>
      </c>
      <c r="C103" s="4" t="inlineStr">
        <is>
          <t>首贷</t>
        </is>
      </c>
      <c r="D103" s="4" t="inlineStr">
        <is>
          <t>纯机</t>
        </is>
      </c>
      <c r="E103" s="4" t="inlineStr">
        <is>
          <t>言犀赛夫</t>
        </is>
      </c>
      <c r="F103" s="4" t="inlineStr"/>
      <c r="G103" s="9" t="n">
        <v>4579692</v>
      </c>
      <c r="H103" s="9" t="n">
        <v>4029</v>
      </c>
      <c r="I103" s="11" t="n">
        <v>0.09</v>
      </c>
      <c r="J103" s="9" t="n">
        <v>54195100</v>
      </c>
      <c r="K103" s="9" t="n">
        <v>13451</v>
      </c>
      <c r="L103" s="9" t="n">
        <v>415376</v>
      </c>
      <c r="M103" s="11" t="n">
        <v>0.07000000000000001</v>
      </c>
      <c r="N103" s="23" t="n">
        <v>1.068</v>
      </c>
      <c r="O103" s="9" t="n">
        <v>562046</v>
      </c>
      <c r="P103" s="9" t="n">
        <v>146670</v>
      </c>
      <c r="Q103" s="9" t="n">
        <v>137331</v>
      </c>
      <c r="R103" s="6" t="n">
        <v>24.4</v>
      </c>
      <c r="S103" s="6" t="n">
        <v>73.90000000000001</v>
      </c>
      <c r="T103" s="5" t="n">
        <v>139.5</v>
      </c>
      <c r="U103" s="5" t="n">
        <v>34.1</v>
      </c>
      <c r="V103" s="24" t="n">
        <v>0.03866190327696995</v>
      </c>
      <c r="W103" s="4" t="inlineStr">
        <is>
          <t>首贷_纯机</t>
        </is>
      </c>
    </row>
    <row r="104">
      <c r="A104" s="4" t="inlineStr">
        <is>
          <t>2026-02</t>
        </is>
      </c>
      <c r="B104" s="4" t="inlineStr">
        <is>
          <t>金条</t>
        </is>
      </c>
      <c r="C104" s="4" t="inlineStr">
        <is>
          <t>复贷</t>
        </is>
      </c>
      <c r="D104" s="4" t="inlineStr">
        <is>
          <t>纯机</t>
        </is>
      </c>
      <c r="E104" s="4" t="inlineStr">
        <is>
          <t>言犀赛夫</t>
        </is>
      </c>
      <c r="F104" s="4" t="inlineStr"/>
      <c r="G104" s="9" t="n">
        <v>358167</v>
      </c>
      <c r="H104" s="9" t="n">
        <v>20414</v>
      </c>
      <c r="I104" s="11" t="n">
        <v>5.7</v>
      </c>
      <c r="J104" s="9" t="n">
        <v>608433500</v>
      </c>
      <c r="K104" s="9" t="n">
        <v>29805</v>
      </c>
      <c r="L104" s="9" t="n">
        <v>45257</v>
      </c>
      <c r="M104" s="11" t="n">
        <v>0.36</v>
      </c>
      <c r="N104" s="23" t="n">
        <v>1.068</v>
      </c>
      <c r="O104" s="9" t="n">
        <v>93455</v>
      </c>
      <c r="P104" s="9" t="n">
        <v>48198</v>
      </c>
      <c r="Q104" s="9" t="n">
        <v>45130</v>
      </c>
      <c r="R104" s="6" t="n">
        <v>48.3</v>
      </c>
      <c r="S104" s="6" t="n">
        <v>48.4</v>
      </c>
      <c r="T104" s="5" t="n">
        <v>4.6</v>
      </c>
      <c r="U104" s="5" t="n">
        <v>2.2</v>
      </c>
      <c r="V104" s="24" t="n">
        <v>0.0002200459595557006</v>
      </c>
      <c r="W104" s="4" t="inlineStr">
        <is>
          <t>复贷_纯机</t>
        </is>
      </c>
    </row>
    <row r="105">
      <c r="A105" s="4" t="inlineStr">
        <is>
          <t>2026-02</t>
        </is>
      </c>
      <c r="B105" s="4" t="inlineStr">
        <is>
          <t>金条</t>
        </is>
      </c>
      <c r="C105" s="4" t="inlineStr">
        <is>
          <t>首贷</t>
        </is>
      </c>
      <c r="D105" s="4" t="inlineStr">
        <is>
          <t>人机</t>
        </is>
      </c>
      <c r="E105" s="4" t="inlineStr">
        <is>
          <t>赛维斯</t>
        </is>
      </c>
      <c r="F105" s="4" t="inlineStr"/>
      <c r="G105" s="9" t="n">
        <v>1689656</v>
      </c>
      <c r="H105" s="9" t="n">
        <v>5046</v>
      </c>
      <c r="I105" s="11" t="n">
        <v>0.3</v>
      </c>
      <c r="J105" s="9" t="n">
        <v>86820600</v>
      </c>
      <c r="K105" s="9" t="n">
        <v>17206</v>
      </c>
      <c r="L105" s="9" t="n">
        <v>210074</v>
      </c>
      <c r="M105" s="11" t="n">
        <v>0.07000000000000001</v>
      </c>
      <c r="N105" s="23" t="n">
        <v>1.068</v>
      </c>
      <c r="O105" s="9" t="n">
        <v>474192</v>
      </c>
      <c r="P105" s="9" t="n">
        <v>264118</v>
      </c>
      <c r="Q105" s="9" t="n">
        <v>247302</v>
      </c>
      <c r="R105" s="6" t="n">
        <v>52.2</v>
      </c>
      <c r="S105" s="6" t="n">
        <v>44.3</v>
      </c>
      <c r="T105" s="5" t="n">
        <v>94</v>
      </c>
      <c r="U105" s="5" t="n">
        <v>49</v>
      </c>
      <c r="V105" s="24" t="n">
        <v>0.04345874464947588</v>
      </c>
      <c r="W105" s="4" t="inlineStr">
        <is>
          <t>首贷_人机</t>
        </is>
      </c>
    </row>
    <row r="106">
      <c r="A106" s="4" t="inlineStr">
        <is>
          <t>2026-02</t>
        </is>
      </c>
      <c r="B106" s="4" t="inlineStr">
        <is>
          <t>金条</t>
        </is>
      </c>
      <c r="C106" s="4" t="inlineStr">
        <is>
          <t>复贷</t>
        </is>
      </c>
      <c r="D106" s="4" t="inlineStr">
        <is>
          <t>人机</t>
        </is>
      </c>
      <c r="E106" s="4" t="inlineStr">
        <is>
          <t>赛维斯</t>
        </is>
      </c>
      <c r="F106" s="4" t="inlineStr"/>
      <c r="G106" s="9" t="n">
        <v>1041307</v>
      </c>
      <c r="H106" s="9" t="n">
        <v>6409</v>
      </c>
      <c r="I106" s="11" t="n">
        <v>0.62</v>
      </c>
      <c r="J106" s="9" t="n">
        <v>351528700</v>
      </c>
      <c r="K106" s="9" t="n">
        <v>54849</v>
      </c>
      <c r="L106" s="9" t="n">
        <v>122268</v>
      </c>
      <c r="M106" s="11" t="n">
        <v>0.36</v>
      </c>
      <c r="N106" s="23" t="n">
        <v>1.068</v>
      </c>
      <c r="O106" s="9" t="n">
        <v>404961</v>
      </c>
      <c r="P106" s="9" t="n">
        <v>282693</v>
      </c>
      <c r="Q106" s="9" t="n">
        <v>264694</v>
      </c>
      <c r="R106" s="6" t="n">
        <v>65.40000000000001</v>
      </c>
      <c r="S106" s="6" t="n">
        <v>30.2</v>
      </c>
      <c r="T106" s="5" t="n">
        <v>63.2</v>
      </c>
      <c r="U106" s="5" t="n">
        <v>41.3</v>
      </c>
      <c r="V106" s="24" t="n">
        <v>0.002233838469898285</v>
      </c>
      <c r="W106" s="4" t="inlineStr">
        <is>
          <t>复贷_人机</t>
        </is>
      </c>
    </row>
    <row r="107">
      <c r="A107" s="4" t="inlineStr">
        <is>
          <t>2026-02</t>
        </is>
      </c>
      <c r="B107" s="4" t="inlineStr">
        <is>
          <t>金条</t>
        </is>
      </c>
      <c r="C107" s="4" t="inlineStr">
        <is>
          <t>首贷</t>
        </is>
      </c>
      <c r="D107" s="4" t="inlineStr">
        <is>
          <t>人工</t>
        </is>
      </c>
      <c r="E107" s="4" t="inlineStr">
        <is>
          <t>赛维斯</t>
        </is>
      </c>
      <c r="F107" s="4" t="inlineStr"/>
      <c r="G107" s="9" t="n">
        <v>168638</v>
      </c>
      <c r="H107" s="9" t="n">
        <v>1905</v>
      </c>
      <c r="I107" s="11" t="n">
        <v>1.13</v>
      </c>
      <c r="J107" s="9" t="n">
        <v>62711900</v>
      </c>
      <c r="K107" s="9" t="n">
        <v>32920</v>
      </c>
      <c r="L107" s="9" t="n">
        <v>24246</v>
      </c>
      <c r="M107" s="11" t="n">
        <v>0.07000000000000001</v>
      </c>
      <c r="N107" s="23" t="n">
        <v>1.068</v>
      </c>
      <c r="O107" s="9" t="n">
        <v>301261</v>
      </c>
      <c r="P107" s="9" t="n">
        <v>277015</v>
      </c>
      <c r="Q107" s="9" t="n">
        <v>259377</v>
      </c>
      <c r="R107" s="6" t="n">
        <v>86.09999999999999</v>
      </c>
      <c r="S107" s="6" t="n">
        <v>8</v>
      </c>
      <c r="T107" s="5" t="n">
        <v>158.1</v>
      </c>
      <c r="U107" s="5" t="n">
        <v>136.2</v>
      </c>
      <c r="V107" s="24" t="n">
        <v>0.0631037672731514</v>
      </c>
      <c r="W107" s="4" t="inlineStr">
        <is>
          <t>首贷_人工</t>
        </is>
      </c>
    </row>
    <row r="108">
      <c r="A108" s="4" t="inlineStr">
        <is>
          <t>2026-02</t>
        </is>
      </c>
      <c r="B108" s="4" t="inlineStr">
        <is>
          <t>金条</t>
        </is>
      </c>
      <c r="C108" s="4" t="inlineStr">
        <is>
          <t>复贷</t>
        </is>
      </c>
      <c r="D108" s="4" t="inlineStr">
        <is>
          <t>人工</t>
        </is>
      </c>
      <c r="E108" s="4" t="inlineStr">
        <is>
          <t>赛维斯</t>
        </is>
      </c>
      <c r="F108" s="4" t="inlineStr"/>
      <c r="G108" s="9" t="n">
        <v>219135</v>
      </c>
      <c r="H108" s="9" t="n">
        <v>11148</v>
      </c>
      <c r="I108" s="11" t="n">
        <v>5.09</v>
      </c>
      <c r="J108" s="9" t="n">
        <v>370178100</v>
      </c>
      <c r="K108" s="9" t="n">
        <v>33206</v>
      </c>
      <c r="L108" s="9" t="n">
        <v>33874</v>
      </c>
      <c r="M108" s="11" t="n">
        <v>0.36</v>
      </c>
      <c r="N108" s="23" t="n">
        <v>1.068</v>
      </c>
      <c r="O108" s="9" t="n">
        <v>446349</v>
      </c>
      <c r="P108" s="9" t="n">
        <v>412475</v>
      </c>
      <c r="Q108" s="9" t="n">
        <v>386212</v>
      </c>
      <c r="R108" s="6" t="n">
        <v>86.5</v>
      </c>
      <c r="S108" s="6" t="n">
        <v>7.6</v>
      </c>
      <c r="T108" s="5" t="n">
        <v>40</v>
      </c>
      <c r="U108" s="5" t="n">
        <v>34.6</v>
      </c>
      <c r="V108" s="24" t="n">
        <v>0.003095169295236236</v>
      </c>
      <c r="W108" s="4" t="inlineStr">
        <is>
          <t>复贷_人工</t>
        </is>
      </c>
    </row>
    <row r="109">
      <c r="A109" s="4" t="inlineStr">
        <is>
          <t>2026-02</t>
        </is>
      </c>
      <c r="B109" s="4" t="inlineStr">
        <is>
          <t>金条</t>
        </is>
      </c>
      <c r="C109" s="4" t="inlineStr">
        <is>
          <t>首贷</t>
        </is>
      </c>
      <c r="D109" s="4" t="inlineStr">
        <is>
          <t>人机</t>
        </is>
      </c>
      <c r="E109" s="4" t="inlineStr">
        <is>
          <t>零犀</t>
        </is>
      </c>
      <c r="F109" s="4" t="inlineStr"/>
      <c r="G109" s="9" t="n">
        <v>7609280</v>
      </c>
      <c r="H109" s="9" t="n">
        <v>26505</v>
      </c>
      <c r="I109" s="11" t="n">
        <v>0.35</v>
      </c>
      <c r="J109" s="9" t="n">
        <v>486979600</v>
      </c>
      <c r="K109" s="9" t="n">
        <v>18373</v>
      </c>
      <c r="L109" s="9" t="n">
        <v>812497</v>
      </c>
      <c r="M109" s="11" t="n">
        <v>0.07000000000000001</v>
      </c>
      <c r="N109" s="23" t="n">
        <v>1.068</v>
      </c>
      <c r="O109" s="9" t="n">
        <v>2636880</v>
      </c>
      <c r="P109" s="9" t="n">
        <v>1824383</v>
      </c>
      <c r="Q109" s="9" t="n">
        <v>1708224</v>
      </c>
      <c r="R109" s="6" t="n">
        <v>64.8</v>
      </c>
      <c r="S109" s="6" t="n">
        <v>30.8</v>
      </c>
      <c r="T109" s="5" t="n">
        <v>99.5</v>
      </c>
      <c r="U109" s="5" t="n">
        <v>64.40000000000001</v>
      </c>
      <c r="V109" s="24" t="n">
        <v>0.05351890363726589</v>
      </c>
      <c r="W109" s="4" t="inlineStr">
        <is>
          <t>首贷_人机</t>
        </is>
      </c>
    </row>
    <row r="110">
      <c r="A110" s="4" t="inlineStr">
        <is>
          <t>2026-02</t>
        </is>
      </c>
      <c r="B110" s="4" t="inlineStr">
        <is>
          <t>金条</t>
        </is>
      </c>
      <c r="C110" s="4" t="inlineStr">
        <is>
          <t>复贷</t>
        </is>
      </c>
      <c r="D110" s="4" t="inlineStr">
        <is>
          <t>人机</t>
        </is>
      </c>
      <c r="E110" s="4" t="inlineStr">
        <is>
          <t>零犀</t>
        </is>
      </c>
      <c r="F110" s="4" t="inlineStr"/>
      <c r="G110" s="9" t="n">
        <v>1141113</v>
      </c>
      <c r="H110" s="9" t="n">
        <v>7859</v>
      </c>
      <c r="I110" s="11" t="n">
        <v>0.6899999999999999</v>
      </c>
      <c r="J110" s="9" t="n">
        <v>452672200</v>
      </c>
      <c r="K110" s="9" t="n">
        <v>57599</v>
      </c>
      <c r="L110" s="9" t="n">
        <v>110634</v>
      </c>
      <c r="M110" s="11" t="n">
        <v>0.36</v>
      </c>
      <c r="N110" s="23" t="n">
        <v>1.068</v>
      </c>
      <c r="O110" s="9" t="n">
        <v>521478</v>
      </c>
      <c r="P110" s="9" t="n">
        <v>410844</v>
      </c>
      <c r="Q110" s="9" t="n">
        <v>384686</v>
      </c>
      <c r="R110" s="6" t="n">
        <v>73.8</v>
      </c>
      <c r="S110" s="6" t="n">
        <v>21.2</v>
      </c>
      <c r="T110" s="5" t="n">
        <v>66.40000000000001</v>
      </c>
      <c r="U110" s="5" t="n">
        <v>48.9</v>
      </c>
      <c r="V110" s="24" t="n">
        <v>0.002521103203009448</v>
      </c>
      <c r="W110" s="4" t="inlineStr">
        <is>
          <t>复贷_人机</t>
        </is>
      </c>
    </row>
    <row r="111">
      <c r="A111" s="4" t="inlineStr">
        <is>
          <t>2026-02</t>
        </is>
      </c>
      <c r="B111" s="4" t="inlineStr">
        <is>
          <t>金条</t>
        </is>
      </c>
      <c r="C111" s="4" t="inlineStr">
        <is>
          <t>首贷</t>
        </is>
      </c>
      <c r="D111" s="4" t="inlineStr">
        <is>
          <t>纯机</t>
        </is>
      </c>
      <c r="E111" s="4" t="inlineStr">
        <is>
          <t>零犀</t>
        </is>
      </c>
      <c r="F111" s="4" t="inlineStr"/>
      <c r="G111" s="9" t="n">
        <v>11578489</v>
      </c>
      <c r="H111" s="9" t="n">
        <v>11853</v>
      </c>
      <c r="I111" s="11" t="n">
        <v>0.1</v>
      </c>
      <c r="J111" s="9" t="n">
        <v>221449000</v>
      </c>
      <c r="K111" s="9" t="n">
        <v>18683</v>
      </c>
      <c r="L111" s="9" t="n">
        <v>1395777</v>
      </c>
      <c r="M111" s="11" t="n">
        <v>0.07000000000000001</v>
      </c>
      <c r="N111" s="23" t="n">
        <v>1.068</v>
      </c>
      <c r="O111" s="9" t="n">
        <v>1653494</v>
      </c>
      <c r="P111" s="9" t="n">
        <v>257717</v>
      </c>
      <c r="Q111" s="9" t="n">
        <v>241308</v>
      </c>
      <c r="R111" s="6" t="n">
        <v>14.6</v>
      </c>
      <c r="S111" s="6" t="n">
        <v>84.40000000000001</v>
      </c>
      <c r="T111" s="5" t="n">
        <v>139.5</v>
      </c>
      <c r="U111" s="5" t="n">
        <v>20.4</v>
      </c>
      <c r="V111" s="24" t="n">
        <v>0.01662536940140361</v>
      </c>
      <c r="W111" s="4" t="inlineStr">
        <is>
          <t>首贷_纯机</t>
        </is>
      </c>
    </row>
    <row r="112">
      <c r="A112" s="4" t="inlineStr">
        <is>
          <t>2026-02</t>
        </is>
      </c>
      <c r="B112" s="4" t="inlineStr">
        <is>
          <t>金条</t>
        </is>
      </c>
      <c r="C112" s="4" t="inlineStr">
        <is>
          <t>复贷</t>
        </is>
      </c>
      <c r="D112" s="4" t="inlineStr">
        <is>
          <t>纯机</t>
        </is>
      </c>
      <c r="E112" s="4" t="inlineStr">
        <is>
          <t>零犀</t>
        </is>
      </c>
      <c r="F112" s="4" t="inlineStr"/>
      <c r="G112" s="9" t="n">
        <v>466239</v>
      </c>
      <c r="H112" s="9" t="n">
        <v>28881</v>
      </c>
      <c r="I112" s="11" t="n">
        <v>6.19</v>
      </c>
      <c r="J112" s="9" t="n">
        <v>854886900</v>
      </c>
      <c r="K112" s="9" t="n">
        <v>29600</v>
      </c>
      <c r="L112" s="9" t="n">
        <v>56488</v>
      </c>
      <c r="M112" s="11" t="n">
        <v>0.36</v>
      </c>
      <c r="N112" s="23" t="n">
        <v>1.068</v>
      </c>
      <c r="O112" s="9" t="n">
        <v>131311</v>
      </c>
      <c r="P112" s="9" t="n">
        <v>74823</v>
      </c>
      <c r="Q112" s="9" t="n">
        <v>70058</v>
      </c>
      <c r="R112" s="6" t="n">
        <v>53.4</v>
      </c>
      <c r="S112" s="6" t="n">
        <v>43</v>
      </c>
      <c r="T112" s="5" t="n">
        <v>4.5</v>
      </c>
      <c r="U112" s="5" t="n">
        <v>2.4</v>
      </c>
      <c r="V112" s="24" t="n">
        <v>0.0002431218289421287</v>
      </c>
      <c r="W112" s="4" t="inlineStr">
        <is>
          <t>复贷_纯机</t>
        </is>
      </c>
    </row>
    <row r="113">
      <c r="A113" s="4" t="inlineStr">
        <is>
          <t>2026-02</t>
        </is>
      </c>
      <c r="B113" s="4" t="inlineStr">
        <is>
          <t>金条</t>
        </is>
      </c>
      <c r="C113" s="4" t="inlineStr">
        <is>
          <t>首贷</t>
        </is>
      </c>
      <c r="D113" s="4" t="inlineStr">
        <is>
          <t>人机</t>
        </is>
      </c>
      <c r="E113" s="4" t="inlineStr">
        <is>
          <t>零犀伽玛</t>
        </is>
      </c>
      <c r="F113" s="4" t="inlineStr"/>
      <c r="G113" s="9" t="n">
        <v>1707961</v>
      </c>
      <c r="H113" s="9" t="n">
        <v>5415</v>
      </c>
      <c r="I113" s="11" t="n">
        <v>0.32</v>
      </c>
      <c r="J113" s="9" t="n">
        <v>85660400</v>
      </c>
      <c r="K113" s="9" t="n">
        <v>15819</v>
      </c>
      <c r="L113" s="9" t="n">
        <v>192263</v>
      </c>
      <c r="M113" s="11" t="n">
        <v>0.07000000000000001</v>
      </c>
      <c r="N113" s="23" t="n">
        <v>1.068</v>
      </c>
      <c r="O113" s="9" t="n">
        <v>461873</v>
      </c>
      <c r="P113" s="9" t="n">
        <v>269610</v>
      </c>
      <c r="Q113" s="9" t="n">
        <v>252444</v>
      </c>
      <c r="R113" s="6" t="n">
        <v>54.7</v>
      </c>
      <c r="S113" s="6" t="n">
        <v>41.6</v>
      </c>
      <c r="T113" s="5" t="n">
        <v>85.3</v>
      </c>
      <c r="U113" s="5" t="n">
        <v>46.6</v>
      </c>
      <c r="V113" s="24" t="n">
        <v>0.04496326690712894</v>
      </c>
      <c r="W113" s="4" t="inlineStr">
        <is>
          <t>首贷_人机</t>
        </is>
      </c>
    </row>
    <row r="114">
      <c r="A114" s="4" t="inlineStr">
        <is>
          <t>2026-02</t>
        </is>
      </c>
      <c r="B114" s="4" t="inlineStr">
        <is>
          <t>金条</t>
        </is>
      </c>
      <c r="C114" s="4" t="inlineStr">
        <is>
          <t>首贷</t>
        </is>
      </c>
      <c r="D114" s="4" t="inlineStr">
        <is>
          <t>人机</t>
        </is>
      </c>
      <c r="E114" s="4" t="inlineStr">
        <is>
          <t>零犀毅航</t>
        </is>
      </c>
      <c r="F114" s="4" t="inlineStr"/>
      <c r="G114" s="9" t="n">
        <v>2805719</v>
      </c>
      <c r="H114" s="9" t="n">
        <v>9502</v>
      </c>
      <c r="I114" s="11" t="n">
        <v>0.34</v>
      </c>
      <c r="J114" s="9" t="n">
        <v>163371200</v>
      </c>
      <c r="K114" s="9" t="n">
        <v>17193</v>
      </c>
      <c r="L114" s="9" t="n">
        <v>333082</v>
      </c>
      <c r="M114" s="11" t="n">
        <v>0.07000000000000001</v>
      </c>
      <c r="N114" s="23" t="n">
        <v>1.068</v>
      </c>
      <c r="O114" s="9" t="n">
        <v>899327</v>
      </c>
      <c r="P114" s="9" t="n">
        <v>566245</v>
      </c>
      <c r="Q114" s="9" t="n">
        <v>530192</v>
      </c>
      <c r="R114" s="6" t="n">
        <v>59</v>
      </c>
      <c r="S114" s="6" t="n">
        <v>37</v>
      </c>
      <c r="T114" s="5" t="n">
        <v>94.59999999999999</v>
      </c>
      <c r="U114" s="5" t="n">
        <v>55.8</v>
      </c>
      <c r="V114" s="24" t="n">
        <v>0.04951432251041973</v>
      </c>
      <c r="W114" s="4" t="inlineStr">
        <is>
          <t>首贷_人机</t>
        </is>
      </c>
    </row>
    <row r="115">
      <c r="A115" s="4" t="inlineStr">
        <is>
          <t>2026-02</t>
        </is>
      </c>
      <c r="B115" s="4" t="inlineStr">
        <is>
          <t>金条</t>
        </is>
      </c>
      <c r="C115" s="4" t="inlineStr">
        <is>
          <t>首贷</t>
        </is>
      </c>
      <c r="D115" s="4" t="inlineStr">
        <is>
          <t>人机</t>
        </is>
      </c>
      <c r="E115" s="4" t="inlineStr">
        <is>
          <t>零犀毛毛虫</t>
        </is>
      </c>
      <c r="F115" s="4" t="inlineStr"/>
      <c r="G115" s="9" t="n">
        <v>1629177</v>
      </c>
      <c r="H115" s="9" t="n">
        <v>5382</v>
      </c>
      <c r="I115" s="11" t="n">
        <v>0.33</v>
      </c>
      <c r="J115" s="9" t="n">
        <v>94785000</v>
      </c>
      <c r="K115" s="9" t="n">
        <v>17611</v>
      </c>
      <c r="L115" s="9" t="n">
        <v>177917</v>
      </c>
      <c r="M115" s="11" t="n">
        <v>0.07000000000000001</v>
      </c>
      <c r="N115" s="23" t="n">
        <v>1.068</v>
      </c>
      <c r="O115" s="9" t="n">
        <v>514619</v>
      </c>
      <c r="P115" s="9" t="n">
        <v>336702</v>
      </c>
      <c r="Q115" s="9" t="n">
        <v>315264</v>
      </c>
      <c r="R115" s="6" t="n">
        <v>61.3</v>
      </c>
      <c r="S115" s="6" t="n">
        <v>34.6</v>
      </c>
      <c r="T115" s="5" t="n">
        <v>95.59999999999999</v>
      </c>
      <c r="U115" s="5" t="n">
        <v>58.6</v>
      </c>
      <c r="V115" s="24" t="n">
        <v>0.05074672755634933</v>
      </c>
      <c r="W115" s="4" t="inlineStr">
        <is>
          <t>首贷_人机</t>
        </is>
      </c>
    </row>
    <row r="116">
      <c r="A116" s="4" t="inlineStr">
        <is>
          <t>2026-02</t>
        </is>
      </c>
      <c r="B116" s="4" t="inlineStr">
        <is>
          <t>金条</t>
        </is>
      </c>
      <c r="C116" s="4" t="inlineStr">
        <is>
          <t>首贷</t>
        </is>
      </c>
      <c r="D116" s="4" t="inlineStr">
        <is>
          <t>人机</t>
        </is>
      </c>
      <c r="E116" s="4" t="inlineStr">
        <is>
          <t>零犀赛维斯</t>
        </is>
      </c>
      <c r="F116" s="4" t="inlineStr"/>
      <c r="G116" s="9" t="n">
        <v>1460836</v>
      </c>
      <c r="H116" s="9" t="n">
        <v>4708</v>
      </c>
      <c r="I116" s="11" t="n">
        <v>0.32</v>
      </c>
      <c r="J116" s="9" t="n">
        <v>80363800</v>
      </c>
      <c r="K116" s="9" t="n">
        <v>17070</v>
      </c>
      <c r="L116" s="9" t="n">
        <v>173852</v>
      </c>
      <c r="M116" s="11" t="n">
        <v>0.07000000000000001</v>
      </c>
      <c r="N116" s="23" t="n">
        <v>1.068</v>
      </c>
      <c r="O116" s="9" t="n">
        <v>440231</v>
      </c>
      <c r="P116" s="9" t="n">
        <v>266379</v>
      </c>
      <c r="Q116" s="9" t="n">
        <v>249418</v>
      </c>
      <c r="R116" s="6" t="n">
        <v>56.7</v>
      </c>
      <c r="S116" s="6" t="n">
        <v>39.5</v>
      </c>
      <c r="T116" s="5" t="n">
        <v>93.5</v>
      </c>
      <c r="U116" s="5" t="n">
        <v>53</v>
      </c>
      <c r="V116" s="24" t="n">
        <v>0.04735234378805239</v>
      </c>
      <c r="W116" s="4" t="inlineStr">
        <is>
          <t>首贷_人机</t>
        </is>
      </c>
    </row>
    <row r="117">
      <c r="A117" s="4" t="inlineStr">
        <is>
          <t>2026-03</t>
        </is>
      </c>
      <c r="B117" s="4" t="inlineStr">
        <is>
          <t>金条</t>
        </is>
      </c>
      <c r="C117" s="4" t="inlineStr">
        <is>
          <t>首贷</t>
        </is>
      </c>
      <c r="D117" s="4" t="inlineStr">
        <is>
          <t>纯机</t>
        </is>
      </c>
      <c r="E117" s="4" t="inlineStr">
        <is>
          <t>九四</t>
        </is>
      </c>
      <c r="F117" s="4" t="inlineStr"/>
      <c r="G117" s="9" t="n">
        <v>1200021</v>
      </c>
      <c r="H117" s="9" t="n">
        <v>891</v>
      </c>
      <c r="I117" s="11" t="n">
        <v>0.07000000000000001</v>
      </c>
      <c r="J117" s="9" t="n">
        <v>6642800</v>
      </c>
      <c r="K117" s="9" t="n">
        <v>7455</v>
      </c>
      <c r="L117" s="9" t="n">
        <v>101065</v>
      </c>
      <c r="M117" s="11" t="n">
        <v>0.07000000000000001</v>
      </c>
      <c r="N117" s="23" t="n">
        <v>1.068</v>
      </c>
      <c r="O117" s="9" t="n">
        <v>124294</v>
      </c>
      <c r="P117" s="9" t="n">
        <v>23229</v>
      </c>
      <c r="Q117" s="9" t="n">
        <v>21751</v>
      </c>
      <c r="R117" s="6" t="n">
        <v>17.5</v>
      </c>
      <c r="S117" s="6" t="n">
        <v>81.3</v>
      </c>
      <c r="T117" s="5" t="n">
        <v>139.5</v>
      </c>
      <c r="U117" s="5" t="n">
        <v>24.4</v>
      </c>
      <c r="V117" s="24" t="n">
        <v>0.04995526843241661</v>
      </c>
      <c r="W117" s="4" t="inlineStr">
        <is>
          <t>首贷_纯机</t>
        </is>
      </c>
    </row>
    <row r="118">
      <c r="A118" s="4" t="inlineStr">
        <is>
          <t>2026-03</t>
        </is>
      </c>
      <c r="B118" s="4" t="inlineStr">
        <is>
          <t>金条</t>
        </is>
      </c>
      <c r="C118" s="4" t="inlineStr">
        <is>
          <t>首贷</t>
        </is>
      </c>
      <c r="D118" s="4" t="inlineStr">
        <is>
          <t>人工</t>
        </is>
      </c>
      <c r="E118" s="4" t="inlineStr">
        <is>
          <t>人和</t>
        </is>
      </c>
      <c r="F118" s="4" t="inlineStr"/>
      <c r="G118" s="9" t="n">
        <v>59073</v>
      </c>
      <c r="H118" s="9" t="n">
        <v>576</v>
      </c>
      <c r="I118" s="11" t="n">
        <v>0.98</v>
      </c>
      <c r="J118" s="9" t="n">
        <v>25680300</v>
      </c>
      <c r="K118" s="9" t="n">
        <v>44584</v>
      </c>
      <c r="L118" s="9" t="n">
        <v>10089</v>
      </c>
      <c r="M118" s="11" t="n">
        <v>0.07000000000000001</v>
      </c>
      <c r="N118" s="23" t="n">
        <v>1.068</v>
      </c>
      <c r="O118" s="9" t="n">
        <v>117630</v>
      </c>
      <c r="P118" s="9" t="n">
        <v>107541</v>
      </c>
      <c r="Q118" s="9" t="n">
        <v>100694</v>
      </c>
      <c r="R118" s="6" t="n">
        <v>85.59999999999999</v>
      </c>
      <c r="S118" s="6" t="n">
        <v>8.6</v>
      </c>
      <c r="T118" s="5" t="n">
        <v>204.2</v>
      </c>
      <c r="U118" s="5" t="n">
        <v>174.8</v>
      </c>
      <c r="V118" s="24" t="n">
        <v>0.05982406747584724</v>
      </c>
      <c r="W118" s="4" t="inlineStr">
        <is>
          <t>首贷_人工</t>
        </is>
      </c>
    </row>
    <row r="119">
      <c r="A119" s="4" t="inlineStr">
        <is>
          <t>2026-03</t>
        </is>
      </c>
      <c r="B119" s="4" t="inlineStr">
        <is>
          <t>金条</t>
        </is>
      </c>
      <c r="C119" s="4" t="inlineStr">
        <is>
          <t>复贷</t>
        </is>
      </c>
      <c r="D119" s="4" t="inlineStr">
        <is>
          <t>人工</t>
        </is>
      </c>
      <c r="E119" s="4" t="inlineStr">
        <is>
          <t>人和</t>
        </is>
      </c>
      <c r="F119" s="4" t="inlineStr"/>
      <c r="G119" s="9" t="n">
        <v>118336</v>
      </c>
      <c r="H119" s="9" t="n">
        <v>5025</v>
      </c>
      <c r="I119" s="11" t="n">
        <v>4.25</v>
      </c>
      <c r="J119" s="9" t="n">
        <v>205418900</v>
      </c>
      <c r="K119" s="9" t="n">
        <v>40879</v>
      </c>
      <c r="L119" s="9" t="n">
        <v>18521</v>
      </c>
      <c r="M119" s="11" t="n">
        <v>0.36</v>
      </c>
      <c r="N119" s="23" t="n">
        <v>1.068</v>
      </c>
      <c r="O119" s="9" t="n">
        <v>238702</v>
      </c>
      <c r="P119" s="9" t="n">
        <v>220181</v>
      </c>
      <c r="Q119" s="9" t="n">
        <v>206162</v>
      </c>
      <c r="R119" s="6" t="n">
        <v>86.40000000000001</v>
      </c>
      <c r="S119" s="6" t="n">
        <v>7.8</v>
      </c>
      <c r="T119" s="5" t="n">
        <v>47.5</v>
      </c>
      <c r="U119" s="5" t="n">
        <v>41</v>
      </c>
      <c r="V119" s="24" t="n">
        <v>0.00297739832551381</v>
      </c>
      <c r="W119" s="4" t="inlineStr">
        <is>
          <t>复贷_人工</t>
        </is>
      </c>
    </row>
    <row r="120">
      <c r="A120" s="4" t="inlineStr">
        <is>
          <t>2026-03</t>
        </is>
      </c>
      <c r="B120" s="4" t="inlineStr">
        <is>
          <t>金条</t>
        </is>
      </c>
      <c r="C120" s="4" t="inlineStr">
        <is>
          <t>首贷</t>
        </is>
      </c>
      <c r="D120" s="4" t="inlineStr">
        <is>
          <t>人工</t>
        </is>
      </c>
      <c r="E120" s="4" t="inlineStr">
        <is>
          <t>伽玛</t>
        </is>
      </c>
      <c r="F120" s="4" t="inlineStr"/>
      <c r="G120" s="9" t="n">
        <v>305661</v>
      </c>
      <c r="H120" s="9" t="n">
        <v>2905</v>
      </c>
      <c r="I120" s="11" t="n">
        <v>0.95</v>
      </c>
      <c r="J120" s="9" t="n">
        <v>115348900</v>
      </c>
      <c r="K120" s="9" t="n">
        <v>39707</v>
      </c>
      <c r="L120" s="9" t="n">
        <v>47393</v>
      </c>
      <c r="M120" s="11" t="n">
        <v>0.07000000000000001</v>
      </c>
      <c r="N120" s="23" t="n">
        <v>1.068</v>
      </c>
      <c r="O120" s="9" t="n">
        <v>549032</v>
      </c>
      <c r="P120" s="9" t="n">
        <v>501639</v>
      </c>
      <c r="Q120" s="9" t="n">
        <v>469699</v>
      </c>
      <c r="R120" s="6" t="n">
        <v>85.59999999999999</v>
      </c>
      <c r="S120" s="6" t="n">
        <v>8.6</v>
      </c>
      <c r="T120" s="5" t="n">
        <v>189</v>
      </c>
      <c r="U120" s="5" t="n">
        <v>161.7</v>
      </c>
      <c r="V120" s="24" t="n">
        <v>0.06212691606570524</v>
      </c>
      <c r="W120" s="4" t="inlineStr">
        <is>
          <t>首贷_人工</t>
        </is>
      </c>
    </row>
    <row r="121">
      <c r="A121" s="4" t="inlineStr">
        <is>
          <t>2026-03</t>
        </is>
      </c>
      <c r="B121" s="4" t="inlineStr">
        <is>
          <t>金条</t>
        </is>
      </c>
      <c r="C121" s="4" t="inlineStr">
        <is>
          <t>复贷</t>
        </is>
      </c>
      <c r="D121" s="4" t="inlineStr">
        <is>
          <t>人工</t>
        </is>
      </c>
      <c r="E121" s="4" t="inlineStr">
        <is>
          <t>伽玛</t>
        </is>
      </c>
      <c r="F121" s="4" t="inlineStr"/>
      <c r="G121" s="9" t="n">
        <v>413875</v>
      </c>
      <c r="H121" s="9" t="n">
        <v>17924</v>
      </c>
      <c r="I121" s="11" t="n">
        <v>4.33</v>
      </c>
      <c r="J121" s="9" t="n">
        <v>785229900</v>
      </c>
      <c r="K121" s="9" t="n">
        <v>43809</v>
      </c>
      <c r="L121" s="9" t="n">
        <v>67463</v>
      </c>
      <c r="M121" s="11" t="n">
        <v>0.36</v>
      </c>
      <c r="N121" s="23" t="n">
        <v>1.068</v>
      </c>
      <c r="O121" s="9" t="n">
        <v>918049</v>
      </c>
      <c r="P121" s="9" t="n">
        <v>850586</v>
      </c>
      <c r="Q121" s="9" t="n">
        <v>796429</v>
      </c>
      <c r="R121" s="6" t="n">
        <v>86.8</v>
      </c>
      <c r="S121" s="6" t="n">
        <v>7.3</v>
      </c>
      <c r="T121" s="5" t="n">
        <v>51.2</v>
      </c>
      <c r="U121" s="5" t="n">
        <v>44.4</v>
      </c>
      <c r="V121" s="24" t="n">
        <v>0.003008977229329766</v>
      </c>
      <c r="W121" s="4" t="inlineStr">
        <is>
          <t>复贷_人工</t>
        </is>
      </c>
    </row>
    <row r="122">
      <c r="A122" s="4" t="inlineStr">
        <is>
          <t>2026-03</t>
        </is>
      </c>
      <c r="B122" s="4" t="inlineStr">
        <is>
          <t>金条</t>
        </is>
      </c>
      <c r="C122" s="4" t="inlineStr">
        <is>
          <t>首贷</t>
        </is>
      </c>
      <c r="D122" s="4" t="inlineStr">
        <is>
          <t>人工</t>
        </is>
      </c>
      <c r="E122" s="4" t="inlineStr">
        <is>
          <t>华啸</t>
        </is>
      </c>
      <c r="F122" s="4" t="inlineStr"/>
      <c r="G122" s="9" t="n">
        <v>40874</v>
      </c>
      <c r="H122" s="9" t="n">
        <v>287</v>
      </c>
      <c r="I122" s="11" t="n">
        <v>0.7</v>
      </c>
      <c r="J122" s="9" t="n">
        <v>6902600</v>
      </c>
      <c r="K122" s="9" t="n">
        <v>24051</v>
      </c>
      <c r="L122" s="9" t="n">
        <v>6073</v>
      </c>
      <c r="M122" s="11" t="n">
        <v>0.07000000000000001</v>
      </c>
      <c r="N122" s="23" t="n">
        <v>1.068</v>
      </c>
      <c r="O122" s="9" t="n">
        <v>32036</v>
      </c>
      <c r="P122" s="9" t="n">
        <v>25963</v>
      </c>
      <c r="Q122" s="9" t="n">
        <v>24310</v>
      </c>
      <c r="R122" s="6" t="n">
        <v>75.90000000000001</v>
      </c>
      <c r="S122" s="6" t="n">
        <v>19</v>
      </c>
      <c r="T122" s="5" t="n">
        <v>111.6</v>
      </c>
      <c r="U122" s="5" t="n">
        <v>84.7</v>
      </c>
      <c r="V122" s="24" t="n">
        <v>0.05373337582939761</v>
      </c>
      <c r="W122" s="4" t="inlineStr">
        <is>
          <t>首贷_人工</t>
        </is>
      </c>
    </row>
    <row r="123">
      <c r="A123" s="4" t="inlineStr">
        <is>
          <t>2026-03</t>
        </is>
      </c>
      <c r="B123" s="4" t="inlineStr">
        <is>
          <t>金条</t>
        </is>
      </c>
      <c r="C123" s="4" t="inlineStr">
        <is>
          <t>复贷</t>
        </is>
      </c>
      <c r="D123" s="4" t="inlineStr">
        <is>
          <t>人工</t>
        </is>
      </c>
      <c r="E123" s="4" t="inlineStr">
        <is>
          <t>华啸</t>
        </is>
      </c>
      <c r="F123" s="4" t="inlineStr"/>
      <c r="G123" s="9" t="n">
        <v>134139</v>
      </c>
      <c r="H123" s="9" t="n">
        <v>6236</v>
      </c>
      <c r="I123" s="11" t="n">
        <v>4.65</v>
      </c>
      <c r="J123" s="9" t="n">
        <v>216276000</v>
      </c>
      <c r="K123" s="9" t="n">
        <v>34682</v>
      </c>
      <c r="L123" s="9" t="n">
        <v>23898</v>
      </c>
      <c r="M123" s="11" t="n">
        <v>0.36</v>
      </c>
      <c r="N123" s="23" t="n">
        <v>1.068</v>
      </c>
      <c r="O123" s="9" t="n">
        <v>251474</v>
      </c>
      <c r="P123" s="9" t="n">
        <v>227576</v>
      </c>
      <c r="Q123" s="9" t="n">
        <v>213086</v>
      </c>
      <c r="R123" s="6" t="n">
        <v>84.7</v>
      </c>
      <c r="S123" s="6" t="n">
        <v>9.5</v>
      </c>
      <c r="T123" s="5" t="n">
        <v>40.3</v>
      </c>
      <c r="U123" s="5" t="n">
        <v>34.2</v>
      </c>
      <c r="V123" s="24" t="n">
        <v>0.002922911259481198</v>
      </c>
      <c r="W123" s="4" t="inlineStr">
        <is>
          <t>复贷_人工</t>
        </is>
      </c>
    </row>
    <row r="124">
      <c r="A124" s="4" t="inlineStr">
        <is>
          <t>2026-03</t>
        </is>
      </c>
      <c r="B124" s="4" t="inlineStr">
        <is>
          <t>金条</t>
        </is>
      </c>
      <c r="C124" s="4" t="inlineStr">
        <is>
          <t>首贷</t>
        </is>
      </c>
      <c r="D124" s="4" t="inlineStr">
        <is>
          <t>人工</t>
        </is>
      </c>
      <c r="E124" s="4" t="inlineStr">
        <is>
          <t>博岳石家庄</t>
        </is>
      </c>
      <c r="F124" s="4" t="inlineStr">
        <is>
          <t>石家庄</t>
        </is>
      </c>
      <c r="G124" s="9" t="n">
        <v>204986</v>
      </c>
      <c r="H124" s="9" t="n">
        <v>2136</v>
      </c>
      <c r="I124" s="11" t="n">
        <v>1.04</v>
      </c>
      <c r="J124" s="9" t="n">
        <v>91549500</v>
      </c>
      <c r="K124" s="9" t="n">
        <v>42860</v>
      </c>
      <c r="L124" s="9" t="n">
        <v>24706</v>
      </c>
      <c r="M124" s="11" t="n">
        <v>0.07000000000000001</v>
      </c>
      <c r="N124" s="23" t="n">
        <v>1.068</v>
      </c>
      <c r="O124" s="9" t="n">
        <v>430834</v>
      </c>
      <c r="P124" s="9" t="n">
        <v>406128</v>
      </c>
      <c r="Q124" s="9" t="n">
        <v>380270</v>
      </c>
      <c r="R124" s="6" t="n">
        <v>88.3</v>
      </c>
      <c r="S124" s="6" t="n">
        <v>5.7</v>
      </c>
      <c r="T124" s="5" t="n">
        <v>201.7</v>
      </c>
      <c r="U124" s="5" t="n">
        <v>178</v>
      </c>
      <c r="V124" s="24" t="n">
        <v>0.06337367840816793</v>
      </c>
      <c r="W124" s="4" t="inlineStr">
        <is>
          <t>首贷_人工</t>
        </is>
      </c>
    </row>
    <row r="125">
      <c r="A125" s="4" t="inlineStr">
        <is>
          <t>2026-03</t>
        </is>
      </c>
      <c r="B125" s="4" t="inlineStr">
        <is>
          <t>金条</t>
        </is>
      </c>
      <c r="C125" s="4" t="inlineStr">
        <is>
          <t>复贷</t>
        </is>
      </c>
      <c r="D125" s="4" t="inlineStr">
        <is>
          <t>人工</t>
        </is>
      </c>
      <c r="E125" s="4" t="inlineStr">
        <is>
          <t>博岳石家庄</t>
        </is>
      </c>
      <c r="F125" s="4" t="inlineStr">
        <is>
          <t>石家庄</t>
        </is>
      </c>
      <c r="G125" s="9" t="n">
        <v>231880</v>
      </c>
      <c r="H125" s="9" t="n">
        <v>9590</v>
      </c>
      <c r="I125" s="11" t="n">
        <v>4.14</v>
      </c>
      <c r="J125" s="9" t="n">
        <v>349531600</v>
      </c>
      <c r="K125" s="9" t="n">
        <v>36448</v>
      </c>
      <c r="L125" s="9" t="n">
        <v>32479</v>
      </c>
      <c r="M125" s="11" t="n">
        <v>0.36</v>
      </c>
      <c r="N125" s="23" t="n">
        <v>1.068</v>
      </c>
      <c r="O125" s="9" t="n">
        <v>406602</v>
      </c>
      <c r="P125" s="9" t="n">
        <v>374123</v>
      </c>
      <c r="Q125" s="9" t="n">
        <v>350303</v>
      </c>
      <c r="R125" s="6" t="n">
        <v>86.2</v>
      </c>
      <c r="S125" s="6" t="n">
        <v>8</v>
      </c>
      <c r="T125" s="5" t="n">
        <v>42.4</v>
      </c>
      <c r="U125" s="5" t="n">
        <v>36.5</v>
      </c>
      <c r="V125" s="24" t="n">
        <v>0.00297320916207735</v>
      </c>
      <c r="W125" s="4" t="inlineStr">
        <is>
          <t>复贷_人工</t>
        </is>
      </c>
    </row>
    <row r="126">
      <c r="A126" s="4" t="inlineStr">
        <is>
          <t>2026-03</t>
        </is>
      </c>
      <c r="B126" s="4" t="inlineStr">
        <is>
          <t>金条</t>
        </is>
      </c>
      <c r="C126" s="4" t="inlineStr">
        <is>
          <t>首贷</t>
        </is>
      </c>
      <c r="D126" s="4" t="inlineStr">
        <is>
          <t>人工</t>
        </is>
      </c>
      <c r="E126" s="4" t="inlineStr">
        <is>
          <t>宿迁兆科</t>
        </is>
      </c>
      <c r="F126" s="4" t="inlineStr">
        <is>
          <t>宿迁</t>
        </is>
      </c>
      <c r="G126" s="9" t="n">
        <v>47913</v>
      </c>
      <c r="H126" s="9" t="n">
        <v>616</v>
      </c>
      <c r="I126" s="11" t="n">
        <v>1.29</v>
      </c>
      <c r="J126" s="9" t="n">
        <v>14365400</v>
      </c>
      <c r="K126" s="9" t="n">
        <v>23320</v>
      </c>
      <c r="L126" s="9" t="n">
        <v>7480</v>
      </c>
      <c r="M126" s="11" t="n">
        <v>0.07000000000000001</v>
      </c>
      <c r="N126" s="23" t="n">
        <v>1.068</v>
      </c>
      <c r="O126" s="9" t="n">
        <v>70082</v>
      </c>
      <c r="P126" s="9" t="n">
        <v>62602</v>
      </c>
      <c r="Q126" s="9" t="n">
        <v>58617</v>
      </c>
      <c r="R126" s="6" t="n">
        <v>83.59999999999999</v>
      </c>
      <c r="S126" s="6" t="n">
        <v>10.7</v>
      </c>
      <c r="T126" s="5" t="n">
        <v>113.8</v>
      </c>
      <c r="U126" s="5" t="n">
        <v>95.2</v>
      </c>
      <c r="V126" s="24" t="n">
        <v>0.06225474304330444</v>
      </c>
      <c r="W126" s="4" t="inlineStr">
        <is>
          <t>首贷_人工</t>
        </is>
      </c>
    </row>
    <row r="127">
      <c r="A127" s="4" t="inlineStr">
        <is>
          <t>2026-03</t>
        </is>
      </c>
      <c r="B127" s="4" t="inlineStr">
        <is>
          <t>金条</t>
        </is>
      </c>
      <c r="C127" s="4" t="inlineStr">
        <is>
          <t>复贷</t>
        </is>
      </c>
      <c r="D127" s="4" t="inlineStr">
        <is>
          <t>人工</t>
        </is>
      </c>
      <c r="E127" s="4" t="inlineStr">
        <is>
          <t>宿迁兆科</t>
        </is>
      </c>
      <c r="F127" s="4" t="inlineStr">
        <is>
          <t>宿迁</t>
        </is>
      </c>
      <c r="G127" s="9" t="n">
        <v>69519</v>
      </c>
      <c r="H127" s="9" t="n">
        <v>2957</v>
      </c>
      <c r="I127" s="11" t="n">
        <v>4.25</v>
      </c>
      <c r="J127" s="9" t="n">
        <v>146568300</v>
      </c>
      <c r="K127" s="9" t="n">
        <v>49567</v>
      </c>
      <c r="L127" s="9" t="n">
        <v>10932</v>
      </c>
      <c r="M127" s="11" t="n">
        <v>0.36</v>
      </c>
      <c r="N127" s="23" t="n">
        <v>1.068</v>
      </c>
      <c r="O127" s="9" t="n">
        <v>169606</v>
      </c>
      <c r="P127" s="9" t="n">
        <v>158674</v>
      </c>
      <c r="Q127" s="9" t="n">
        <v>148572</v>
      </c>
      <c r="R127" s="6" t="n">
        <v>87.59999999999999</v>
      </c>
      <c r="S127" s="6" t="n">
        <v>6.4</v>
      </c>
      <c r="T127" s="5" t="n">
        <v>57.4</v>
      </c>
      <c r="U127" s="5" t="n">
        <v>50.2</v>
      </c>
      <c r="V127" s="24" t="n">
        <v>0.003007206272509888</v>
      </c>
      <c r="W127" s="4" t="inlineStr">
        <is>
          <t>复贷_人工</t>
        </is>
      </c>
    </row>
    <row r="128">
      <c r="A128" s="4" t="inlineStr">
        <is>
          <t>2026-03</t>
        </is>
      </c>
      <c r="B128" s="4" t="inlineStr">
        <is>
          <t>金条</t>
        </is>
      </c>
      <c r="C128" s="4" t="inlineStr">
        <is>
          <t>首贷</t>
        </is>
      </c>
      <c r="D128" s="4" t="inlineStr">
        <is>
          <t>人工</t>
        </is>
      </c>
      <c r="E128" s="4" t="inlineStr">
        <is>
          <t>岐力</t>
        </is>
      </c>
      <c r="F128" s="4" t="inlineStr"/>
      <c r="G128" s="9" t="n">
        <v>45371</v>
      </c>
      <c r="H128" s="9" t="n">
        <v>360</v>
      </c>
      <c r="I128" s="11" t="n">
        <v>0.79</v>
      </c>
      <c r="J128" s="9" t="n">
        <v>12486400</v>
      </c>
      <c r="K128" s="9" t="n">
        <v>34684</v>
      </c>
      <c r="L128" s="9" t="n">
        <v>6378</v>
      </c>
      <c r="M128" s="11" t="n">
        <v>0.07000000000000001</v>
      </c>
      <c r="N128" s="23" t="n">
        <v>1.068</v>
      </c>
      <c r="O128" s="9" t="n">
        <v>58278</v>
      </c>
      <c r="P128" s="9" t="n">
        <v>51900</v>
      </c>
      <c r="Q128" s="9" t="n">
        <v>48596</v>
      </c>
      <c r="R128" s="6" t="n">
        <v>83.40000000000001</v>
      </c>
      <c r="S128" s="6" t="n">
        <v>10.9</v>
      </c>
      <c r="T128" s="5" t="n">
        <v>161.9</v>
      </c>
      <c r="U128" s="5" t="n">
        <v>135</v>
      </c>
      <c r="V128" s="24" t="n">
        <v>0.05937888994654755</v>
      </c>
      <c r="W128" s="4" t="inlineStr">
        <is>
          <t>首贷_人工</t>
        </is>
      </c>
    </row>
    <row r="129">
      <c r="A129" s="4" t="inlineStr">
        <is>
          <t>2026-03</t>
        </is>
      </c>
      <c r="B129" s="4" t="inlineStr">
        <is>
          <t>金条</t>
        </is>
      </c>
      <c r="C129" s="4" t="inlineStr">
        <is>
          <t>复贷</t>
        </is>
      </c>
      <c r="D129" s="4" t="inlineStr">
        <is>
          <t>人工</t>
        </is>
      </c>
      <c r="E129" s="4" t="inlineStr">
        <is>
          <t>岐力</t>
        </is>
      </c>
      <c r="F129" s="4" t="inlineStr"/>
      <c r="G129" s="9" t="n">
        <v>362402</v>
      </c>
      <c r="H129" s="9" t="n">
        <v>14202</v>
      </c>
      <c r="I129" s="11" t="n">
        <v>3.92</v>
      </c>
      <c r="J129" s="9" t="n">
        <v>578667500</v>
      </c>
      <c r="K129" s="9" t="n">
        <v>40745</v>
      </c>
      <c r="L129" s="9" t="n">
        <v>48944</v>
      </c>
      <c r="M129" s="11" t="n">
        <v>0.36</v>
      </c>
      <c r="N129" s="23" t="n">
        <v>1.068</v>
      </c>
      <c r="O129" s="9" t="n">
        <v>679852</v>
      </c>
      <c r="P129" s="9" t="n">
        <v>630908</v>
      </c>
      <c r="Q129" s="9" t="n">
        <v>590738</v>
      </c>
      <c r="R129" s="6" t="n">
        <v>86.90000000000001</v>
      </c>
      <c r="S129" s="6" t="n">
        <v>7.2</v>
      </c>
      <c r="T129" s="5" t="n">
        <v>47.9</v>
      </c>
      <c r="U129" s="5" t="n">
        <v>41.6</v>
      </c>
      <c r="V129" s="24" t="n">
        <v>0.003028547865954494</v>
      </c>
      <c r="W129" s="4" t="inlineStr">
        <is>
          <t>复贷_人工</t>
        </is>
      </c>
    </row>
    <row r="130">
      <c r="A130" s="4" t="inlineStr">
        <is>
          <t>2026-03</t>
        </is>
      </c>
      <c r="B130" s="4" t="inlineStr">
        <is>
          <t>金条</t>
        </is>
      </c>
      <c r="C130" s="4" t="inlineStr">
        <is>
          <t>首贷</t>
        </is>
      </c>
      <c r="D130" s="4" t="inlineStr">
        <is>
          <t>人工</t>
        </is>
      </c>
      <c r="E130" s="4" t="inlineStr">
        <is>
          <t>广达陕西</t>
        </is>
      </c>
      <c r="F130" s="4" t="inlineStr">
        <is>
          <t>陕西</t>
        </is>
      </c>
      <c r="G130" s="9" t="n">
        <v>96528</v>
      </c>
      <c r="H130" s="9" t="n">
        <v>906</v>
      </c>
      <c r="I130" s="11" t="n">
        <v>0.9399999999999999</v>
      </c>
      <c r="J130" s="9" t="n">
        <v>34715000</v>
      </c>
      <c r="K130" s="9" t="n">
        <v>38317</v>
      </c>
      <c r="L130" s="9" t="n">
        <v>13333</v>
      </c>
      <c r="M130" s="11" t="n">
        <v>0.07000000000000001</v>
      </c>
      <c r="N130" s="23" t="n">
        <v>1.068</v>
      </c>
      <c r="O130" s="9" t="n">
        <v>162382</v>
      </c>
      <c r="P130" s="9" t="n">
        <v>149049</v>
      </c>
      <c r="Q130" s="9" t="n">
        <v>139560</v>
      </c>
      <c r="R130" s="6" t="n">
        <v>85.90000000000001</v>
      </c>
      <c r="S130" s="6" t="n">
        <v>8.199999999999999</v>
      </c>
      <c r="T130" s="5" t="n">
        <v>179.2</v>
      </c>
      <c r="U130" s="5" t="n">
        <v>154</v>
      </c>
      <c r="V130" s="24" t="n">
        <v>0.06133577498405383</v>
      </c>
      <c r="W130" s="4" t="inlineStr">
        <is>
          <t>首贷_人工</t>
        </is>
      </c>
    </row>
    <row r="131">
      <c r="A131" s="4" t="inlineStr">
        <is>
          <t>2026-03</t>
        </is>
      </c>
      <c r="B131" s="4" t="inlineStr">
        <is>
          <t>金条</t>
        </is>
      </c>
      <c r="C131" s="4" t="inlineStr">
        <is>
          <t>复贷</t>
        </is>
      </c>
      <c r="D131" s="4" t="inlineStr">
        <is>
          <t>人工</t>
        </is>
      </c>
      <c r="E131" s="4" t="inlineStr">
        <is>
          <t>广达陕西</t>
        </is>
      </c>
      <c r="F131" s="4" t="inlineStr">
        <is>
          <t>陕西</t>
        </is>
      </c>
      <c r="G131" s="9" t="n">
        <v>128001</v>
      </c>
      <c r="H131" s="9" t="n">
        <v>5926</v>
      </c>
      <c r="I131" s="11" t="n">
        <v>4.63</v>
      </c>
      <c r="J131" s="9" t="n">
        <v>211866000</v>
      </c>
      <c r="K131" s="9" t="n">
        <v>35752</v>
      </c>
      <c r="L131" s="9" t="n">
        <v>22355</v>
      </c>
      <c r="M131" s="11" t="n">
        <v>0.36</v>
      </c>
      <c r="N131" s="23" t="n">
        <v>1.068</v>
      </c>
      <c r="O131" s="9" t="n">
        <v>249028</v>
      </c>
      <c r="P131" s="9" t="n">
        <v>226673</v>
      </c>
      <c r="Q131" s="9" t="n">
        <v>212241</v>
      </c>
      <c r="R131" s="6" t="n">
        <v>85.2</v>
      </c>
      <c r="S131" s="6" t="n">
        <v>9</v>
      </c>
      <c r="T131" s="5" t="n">
        <v>42</v>
      </c>
      <c r="U131" s="5" t="n">
        <v>35.8</v>
      </c>
      <c r="V131" s="24" t="n">
        <v>0.002971912540106587</v>
      </c>
      <c r="W131" s="4" t="inlineStr">
        <is>
          <t>复贷_人工</t>
        </is>
      </c>
    </row>
    <row r="132">
      <c r="A132" s="4" t="inlineStr">
        <is>
          <t>2026-03</t>
        </is>
      </c>
      <c r="B132" s="4" t="inlineStr">
        <is>
          <t>金条</t>
        </is>
      </c>
      <c r="C132" s="4" t="inlineStr">
        <is>
          <t>首贷</t>
        </is>
      </c>
      <c r="D132" s="4" t="inlineStr">
        <is>
          <t>人工</t>
        </is>
      </c>
      <c r="E132" s="4" t="inlineStr">
        <is>
          <t>毅航合肥</t>
        </is>
      </c>
      <c r="F132" s="4" t="inlineStr">
        <is>
          <t>合肥</t>
        </is>
      </c>
      <c r="G132" s="9" t="n">
        <v>932441</v>
      </c>
      <c r="H132" s="9" t="n">
        <v>11138</v>
      </c>
      <c r="I132" s="11" t="n">
        <v>1.19</v>
      </c>
      <c r="J132" s="9" t="n">
        <v>507960100</v>
      </c>
      <c r="K132" s="9" t="n">
        <v>45606</v>
      </c>
      <c r="L132" s="9" t="n">
        <v>150478</v>
      </c>
      <c r="M132" s="11" t="n">
        <v>0.07000000000000001</v>
      </c>
      <c r="N132" s="23" t="n">
        <v>1.068</v>
      </c>
      <c r="O132" s="9" t="n">
        <v>2375047</v>
      </c>
      <c r="P132" s="9" t="n">
        <v>2224569</v>
      </c>
      <c r="Q132" s="9" t="n">
        <v>2082930</v>
      </c>
      <c r="R132" s="6" t="n">
        <v>87.7</v>
      </c>
      <c r="S132" s="6" t="n">
        <v>6.3</v>
      </c>
      <c r="T132" s="5" t="n">
        <v>213.2</v>
      </c>
      <c r="U132" s="5" t="n">
        <v>187</v>
      </c>
      <c r="V132" s="24" t="n">
        <v>0.06256309726464174</v>
      </c>
      <c r="W132" s="4" t="inlineStr">
        <is>
          <t>首贷_人工</t>
        </is>
      </c>
    </row>
    <row r="133">
      <c r="A133" s="4" t="inlineStr">
        <is>
          <t>2026-03</t>
        </is>
      </c>
      <c r="B133" s="4" t="inlineStr">
        <is>
          <t>金条</t>
        </is>
      </c>
      <c r="C133" s="4" t="inlineStr">
        <is>
          <t>复贷</t>
        </is>
      </c>
      <c r="D133" s="4" t="inlineStr">
        <is>
          <t>人工</t>
        </is>
      </c>
      <c r="E133" s="4" t="inlineStr">
        <is>
          <t>毅航合肥</t>
        </is>
      </c>
      <c r="F133" s="4" t="inlineStr">
        <is>
          <t>合肥</t>
        </is>
      </c>
      <c r="G133" s="9" t="n">
        <v>697035</v>
      </c>
      <c r="H133" s="9" t="n">
        <v>32640</v>
      </c>
      <c r="I133" s="11" t="n">
        <v>4.68</v>
      </c>
      <c r="J133" s="9" t="n">
        <v>1670536800</v>
      </c>
      <c r="K133" s="9" t="n">
        <v>51181</v>
      </c>
      <c r="L133" s="9" t="n">
        <v>116471</v>
      </c>
      <c r="M133" s="11" t="n">
        <v>0.36</v>
      </c>
      <c r="N133" s="23" t="n">
        <v>1.068</v>
      </c>
      <c r="O133" s="9" t="n">
        <v>1988757</v>
      </c>
      <c r="P133" s="9" t="n">
        <v>1872286</v>
      </c>
      <c r="Q133" s="9" t="n">
        <v>1753077</v>
      </c>
      <c r="R133" s="6" t="n">
        <v>88.09999999999999</v>
      </c>
      <c r="S133" s="6" t="n">
        <v>5.9</v>
      </c>
      <c r="T133" s="5" t="n">
        <v>60.9</v>
      </c>
      <c r="U133" s="5" t="n">
        <v>53.7</v>
      </c>
      <c r="V133" s="24" t="n">
        <v>0.003113247457011689</v>
      </c>
      <c r="W133" s="4" t="inlineStr">
        <is>
          <t>复贷_人工</t>
        </is>
      </c>
    </row>
    <row r="134">
      <c r="A134" s="4" t="inlineStr">
        <is>
          <t>2026-03</t>
        </is>
      </c>
      <c r="B134" s="4" t="inlineStr">
        <is>
          <t>金条</t>
        </is>
      </c>
      <c r="C134" s="4" t="inlineStr">
        <is>
          <t>首贷</t>
        </is>
      </c>
      <c r="D134" s="4" t="inlineStr">
        <is>
          <t>人工</t>
        </is>
      </c>
      <c r="E134" s="4" t="inlineStr">
        <is>
          <t>毛毛虫</t>
        </is>
      </c>
      <c r="F134" s="4" t="inlineStr"/>
      <c r="G134" s="9" t="n">
        <v>709820</v>
      </c>
      <c r="H134" s="9" t="n">
        <v>7646</v>
      </c>
      <c r="I134" s="11" t="n">
        <v>1.08</v>
      </c>
      <c r="J134" s="9" t="n">
        <v>356021700</v>
      </c>
      <c r="K134" s="9" t="n">
        <v>46563</v>
      </c>
      <c r="L134" s="9" t="n">
        <v>96165</v>
      </c>
      <c r="M134" s="11" t="n">
        <v>0.07000000000000001</v>
      </c>
      <c r="N134" s="23" t="n">
        <v>1.068</v>
      </c>
      <c r="O134" s="9" t="n">
        <v>1679563</v>
      </c>
      <c r="P134" s="9" t="n">
        <v>1583398</v>
      </c>
      <c r="Q134" s="9" t="n">
        <v>1482582</v>
      </c>
      <c r="R134" s="6" t="n">
        <v>88.3</v>
      </c>
      <c r="S134" s="6" t="n">
        <v>5.7</v>
      </c>
      <c r="T134" s="5" t="n">
        <v>219.7</v>
      </c>
      <c r="U134" s="5" t="n">
        <v>193.9</v>
      </c>
      <c r="V134" s="24" t="n">
        <v>0.06353537278365735</v>
      </c>
      <c r="W134" s="4" t="inlineStr">
        <is>
          <t>首贷_人工</t>
        </is>
      </c>
    </row>
    <row r="135">
      <c r="A135" s="4" t="inlineStr">
        <is>
          <t>2026-03</t>
        </is>
      </c>
      <c r="B135" s="4" t="inlineStr">
        <is>
          <t>金条</t>
        </is>
      </c>
      <c r="C135" s="4" t="inlineStr">
        <is>
          <t>复贷</t>
        </is>
      </c>
      <c r="D135" s="4" t="inlineStr">
        <is>
          <t>人工</t>
        </is>
      </c>
      <c r="E135" s="4" t="inlineStr">
        <is>
          <t>毛毛虫</t>
        </is>
      </c>
      <c r="F135" s="4" t="inlineStr"/>
      <c r="G135" s="9" t="n">
        <v>281503</v>
      </c>
      <c r="H135" s="9" t="n">
        <v>12120</v>
      </c>
      <c r="I135" s="11" t="n">
        <v>4.31</v>
      </c>
      <c r="J135" s="9" t="n">
        <v>462092200</v>
      </c>
      <c r="K135" s="9" t="n">
        <v>38126</v>
      </c>
      <c r="L135" s="9" t="n">
        <v>43861</v>
      </c>
      <c r="M135" s="11" t="n">
        <v>0.36</v>
      </c>
      <c r="N135" s="23" t="n">
        <v>1.068</v>
      </c>
      <c r="O135" s="9" t="n">
        <v>544139</v>
      </c>
      <c r="P135" s="9" t="n">
        <v>500278</v>
      </c>
      <c r="Q135" s="9" t="n">
        <v>468425</v>
      </c>
      <c r="R135" s="6" t="n">
        <v>86.09999999999999</v>
      </c>
      <c r="S135" s="6" t="n">
        <v>8.1</v>
      </c>
      <c r="T135" s="5" t="n">
        <v>44.9</v>
      </c>
      <c r="U135" s="5" t="n">
        <v>38.6</v>
      </c>
      <c r="V135" s="24" t="n">
        <v>0.003007324319932496</v>
      </c>
      <c r="W135" s="4" t="inlineStr">
        <is>
          <t>复贷_人工</t>
        </is>
      </c>
    </row>
    <row r="136">
      <c r="A136" s="4" t="inlineStr">
        <is>
          <t>2026-03</t>
        </is>
      </c>
      <c r="B136" s="4" t="inlineStr">
        <is>
          <t>金条</t>
        </is>
      </c>
      <c r="C136" s="4" t="inlineStr">
        <is>
          <t>首贷</t>
        </is>
      </c>
      <c r="D136" s="4" t="inlineStr">
        <is>
          <t>人工</t>
        </is>
      </c>
      <c r="E136" s="4" t="inlineStr">
        <is>
          <t>汇讯</t>
        </is>
      </c>
      <c r="F136" s="4" t="inlineStr"/>
      <c r="G136" s="9" t="n">
        <v>277939</v>
      </c>
      <c r="H136" s="9" t="n">
        <v>2632</v>
      </c>
      <c r="I136" s="11" t="n">
        <v>0.95</v>
      </c>
      <c r="J136" s="9" t="n">
        <v>123969400</v>
      </c>
      <c r="K136" s="9" t="n">
        <v>47101</v>
      </c>
      <c r="L136" s="9" t="n">
        <v>38568</v>
      </c>
      <c r="M136" s="11" t="n">
        <v>0.07000000000000001</v>
      </c>
      <c r="N136" s="23" t="n">
        <v>1.068</v>
      </c>
      <c r="O136" s="9" t="n">
        <v>589553</v>
      </c>
      <c r="P136" s="9" t="n">
        <v>550985</v>
      </c>
      <c r="Q136" s="9" t="n">
        <v>515903</v>
      </c>
      <c r="R136" s="6" t="n">
        <v>87.5</v>
      </c>
      <c r="S136" s="6" t="n">
        <v>6.5</v>
      </c>
      <c r="T136" s="5" t="n">
        <v>224</v>
      </c>
      <c r="U136" s="5" t="n">
        <v>196</v>
      </c>
      <c r="V136" s="24" t="n">
        <v>0.06349320304618951</v>
      </c>
      <c r="W136" s="4" t="inlineStr">
        <is>
          <t>首贷_人工</t>
        </is>
      </c>
    </row>
    <row r="137">
      <c r="A137" s="4" t="inlineStr">
        <is>
          <t>2026-03</t>
        </is>
      </c>
      <c r="B137" s="4" t="inlineStr">
        <is>
          <t>金条</t>
        </is>
      </c>
      <c r="C137" s="4" t="inlineStr">
        <is>
          <t>复贷</t>
        </is>
      </c>
      <c r="D137" s="4" t="inlineStr">
        <is>
          <t>人工</t>
        </is>
      </c>
      <c r="E137" s="4" t="inlineStr">
        <is>
          <t>汇讯</t>
        </is>
      </c>
      <c r="F137" s="4" t="inlineStr"/>
      <c r="G137" s="9" t="n">
        <v>139186</v>
      </c>
      <c r="H137" s="9" t="n">
        <v>6731</v>
      </c>
      <c r="I137" s="11" t="n">
        <v>4.84</v>
      </c>
      <c r="J137" s="9" t="n">
        <v>260466100</v>
      </c>
      <c r="K137" s="9" t="n">
        <v>38696</v>
      </c>
      <c r="L137" s="9" t="n">
        <v>23076</v>
      </c>
      <c r="M137" s="11" t="n">
        <v>0.36</v>
      </c>
      <c r="N137" s="23" t="n">
        <v>1.068</v>
      </c>
      <c r="O137" s="9" t="n">
        <v>303221</v>
      </c>
      <c r="P137" s="9" t="n">
        <v>280145</v>
      </c>
      <c r="Q137" s="9" t="n">
        <v>262308</v>
      </c>
      <c r="R137" s="6" t="n">
        <v>86.5</v>
      </c>
      <c r="S137" s="6" t="n">
        <v>7.6</v>
      </c>
      <c r="T137" s="5" t="n">
        <v>45</v>
      </c>
      <c r="U137" s="5" t="n">
        <v>39</v>
      </c>
      <c r="V137" s="24" t="n">
        <v>0.002987646206379853</v>
      </c>
      <c r="W137" s="4" t="inlineStr">
        <is>
          <t>复贷_人工</t>
        </is>
      </c>
    </row>
    <row r="138">
      <c r="A138" s="4" t="inlineStr">
        <is>
          <t>2026-03</t>
        </is>
      </c>
      <c r="B138" s="4" t="inlineStr">
        <is>
          <t>金条</t>
        </is>
      </c>
      <c r="C138" s="4" t="inlineStr">
        <is>
          <t>首贷</t>
        </is>
      </c>
      <c r="D138" s="4" t="inlineStr">
        <is>
          <t>纯机</t>
        </is>
      </c>
      <c r="E138" s="4" t="inlineStr">
        <is>
          <t>电话邦</t>
        </is>
      </c>
      <c r="F138" s="4" t="inlineStr"/>
      <c r="G138" s="9" t="n">
        <v>879690</v>
      </c>
      <c r="H138" s="9" t="n">
        <v>730</v>
      </c>
      <c r="I138" s="11" t="n">
        <v>0.08</v>
      </c>
      <c r="J138" s="9" t="n">
        <v>7788700</v>
      </c>
      <c r="K138" s="9" t="n">
        <v>10669</v>
      </c>
      <c r="L138" s="9" t="n">
        <v>89108</v>
      </c>
      <c r="M138" s="11" t="n">
        <v>0.07000000000000001</v>
      </c>
      <c r="N138" s="23" t="n">
        <v>1.068</v>
      </c>
      <c r="O138" s="9" t="n">
        <v>101835</v>
      </c>
      <c r="P138" s="9" t="n">
        <v>12727</v>
      </c>
      <c r="Q138" s="9" t="n">
        <v>11916</v>
      </c>
      <c r="R138" s="6" t="n">
        <v>11.7</v>
      </c>
      <c r="S138" s="6" t="n">
        <v>87.5</v>
      </c>
      <c r="T138" s="5" t="n">
        <v>139.5</v>
      </c>
      <c r="U138" s="5" t="n">
        <v>16.3</v>
      </c>
      <c r="V138" s="24" t="n">
        <v>0.02334334172766774</v>
      </c>
      <c r="W138" s="4" t="inlineStr">
        <is>
          <t>首贷_纯机</t>
        </is>
      </c>
    </row>
    <row r="139">
      <c r="A139" s="4" t="inlineStr">
        <is>
          <t>2026-03</t>
        </is>
      </c>
      <c r="B139" s="4" t="inlineStr">
        <is>
          <t>金条</t>
        </is>
      </c>
      <c r="C139" s="4" t="inlineStr">
        <is>
          <t>首贷</t>
        </is>
      </c>
      <c r="D139" s="4" t="inlineStr">
        <is>
          <t>人工</t>
        </is>
      </c>
      <c r="E139" s="4" t="inlineStr">
        <is>
          <t>翰锐曲靖</t>
        </is>
      </c>
      <c r="F139" s="4" t="inlineStr">
        <is>
          <t>曲靖</t>
        </is>
      </c>
      <c r="G139" s="9" t="n">
        <v>126765</v>
      </c>
      <c r="H139" s="9" t="n">
        <v>1088</v>
      </c>
      <c r="I139" s="11" t="n">
        <v>0.86</v>
      </c>
      <c r="J139" s="9" t="n">
        <v>39772500</v>
      </c>
      <c r="K139" s="9" t="n">
        <v>36556</v>
      </c>
      <c r="L139" s="9" t="n">
        <v>15279</v>
      </c>
      <c r="M139" s="11" t="n">
        <v>0.07000000000000001</v>
      </c>
      <c r="N139" s="23" t="n">
        <v>1.068</v>
      </c>
      <c r="O139" s="9" t="n">
        <v>184040</v>
      </c>
      <c r="P139" s="9" t="n">
        <v>168761</v>
      </c>
      <c r="Q139" s="9" t="n">
        <v>158016</v>
      </c>
      <c r="R139" s="6" t="n">
        <v>85.90000000000001</v>
      </c>
      <c r="S139" s="6" t="n">
        <v>8.300000000000001</v>
      </c>
      <c r="T139" s="5" t="n">
        <v>169.2</v>
      </c>
      <c r="U139" s="5" t="n">
        <v>145.2</v>
      </c>
      <c r="V139" s="24" t="n">
        <v>0.06061654229860904</v>
      </c>
      <c r="W139" s="4" t="inlineStr">
        <is>
          <t>首贷_人工</t>
        </is>
      </c>
    </row>
    <row r="140">
      <c r="A140" s="4" t="inlineStr">
        <is>
          <t>2026-03</t>
        </is>
      </c>
      <c r="B140" s="4" t="inlineStr">
        <is>
          <t>金条</t>
        </is>
      </c>
      <c r="C140" s="4" t="inlineStr">
        <is>
          <t>复贷</t>
        </is>
      </c>
      <c r="D140" s="4" t="inlineStr">
        <is>
          <t>人工</t>
        </is>
      </c>
      <c r="E140" s="4" t="inlineStr">
        <is>
          <t>翰锐曲靖</t>
        </is>
      </c>
      <c r="F140" s="4" t="inlineStr">
        <is>
          <t>曲靖</t>
        </is>
      </c>
      <c r="G140" s="9" t="n">
        <v>288838</v>
      </c>
      <c r="H140" s="9" t="n">
        <v>13209</v>
      </c>
      <c r="I140" s="11" t="n">
        <v>4.57</v>
      </c>
      <c r="J140" s="9" t="n">
        <v>555506700</v>
      </c>
      <c r="K140" s="9" t="n">
        <v>42055</v>
      </c>
      <c r="L140" s="9" t="n">
        <v>42473</v>
      </c>
      <c r="M140" s="11" t="n">
        <v>0.36</v>
      </c>
      <c r="N140" s="23" t="n">
        <v>1.068</v>
      </c>
      <c r="O140" s="9" t="n">
        <v>647805</v>
      </c>
      <c r="P140" s="9" t="n">
        <v>605332</v>
      </c>
      <c r="Q140" s="9" t="n">
        <v>566791</v>
      </c>
      <c r="R140" s="6" t="n">
        <v>87.5</v>
      </c>
      <c r="S140" s="6" t="n">
        <v>6.6</v>
      </c>
      <c r="T140" s="5" t="n">
        <v>49</v>
      </c>
      <c r="U140" s="5" t="n">
        <v>42.9</v>
      </c>
      <c r="V140" s="24" t="n">
        <v>0.003026926187888963</v>
      </c>
      <c r="W140" s="4" t="inlineStr">
        <is>
          <t>复贷_人工</t>
        </is>
      </c>
    </row>
    <row r="141">
      <c r="A141" s="4" t="inlineStr">
        <is>
          <t>2026-03</t>
        </is>
      </c>
      <c r="B141" s="4" t="inlineStr">
        <is>
          <t>金条</t>
        </is>
      </c>
      <c r="C141" s="4" t="inlineStr">
        <is>
          <t>首贷</t>
        </is>
      </c>
      <c r="D141" s="4" t="inlineStr">
        <is>
          <t>纯机</t>
        </is>
      </c>
      <c r="E141" s="4" t="inlineStr">
        <is>
          <t>言犀赛夫</t>
        </is>
      </c>
      <c r="F141" s="4" t="inlineStr"/>
      <c r="G141" s="9" t="n">
        <v>6756249</v>
      </c>
      <c r="H141" s="9" t="n">
        <v>6354</v>
      </c>
      <c r="I141" s="11" t="n">
        <v>0.09</v>
      </c>
      <c r="J141" s="9" t="n">
        <v>83365600</v>
      </c>
      <c r="K141" s="9" t="n">
        <v>13120</v>
      </c>
      <c r="L141" s="9" t="n">
        <v>600283</v>
      </c>
      <c r="M141" s="11" t="n">
        <v>0.07000000000000001</v>
      </c>
      <c r="N141" s="23" t="n">
        <v>1.068</v>
      </c>
      <c r="O141" s="9" t="n">
        <v>886383</v>
      </c>
      <c r="P141" s="9" t="n">
        <v>286100</v>
      </c>
      <c r="Q141" s="9" t="n">
        <v>267884</v>
      </c>
      <c r="R141" s="6" t="n">
        <v>30.2</v>
      </c>
      <c r="S141" s="6" t="n">
        <v>67.7</v>
      </c>
      <c r="T141" s="5" t="n">
        <v>139.5</v>
      </c>
      <c r="U141" s="5" t="n">
        <v>42.2</v>
      </c>
      <c r="V141" s="24" t="n">
        <v>0.04902673113541865</v>
      </c>
      <c r="W141" s="4" t="inlineStr">
        <is>
          <t>首贷_纯机</t>
        </is>
      </c>
    </row>
    <row r="142">
      <c r="A142" s="4" t="inlineStr">
        <is>
          <t>2026-03</t>
        </is>
      </c>
      <c r="B142" s="4" t="inlineStr">
        <is>
          <t>金条</t>
        </is>
      </c>
      <c r="C142" s="4" t="inlineStr">
        <is>
          <t>复贷</t>
        </is>
      </c>
      <c r="D142" s="4" t="inlineStr">
        <is>
          <t>纯机</t>
        </is>
      </c>
      <c r="E142" s="4" t="inlineStr">
        <is>
          <t>言犀赛夫</t>
        </is>
      </c>
      <c r="F142" s="4" t="inlineStr"/>
      <c r="G142" s="9" t="n">
        <v>344837</v>
      </c>
      <c r="H142" s="9" t="n">
        <v>25300</v>
      </c>
      <c r="I142" s="11" t="n">
        <v>7.34</v>
      </c>
      <c r="J142" s="9" t="n">
        <v>844152200</v>
      </c>
      <c r="K142" s="9" t="n">
        <v>33366</v>
      </c>
      <c r="L142" s="9" t="n">
        <v>48408</v>
      </c>
      <c r="M142" s="11" t="n">
        <v>0.36</v>
      </c>
      <c r="N142" s="23" t="n">
        <v>1.068</v>
      </c>
      <c r="O142" s="9" t="n">
        <v>129662</v>
      </c>
      <c r="P142" s="9" t="n">
        <v>81254</v>
      </c>
      <c r="Q142" s="9" t="n">
        <v>76080</v>
      </c>
      <c r="R142" s="6" t="n">
        <v>58.7</v>
      </c>
      <c r="S142" s="6" t="n">
        <v>37.3</v>
      </c>
      <c r="T142" s="5" t="n">
        <v>5.1</v>
      </c>
      <c r="U142" s="5" t="n">
        <v>3</v>
      </c>
      <c r="V142" s="24" t="n">
        <v>0.0002673754277434277</v>
      </c>
      <c r="W142" s="4" t="inlineStr">
        <is>
          <t>复贷_纯机</t>
        </is>
      </c>
    </row>
    <row r="143">
      <c r="A143" s="4" t="inlineStr">
        <is>
          <t>2026-03</t>
        </is>
      </c>
      <c r="B143" s="4" t="inlineStr">
        <is>
          <t>金条</t>
        </is>
      </c>
      <c r="C143" s="4" t="inlineStr">
        <is>
          <t>首贷</t>
        </is>
      </c>
      <c r="D143" s="4" t="inlineStr">
        <is>
          <t>人机</t>
        </is>
      </c>
      <c r="E143" s="4" t="inlineStr">
        <is>
          <t>赛维斯</t>
        </is>
      </c>
      <c r="F143" s="4" t="inlineStr"/>
      <c r="G143" s="9" t="n">
        <v>2538583</v>
      </c>
      <c r="H143" s="9" t="n">
        <v>6992</v>
      </c>
      <c r="I143" s="11" t="n">
        <v>0.28</v>
      </c>
      <c r="J143" s="9" t="n">
        <v>116176800</v>
      </c>
      <c r="K143" s="9" t="n">
        <v>16616</v>
      </c>
      <c r="L143" s="9" t="n">
        <v>322159</v>
      </c>
      <c r="M143" s="11" t="n">
        <v>0.07000000000000001</v>
      </c>
      <c r="N143" s="23" t="n">
        <v>1.068</v>
      </c>
      <c r="O143" s="9" t="n">
        <v>624824</v>
      </c>
      <c r="P143" s="9" t="n">
        <v>302665</v>
      </c>
      <c r="Q143" s="9" t="n">
        <v>283394</v>
      </c>
      <c r="R143" s="6" t="n">
        <v>45.4</v>
      </c>
      <c r="S143" s="6" t="n">
        <v>51.6</v>
      </c>
      <c r="T143" s="5" t="n">
        <v>89.40000000000001</v>
      </c>
      <c r="U143" s="5" t="n">
        <v>40.5</v>
      </c>
      <c r="V143" s="24" t="n">
        <v>0.03721729049419259</v>
      </c>
      <c r="W143" s="4" t="inlineStr">
        <is>
          <t>首贷_人机</t>
        </is>
      </c>
    </row>
    <row r="144">
      <c r="A144" s="4" t="inlineStr">
        <is>
          <t>2026-03</t>
        </is>
      </c>
      <c r="B144" s="4" t="inlineStr">
        <is>
          <t>金条</t>
        </is>
      </c>
      <c r="C144" s="4" t="inlineStr">
        <is>
          <t>复贷</t>
        </is>
      </c>
      <c r="D144" s="4" t="inlineStr">
        <is>
          <t>人机</t>
        </is>
      </c>
      <c r="E144" s="4" t="inlineStr">
        <is>
          <t>赛维斯</t>
        </is>
      </c>
      <c r="F144" s="4" t="inlineStr"/>
      <c r="G144" s="9" t="n">
        <v>1898555</v>
      </c>
      <c r="H144" s="9" t="n">
        <v>10480</v>
      </c>
      <c r="I144" s="11" t="n">
        <v>0.55</v>
      </c>
      <c r="J144" s="9" t="n">
        <v>533657300</v>
      </c>
      <c r="K144" s="9" t="n">
        <v>50921</v>
      </c>
      <c r="L144" s="9" t="n">
        <v>228213</v>
      </c>
      <c r="M144" s="11" t="n">
        <v>0.36</v>
      </c>
      <c r="N144" s="23" t="n">
        <v>1.068</v>
      </c>
      <c r="O144" s="9" t="n">
        <v>614773</v>
      </c>
      <c r="P144" s="9" t="n">
        <v>386560</v>
      </c>
      <c r="Q144" s="9" t="n">
        <v>361948</v>
      </c>
      <c r="R144" s="6" t="n">
        <v>58.9</v>
      </c>
      <c r="S144" s="6" t="n">
        <v>37.1</v>
      </c>
      <c r="T144" s="5" t="n">
        <v>58.7</v>
      </c>
      <c r="U144" s="5" t="n">
        <v>34.5</v>
      </c>
      <c r="V144" s="24" t="n">
        <v>0.002012111101596058</v>
      </c>
      <c r="W144" s="4" t="inlineStr">
        <is>
          <t>复贷_人机</t>
        </is>
      </c>
    </row>
    <row r="145">
      <c r="A145" s="4" t="inlineStr">
        <is>
          <t>2026-03</t>
        </is>
      </c>
      <c r="B145" s="4" t="inlineStr">
        <is>
          <t>金条</t>
        </is>
      </c>
      <c r="C145" s="4" t="inlineStr">
        <is>
          <t>首贷</t>
        </is>
      </c>
      <c r="D145" s="4" t="inlineStr">
        <is>
          <t>人工</t>
        </is>
      </c>
      <c r="E145" s="4" t="inlineStr">
        <is>
          <t>赛维斯</t>
        </is>
      </c>
      <c r="F145" s="4" t="inlineStr"/>
      <c r="G145" s="9" t="n">
        <v>251493</v>
      </c>
      <c r="H145" s="9" t="n">
        <v>2416</v>
      </c>
      <c r="I145" s="11" t="n">
        <v>0.96</v>
      </c>
      <c r="J145" s="9" t="n">
        <v>103550500</v>
      </c>
      <c r="K145" s="9" t="n">
        <v>42860</v>
      </c>
      <c r="L145" s="9" t="n">
        <v>33325</v>
      </c>
      <c r="M145" s="11" t="n">
        <v>0.07000000000000001</v>
      </c>
      <c r="N145" s="23" t="n">
        <v>1.068</v>
      </c>
      <c r="O145" s="9" t="n">
        <v>494771</v>
      </c>
      <c r="P145" s="9" t="n">
        <v>461446</v>
      </c>
      <c r="Q145" s="9" t="n">
        <v>432065</v>
      </c>
      <c r="R145" s="6" t="n">
        <v>87.3</v>
      </c>
      <c r="S145" s="6" t="n">
        <v>6.7</v>
      </c>
      <c r="T145" s="5" t="n">
        <v>204.8</v>
      </c>
      <c r="U145" s="5" t="n">
        <v>178.8</v>
      </c>
      <c r="V145" s="24" t="n">
        <v>0.06366058796708575</v>
      </c>
      <c r="W145" s="4" t="inlineStr">
        <is>
          <t>首贷_人工</t>
        </is>
      </c>
    </row>
    <row r="146">
      <c r="A146" s="4" t="inlineStr">
        <is>
          <t>2026-03</t>
        </is>
      </c>
      <c r="B146" s="4" t="inlineStr">
        <is>
          <t>金条</t>
        </is>
      </c>
      <c r="C146" s="4" t="inlineStr">
        <is>
          <t>复贷</t>
        </is>
      </c>
      <c r="D146" s="4" t="inlineStr">
        <is>
          <t>人工</t>
        </is>
      </c>
      <c r="E146" s="4" t="inlineStr">
        <is>
          <t>赛维斯</t>
        </is>
      </c>
      <c r="F146" s="4" t="inlineStr"/>
      <c r="G146" s="9" t="n">
        <v>346495</v>
      </c>
      <c r="H146" s="9" t="n">
        <v>15529</v>
      </c>
      <c r="I146" s="11" t="n">
        <v>4.48</v>
      </c>
      <c r="J146" s="9" t="n">
        <v>583818700</v>
      </c>
      <c r="K146" s="9" t="n">
        <v>37595</v>
      </c>
      <c r="L146" s="9" t="n">
        <v>53962</v>
      </c>
      <c r="M146" s="11" t="n">
        <v>0.36</v>
      </c>
      <c r="N146" s="23" t="n">
        <v>1.068</v>
      </c>
      <c r="O146" s="9" t="n">
        <v>694532</v>
      </c>
      <c r="P146" s="9" t="n">
        <v>640570</v>
      </c>
      <c r="Q146" s="9" t="n">
        <v>599785</v>
      </c>
      <c r="R146" s="6" t="n">
        <v>86.40000000000001</v>
      </c>
      <c r="S146" s="6" t="n">
        <v>7.8</v>
      </c>
      <c r="T146" s="5" t="n">
        <v>44.7</v>
      </c>
      <c r="U146" s="5" t="n">
        <v>38.6</v>
      </c>
      <c r="V146" s="24" t="n">
        <v>0.003047797391743552</v>
      </c>
      <c r="W146" s="4" t="inlineStr">
        <is>
          <t>复贷_人工</t>
        </is>
      </c>
    </row>
    <row r="147">
      <c r="A147" s="4" t="inlineStr">
        <is>
          <t>2026-03</t>
        </is>
      </c>
      <c r="B147" s="4" t="inlineStr">
        <is>
          <t>金条</t>
        </is>
      </c>
      <c r="C147" s="4" t="inlineStr">
        <is>
          <t>首贷</t>
        </is>
      </c>
      <c r="D147" s="4" t="inlineStr">
        <is>
          <t>人机</t>
        </is>
      </c>
      <c r="E147" s="4" t="inlineStr">
        <is>
          <t>零犀</t>
        </is>
      </c>
      <c r="F147" s="4" t="inlineStr"/>
      <c r="G147" s="9" t="n">
        <v>11431889</v>
      </c>
      <c r="H147" s="9" t="n">
        <v>36796</v>
      </c>
      <c r="I147" s="11" t="n">
        <v>0.32</v>
      </c>
      <c r="J147" s="9" t="n">
        <v>651917900</v>
      </c>
      <c r="K147" s="9" t="n">
        <v>17717</v>
      </c>
      <c r="L147" s="9" t="n">
        <v>1171970</v>
      </c>
      <c r="M147" s="11" t="n">
        <v>0.07000000000000001</v>
      </c>
      <c r="N147" s="23" t="n">
        <v>1.068</v>
      </c>
      <c r="O147" s="9" t="n">
        <v>3538571</v>
      </c>
      <c r="P147" s="9" t="n">
        <v>2366601</v>
      </c>
      <c r="Q147" s="9" t="n">
        <v>2215918</v>
      </c>
      <c r="R147" s="6" t="n">
        <v>62.6</v>
      </c>
      <c r="S147" s="6" t="n">
        <v>33.1</v>
      </c>
      <c r="T147" s="5" t="n">
        <v>96.2</v>
      </c>
      <c r="U147" s="5" t="n">
        <v>60.2</v>
      </c>
      <c r="V147" s="24" t="n">
        <v>0.05186018931875579</v>
      </c>
      <c r="W147" s="4" t="inlineStr">
        <is>
          <t>首贷_人机</t>
        </is>
      </c>
    </row>
    <row r="148">
      <c r="A148" s="4" t="inlineStr">
        <is>
          <t>2026-03</t>
        </is>
      </c>
      <c r="B148" s="4" t="inlineStr">
        <is>
          <t>金条</t>
        </is>
      </c>
      <c r="C148" s="4" t="inlineStr">
        <is>
          <t>复贷</t>
        </is>
      </c>
      <c r="D148" s="4" t="inlineStr">
        <is>
          <t>人机</t>
        </is>
      </c>
      <c r="E148" s="4" t="inlineStr">
        <is>
          <t>零犀</t>
        </is>
      </c>
      <c r="F148" s="4" t="inlineStr"/>
      <c r="G148" s="9" t="n">
        <v>2422401</v>
      </c>
      <c r="H148" s="9" t="n">
        <v>12800</v>
      </c>
      <c r="I148" s="11" t="n">
        <v>0.53</v>
      </c>
      <c r="J148" s="9" t="n">
        <v>698872500</v>
      </c>
      <c r="K148" s="9" t="n">
        <v>54599</v>
      </c>
      <c r="L148" s="9" t="n">
        <v>208376</v>
      </c>
      <c r="M148" s="11" t="n">
        <v>0.36</v>
      </c>
      <c r="N148" s="23" t="n">
        <v>1.068</v>
      </c>
      <c r="O148" s="9" t="n">
        <v>805101</v>
      </c>
      <c r="P148" s="9" t="n">
        <v>596725</v>
      </c>
      <c r="Q148" s="9" t="n">
        <v>558731</v>
      </c>
      <c r="R148" s="6" t="n">
        <v>69.40000000000001</v>
      </c>
      <c r="S148" s="6" t="n">
        <v>25.9</v>
      </c>
      <c r="T148" s="5" t="n">
        <v>62.9</v>
      </c>
      <c r="U148" s="5" t="n">
        <v>43.7</v>
      </c>
      <c r="V148" s="24" t="n">
        <v>0.002371776603664394</v>
      </c>
      <c r="W148" s="4" t="inlineStr">
        <is>
          <t>复贷_人机</t>
        </is>
      </c>
    </row>
    <row r="149">
      <c r="A149" s="4" t="inlineStr">
        <is>
          <t>2026-03</t>
        </is>
      </c>
      <c r="B149" s="4" t="inlineStr">
        <is>
          <t>金条</t>
        </is>
      </c>
      <c r="C149" s="4" t="inlineStr">
        <is>
          <t>首贷</t>
        </is>
      </c>
      <c r="D149" s="4" t="inlineStr">
        <is>
          <t>纯机</t>
        </is>
      </c>
      <c r="E149" s="4" t="inlineStr">
        <is>
          <t>零犀</t>
        </is>
      </c>
      <c r="F149" s="4" t="inlineStr"/>
      <c r="G149" s="9" t="n">
        <v>16714872</v>
      </c>
      <c r="H149" s="9" t="n">
        <v>19299</v>
      </c>
      <c r="I149" s="11" t="n">
        <v>0.12</v>
      </c>
      <c r="J149" s="9" t="n">
        <v>346103900</v>
      </c>
      <c r="K149" s="9" t="n">
        <v>17934</v>
      </c>
      <c r="L149" s="9" t="n">
        <v>1727518</v>
      </c>
      <c r="M149" s="11" t="n">
        <v>0.07000000000000001</v>
      </c>
      <c r="N149" s="23" t="n">
        <v>1.068</v>
      </c>
      <c r="O149" s="9" t="n">
        <v>2692211</v>
      </c>
      <c r="P149" s="9" t="n">
        <v>964693</v>
      </c>
      <c r="Q149" s="9" t="n">
        <v>903270</v>
      </c>
      <c r="R149" s="6" t="n">
        <v>33.6</v>
      </c>
      <c r="S149" s="6" t="n">
        <v>64.2</v>
      </c>
      <c r="T149" s="5" t="n">
        <v>139.5</v>
      </c>
      <c r="U149" s="5" t="n">
        <v>46.8</v>
      </c>
      <c r="V149" s="24" t="n">
        <v>0.03981847234725922</v>
      </c>
      <c r="W149" s="4" t="inlineStr">
        <is>
          <t>首贷_纯机</t>
        </is>
      </c>
    </row>
    <row r="150">
      <c r="A150" s="4" t="inlineStr">
        <is>
          <t>2026-03</t>
        </is>
      </c>
      <c r="B150" s="4" t="inlineStr">
        <is>
          <t>金条</t>
        </is>
      </c>
      <c r="C150" s="4" t="inlineStr">
        <is>
          <t>复贷</t>
        </is>
      </c>
      <c r="D150" s="4" t="inlineStr">
        <is>
          <t>纯机</t>
        </is>
      </c>
      <c r="E150" s="4" t="inlineStr">
        <is>
          <t>零犀</t>
        </is>
      </c>
      <c r="F150" s="4" t="inlineStr"/>
      <c r="G150" s="9" t="n">
        <v>509342</v>
      </c>
      <c r="H150" s="9" t="n">
        <v>36306</v>
      </c>
      <c r="I150" s="11" t="n">
        <v>7.13</v>
      </c>
      <c r="J150" s="9" t="n">
        <v>1240670900</v>
      </c>
      <c r="K150" s="9" t="n">
        <v>34173</v>
      </c>
      <c r="L150" s="9" t="n">
        <v>65530</v>
      </c>
      <c r="M150" s="11" t="n">
        <v>0.36</v>
      </c>
      <c r="N150" s="23" t="n">
        <v>1.068</v>
      </c>
      <c r="O150" s="9" t="n">
        <v>190567</v>
      </c>
      <c r="P150" s="9" t="n">
        <v>125037</v>
      </c>
      <c r="Q150" s="9" t="n">
        <v>117076</v>
      </c>
      <c r="R150" s="6" t="n">
        <v>61.4</v>
      </c>
      <c r="S150" s="6" t="n">
        <v>34.4</v>
      </c>
      <c r="T150" s="5" t="n">
        <v>5.2</v>
      </c>
      <c r="U150" s="5" t="n">
        <v>3.2</v>
      </c>
      <c r="V150" s="24" t="n">
        <v>0.000279949340312568</v>
      </c>
      <c r="W150" s="4" t="inlineStr">
        <is>
          <t>复贷_纯机</t>
        </is>
      </c>
    </row>
    <row r="151">
      <c r="A151" s="4" t="inlineStr">
        <is>
          <t>2026-03</t>
        </is>
      </c>
      <c r="B151" s="4" t="inlineStr">
        <is>
          <t>金条</t>
        </is>
      </c>
      <c r="C151" s="4" t="inlineStr">
        <is>
          <t>首贷</t>
        </is>
      </c>
      <c r="D151" s="4" t="inlineStr">
        <is>
          <t>人机</t>
        </is>
      </c>
      <c r="E151" s="4" t="inlineStr">
        <is>
          <t>零犀伽玛</t>
        </is>
      </c>
      <c r="F151" s="4" t="inlineStr"/>
      <c r="G151" s="9" t="n">
        <v>2377809</v>
      </c>
      <c r="H151" s="9" t="n">
        <v>7463</v>
      </c>
      <c r="I151" s="11" t="n">
        <v>0.31</v>
      </c>
      <c r="J151" s="9" t="n">
        <v>118973900</v>
      </c>
      <c r="K151" s="9" t="n">
        <v>15942</v>
      </c>
      <c r="L151" s="9" t="n">
        <v>270934</v>
      </c>
      <c r="M151" s="11" t="n">
        <v>0.07000000000000001</v>
      </c>
      <c r="N151" s="23" t="n">
        <v>1.068</v>
      </c>
      <c r="O151" s="9" t="n">
        <v>637468</v>
      </c>
      <c r="P151" s="9" t="n">
        <v>366534</v>
      </c>
      <c r="Q151" s="9" t="n">
        <v>343196</v>
      </c>
      <c r="R151" s="6" t="n">
        <v>53.8</v>
      </c>
      <c r="S151" s="6" t="n">
        <v>42.5</v>
      </c>
      <c r="T151" s="5" t="n">
        <v>85.40000000000001</v>
      </c>
      <c r="U151" s="5" t="n">
        <v>46</v>
      </c>
      <c r="V151" s="24" t="n">
        <v>0.04401133357820496</v>
      </c>
      <c r="W151" s="4" t="inlineStr">
        <is>
          <t>首贷_人机</t>
        </is>
      </c>
    </row>
    <row r="152">
      <c r="A152" s="4" t="inlineStr">
        <is>
          <t>2026-03</t>
        </is>
      </c>
      <c r="B152" s="4" t="inlineStr">
        <is>
          <t>金条</t>
        </is>
      </c>
      <c r="C152" s="4" t="inlineStr">
        <is>
          <t>首贷</t>
        </is>
      </c>
      <c r="D152" s="4" t="inlineStr">
        <is>
          <t>人机</t>
        </is>
      </c>
      <c r="E152" s="4" t="inlineStr">
        <is>
          <t>零犀毅航</t>
        </is>
      </c>
      <c r="F152" s="4" t="inlineStr"/>
      <c r="G152" s="9" t="n">
        <v>4490702</v>
      </c>
      <c r="H152" s="9" t="n">
        <v>14117</v>
      </c>
      <c r="I152" s="11" t="n">
        <v>0.31</v>
      </c>
      <c r="J152" s="9" t="n">
        <v>269057100</v>
      </c>
      <c r="K152" s="9" t="n">
        <v>19059</v>
      </c>
      <c r="L152" s="9" t="n">
        <v>488765</v>
      </c>
      <c r="M152" s="11" t="n">
        <v>0.07000000000000001</v>
      </c>
      <c r="N152" s="23" t="n">
        <v>1.068</v>
      </c>
      <c r="O152" s="9" t="n">
        <v>1454274</v>
      </c>
      <c r="P152" s="9" t="n">
        <v>965509</v>
      </c>
      <c r="Q152" s="9" t="n">
        <v>904034</v>
      </c>
      <c r="R152" s="6" t="n">
        <v>62.2</v>
      </c>
      <c r="S152" s="6" t="n">
        <v>33.6</v>
      </c>
      <c r="T152" s="5" t="n">
        <v>103</v>
      </c>
      <c r="U152" s="5" t="n">
        <v>64</v>
      </c>
      <c r="V152" s="24" t="n">
        <v>0.05126415810727802</v>
      </c>
      <c r="W152" s="4" t="inlineStr">
        <is>
          <t>首贷_人机</t>
        </is>
      </c>
    </row>
    <row r="153">
      <c r="A153" s="4" t="inlineStr">
        <is>
          <t>2026-03</t>
        </is>
      </c>
      <c r="B153" s="4" t="inlineStr">
        <is>
          <t>金条</t>
        </is>
      </c>
      <c r="C153" s="4" t="inlineStr">
        <is>
          <t>首贷</t>
        </is>
      </c>
      <c r="D153" s="4" t="inlineStr">
        <is>
          <t>人机</t>
        </is>
      </c>
      <c r="E153" s="4" t="inlineStr">
        <is>
          <t>零犀毛毛虫</t>
        </is>
      </c>
      <c r="F153" s="4" t="inlineStr"/>
      <c r="G153" s="9" t="n">
        <v>2487539</v>
      </c>
      <c r="H153" s="9" t="n">
        <v>7715</v>
      </c>
      <c r="I153" s="11" t="n">
        <v>0.31</v>
      </c>
      <c r="J153" s="9" t="n">
        <v>125628900</v>
      </c>
      <c r="K153" s="9" t="n">
        <v>16284</v>
      </c>
      <c r="L153" s="9" t="n">
        <v>275693</v>
      </c>
      <c r="M153" s="11" t="n">
        <v>0.07000000000000001</v>
      </c>
      <c r="N153" s="23" t="n">
        <v>1.068</v>
      </c>
      <c r="O153" s="9" t="n">
        <v>677182</v>
      </c>
      <c r="P153" s="9" t="n">
        <v>401489</v>
      </c>
      <c r="Q153" s="9" t="n">
        <v>375927</v>
      </c>
      <c r="R153" s="6" t="n">
        <v>55.5</v>
      </c>
      <c r="S153" s="6" t="n">
        <v>40.7</v>
      </c>
      <c r="T153" s="5" t="n">
        <v>87.8</v>
      </c>
      <c r="U153" s="5" t="n">
        <v>48.7</v>
      </c>
      <c r="V153" s="24" t="n">
        <v>0.04565475891977994</v>
      </c>
      <c r="W153" s="4" t="inlineStr">
        <is>
          <t>首贷_人机</t>
        </is>
      </c>
    </row>
    <row r="154">
      <c r="A154" s="4" t="inlineStr">
        <is>
          <t>2026-03</t>
        </is>
      </c>
      <c r="B154" s="4" t="inlineStr">
        <is>
          <t>金条</t>
        </is>
      </c>
      <c r="C154" s="4" t="inlineStr">
        <is>
          <t>首贷</t>
        </is>
      </c>
      <c r="D154" s="4" t="inlineStr">
        <is>
          <t>人机</t>
        </is>
      </c>
      <c r="E154" s="4" t="inlineStr">
        <is>
          <t>零犀赛维斯</t>
        </is>
      </c>
      <c r="F154" s="4" t="inlineStr"/>
      <c r="G154" s="9" t="n">
        <v>2067952</v>
      </c>
      <c r="H154" s="9" t="n">
        <v>6303</v>
      </c>
      <c r="I154" s="11" t="n">
        <v>0.3</v>
      </c>
      <c r="J154" s="9" t="n">
        <v>97673200</v>
      </c>
      <c r="K154" s="9" t="n">
        <v>15496</v>
      </c>
      <c r="L154" s="9" t="n">
        <v>248131</v>
      </c>
      <c r="M154" s="11" t="n">
        <v>0.07000000000000001</v>
      </c>
      <c r="N154" s="23" t="n">
        <v>1.068</v>
      </c>
      <c r="O154" s="9" t="n">
        <v>523903</v>
      </c>
      <c r="P154" s="9" t="n">
        <v>275772</v>
      </c>
      <c r="Q154" s="9" t="n">
        <v>258213</v>
      </c>
      <c r="R154" s="6" t="n">
        <v>49.3</v>
      </c>
      <c r="S154" s="6" t="n">
        <v>47.4</v>
      </c>
      <c r="T154" s="5" t="n">
        <v>83.09999999999999</v>
      </c>
      <c r="U154" s="5" t="n">
        <v>41</v>
      </c>
      <c r="V154" s="24" t="n">
        <v>0.04033450322094494</v>
      </c>
      <c r="W154" s="4" t="inlineStr">
        <is>
          <t>首贷_人机</t>
        </is>
      </c>
    </row>
    <row r="155">
      <c r="A155" s="4" t="inlineStr">
        <is>
          <t>2026-04</t>
        </is>
      </c>
      <c r="B155" s="4" t="inlineStr">
        <is>
          <t>金条</t>
        </is>
      </c>
      <c r="C155" s="4" t="inlineStr">
        <is>
          <t>首贷</t>
        </is>
      </c>
      <c r="D155" s="4" t="inlineStr">
        <is>
          <t>纯机</t>
        </is>
      </c>
      <c r="E155" s="4" t="inlineStr">
        <is>
          <t>九四</t>
        </is>
      </c>
      <c r="F155" s="4" t="inlineStr"/>
      <c r="G155" s="9" t="n">
        <v>1119853</v>
      </c>
      <c r="H155" s="9" t="n">
        <v>711</v>
      </c>
      <c r="I155" s="11" t="n">
        <v>0.06</v>
      </c>
      <c r="J155" s="9" t="n">
        <v>5133500</v>
      </c>
      <c r="K155" s="9" t="n">
        <v>7220</v>
      </c>
      <c r="L155" s="9" t="n">
        <v>97806</v>
      </c>
      <c r="M155" s="11" t="n">
        <v>0.07000000000000001</v>
      </c>
      <c r="N155" s="23" t="n">
        <v>1.068</v>
      </c>
      <c r="O155" s="9" t="n">
        <v>99185</v>
      </c>
      <c r="P155" s="9" t="n">
        <v>1379</v>
      </c>
      <c r="Q155" s="9" t="n">
        <v>1291</v>
      </c>
      <c r="R155" s="6" t="n">
        <v>1.3</v>
      </c>
      <c r="S155" s="6" t="n">
        <v>98.59999999999999</v>
      </c>
      <c r="T155" s="5" t="n">
        <v>139.5</v>
      </c>
      <c r="U155" s="5" t="n">
        <v>1.8</v>
      </c>
      <c r="V155" s="24" t="n">
        <v>0.003837537742281094</v>
      </c>
      <c r="W155" s="4" t="inlineStr">
        <is>
          <t>首贷_纯机</t>
        </is>
      </c>
    </row>
    <row r="156">
      <c r="A156" s="4" t="inlineStr">
        <is>
          <t>2026-04</t>
        </is>
      </c>
      <c r="B156" s="4" t="inlineStr">
        <is>
          <t>金条</t>
        </is>
      </c>
      <c r="C156" s="4" t="inlineStr">
        <is>
          <t>首贷</t>
        </is>
      </c>
      <c r="D156" s="4" t="inlineStr">
        <is>
          <t>人工</t>
        </is>
      </c>
      <c r="E156" s="4" t="inlineStr">
        <is>
          <t>人和</t>
        </is>
      </c>
      <c r="F156" s="4" t="inlineStr"/>
      <c r="G156" s="9" t="n">
        <v>60606</v>
      </c>
      <c r="H156" s="9" t="n">
        <v>591</v>
      </c>
      <c r="I156" s="11" t="n">
        <v>0.98</v>
      </c>
      <c r="J156" s="9" t="n">
        <v>17503200</v>
      </c>
      <c r="K156" s="9" t="n">
        <v>29616</v>
      </c>
      <c r="L156" s="9" t="n">
        <v>10805</v>
      </c>
      <c r="M156" s="11" t="n">
        <v>0.07000000000000001</v>
      </c>
      <c r="N156" s="23" t="n">
        <v>1.068</v>
      </c>
      <c r="O156" s="9" t="n">
        <v>85660</v>
      </c>
      <c r="P156" s="9" t="n">
        <v>74855</v>
      </c>
      <c r="Q156" s="9" t="n">
        <v>70089</v>
      </c>
      <c r="R156" s="6" t="n">
        <v>81.8</v>
      </c>
      <c r="S156" s="6" t="n">
        <v>12.6</v>
      </c>
      <c r="T156" s="5" t="n">
        <v>144.9</v>
      </c>
      <c r="U156" s="5" t="n">
        <v>118.6</v>
      </c>
      <c r="V156" s="24" t="n">
        <v>0.06109495080083314</v>
      </c>
      <c r="W156" s="4" t="inlineStr">
        <is>
          <t>首贷_人工</t>
        </is>
      </c>
    </row>
    <row r="157">
      <c r="A157" s="4" t="inlineStr">
        <is>
          <t>2026-04</t>
        </is>
      </c>
      <c r="B157" s="4" t="inlineStr">
        <is>
          <t>金条</t>
        </is>
      </c>
      <c r="C157" s="4" t="inlineStr">
        <is>
          <t>复贷</t>
        </is>
      </c>
      <c r="D157" s="4" t="inlineStr">
        <is>
          <t>人工</t>
        </is>
      </c>
      <c r="E157" s="4" t="inlineStr">
        <is>
          <t>人和</t>
        </is>
      </c>
      <c r="F157" s="4" t="inlineStr"/>
      <c r="G157" s="9" t="n">
        <v>83636</v>
      </c>
      <c r="H157" s="9" t="n">
        <v>4760</v>
      </c>
      <c r="I157" s="11" t="n">
        <v>5.69</v>
      </c>
      <c r="J157" s="9" t="n">
        <v>162907500</v>
      </c>
      <c r="K157" s="9" t="n">
        <v>34224</v>
      </c>
      <c r="L157" s="9" t="n">
        <v>15073</v>
      </c>
      <c r="M157" s="11" t="n">
        <v>0.36</v>
      </c>
      <c r="N157" s="23" t="n">
        <v>1.068</v>
      </c>
      <c r="O157" s="9" t="n">
        <v>190367</v>
      </c>
      <c r="P157" s="9" t="n">
        <v>175294</v>
      </c>
      <c r="Q157" s="9" t="n">
        <v>164133</v>
      </c>
      <c r="R157" s="6" t="n">
        <v>86.2</v>
      </c>
      <c r="S157" s="6" t="n">
        <v>7.9</v>
      </c>
      <c r="T157" s="5" t="n">
        <v>40</v>
      </c>
      <c r="U157" s="5" t="n">
        <v>34.5</v>
      </c>
      <c r="V157" s="24" t="n">
        <v>0.002988983182344446</v>
      </c>
      <c r="W157" s="4" t="inlineStr">
        <is>
          <t>复贷_人工</t>
        </is>
      </c>
    </row>
    <row r="158">
      <c r="A158" s="4" t="inlineStr">
        <is>
          <t>2026-04</t>
        </is>
      </c>
      <c r="B158" s="4" t="inlineStr">
        <is>
          <t>金条</t>
        </is>
      </c>
      <c r="C158" s="4" t="inlineStr">
        <is>
          <t>首贷</t>
        </is>
      </c>
      <c r="D158" s="4" t="inlineStr">
        <is>
          <t>人工</t>
        </is>
      </c>
      <c r="E158" s="4" t="inlineStr">
        <is>
          <t>伽玛</t>
        </is>
      </c>
      <c r="F158" s="4" t="inlineStr"/>
      <c r="G158" s="9" t="n">
        <v>277550</v>
      </c>
      <c r="H158" s="9" t="n">
        <v>2336</v>
      </c>
      <c r="I158" s="11" t="n">
        <v>0.84</v>
      </c>
      <c r="J158" s="9" t="n">
        <v>82023900</v>
      </c>
      <c r="K158" s="9" t="n">
        <v>35113</v>
      </c>
      <c r="L158" s="9" t="n">
        <v>44629</v>
      </c>
      <c r="M158" s="11" t="n">
        <v>0.07000000000000001</v>
      </c>
      <c r="N158" s="23" t="n">
        <v>1.068</v>
      </c>
      <c r="O158" s="9" t="n">
        <v>399464</v>
      </c>
      <c r="P158" s="9" t="n">
        <v>354835</v>
      </c>
      <c r="Q158" s="9" t="n">
        <v>332242</v>
      </c>
      <c r="R158" s="6" t="n">
        <v>83.2</v>
      </c>
      <c r="S158" s="6" t="n">
        <v>11.2</v>
      </c>
      <c r="T158" s="5" t="n">
        <v>171</v>
      </c>
      <c r="U158" s="5" t="n">
        <v>142.2</v>
      </c>
      <c r="V158" s="24" t="n">
        <v>0.06179993183171524</v>
      </c>
      <c r="W158" s="4" t="inlineStr">
        <is>
          <t>首贷_人工</t>
        </is>
      </c>
    </row>
    <row r="159">
      <c r="A159" s="4" t="inlineStr">
        <is>
          <t>2026-04</t>
        </is>
      </c>
      <c r="B159" s="4" t="inlineStr">
        <is>
          <t>金条</t>
        </is>
      </c>
      <c r="C159" s="4" t="inlineStr">
        <is>
          <t>复贷</t>
        </is>
      </c>
      <c r="D159" s="4" t="inlineStr">
        <is>
          <t>人工</t>
        </is>
      </c>
      <c r="E159" s="4" t="inlineStr">
        <is>
          <t>伽玛</t>
        </is>
      </c>
      <c r="F159" s="4" t="inlineStr"/>
      <c r="G159" s="9" t="n">
        <v>406006</v>
      </c>
      <c r="H159" s="9" t="n">
        <v>20560</v>
      </c>
      <c r="I159" s="11" t="n">
        <v>5.06</v>
      </c>
      <c r="J159" s="9" t="n">
        <v>786320000</v>
      </c>
      <c r="K159" s="9" t="n">
        <v>38245</v>
      </c>
      <c r="L159" s="9" t="n">
        <v>70623</v>
      </c>
      <c r="M159" s="11" t="n">
        <v>0.36</v>
      </c>
      <c r="N159" s="23" t="n">
        <v>1.068</v>
      </c>
      <c r="O159" s="9" t="n">
        <v>921585</v>
      </c>
      <c r="P159" s="9" t="n">
        <v>850962</v>
      </c>
      <c r="Q159" s="9" t="n">
        <v>796781</v>
      </c>
      <c r="R159" s="6" t="n">
        <v>86.5</v>
      </c>
      <c r="S159" s="6" t="n">
        <v>7.7</v>
      </c>
      <c r="T159" s="5" t="n">
        <v>44.8</v>
      </c>
      <c r="U159" s="5" t="n">
        <v>38.8</v>
      </c>
      <c r="V159" s="24" t="n">
        <v>0.003006134059076881</v>
      </c>
      <c r="W159" s="4" t="inlineStr">
        <is>
          <t>复贷_人工</t>
        </is>
      </c>
    </row>
    <row r="160">
      <c r="A160" s="4" t="inlineStr">
        <is>
          <t>2026-04</t>
        </is>
      </c>
      <c r="B160" s="4" t="inlineStr">
        <is>
          <t>金条</t>
        </is>
      </c>
      <c r="C160" s="4" t="inlineStr">
        <is>
          <t>首贷</t>
        </is>
      </c>
      <c r="D160" s="4" t="inlineStr">
        <is>
          <t>人工</t>
        </is>
      </c>
      <c r="E160" s="4" t="inlineStr">
        <is>
          <t>华啸</t>
        </is>
      </c>
      <c r="F160" s="4" t="inlineStr"/>
      <c r="G160" s="9" t="n">
        <v>21548</v>
      </c>
      <c r="H160" s="9" t="n">
        <v>171</v>
      </c>
      <c r="I160" s="11" t="n">
        <v>0.79</v>
      </c>
      <c r="J160" s="9" t="n">
        <v>4557900</v>
      </c>
      <c r="K160" s="9" t="n">
        <v>26654</v>
      </c>
      <c r="L160" s="9" t="n">
        <v>3672</v>
      </c>
      <c r="M160" s="11" t="n">
        <v>0.07000000000000001</v>
      </c>
      <c r="N160" s="23" t="n">
        <v>1.068</v>
      </c>
      <c r="O160" s="9" t="n">
        <v>23730</v>
      </c>
      <c r="P160" s="9" t="n">
        <v>20058</v>
      </c>
      <c r="Q160" s="9" t="n">
        <v>18781</v>
      </c>
      <c r="R160" s="6" t="n">
        <v>79.09999999999999</v>
      </c>
      <c r="S160" s="6" t="n">
        <v>15.5</v>
      </c>
      <c r="T160" s="5" t="n">
        <v>138.8</v>
      </c>
      <c r="U160" s="5" t="n">
        <v>109.8</v>
      </c>
      <c r="V160" s="24" t="n">
        <v>0.06286729790975167</v>
      </c>
      <c r="W160" s="4" t="inlineStr">
        <is>
          <t>首贷_人工</t>
        </is>
      </c>
    </row>
    <row r="161">
      <c r="A161" s="4" t="inlineStr">
        <is>
          <t>2026-04</t>
        </is>
      </c>
      <c r="B161" s="4" t="inlineStr">
        <is>
          <t>金条</t>
        </is>
      </c>
      <c r="C161" s="4" t="inlineStr">
        <is>
          <t>复贷</t>
        </is>
      </c>
      <c r="D161" s="4" t="inlineStr">
        <is>
          <t>人工</t>
        </is>
      </c>
      <c r="E161" s="4" t="inlineStr">
        <is>
          <t>华啸</t>
        </is>
      </c>
      <c r="F161" s="4" t="inlineStr"/>
      <c r="G161" s="9" t="n">
        <v>120383</v>
      </c>
      <c r="H161" s="9" t="n">
        <v>6691</v>
      </c>
      <c r="I161" s="11" t="n">
        <v>5.56</v>
      </c>
      <c r="J161" s="9" t="n">
        <v>247282400</v>
      </c>
      <c r="K161" s="9" t="n">
        <v>36957</v>
      </c>
      <c r="L161" s="9" t="n">
        <v>22672</v>
      </c>
      <c r="M161" s="11" t="n">
        <v>0.36</v>
      </c>
      <c r="N161" s="23" t="n">
        <v>1.068</v>
      </c>
      <c r="O161" s="9" t="n">
        <v>290379</v>
      </c>
      <c r="P161" s="9" t="n">
        <v>267707</v>
      </c>
      <c r="Q161" s="9" t="n">
        <v>250662</v>
      </c>
      <c r="R161" s="6" t="n">
        <v>86.3</v>
      </c>
      <c r="S161" s="6" t="n">
        <v>7.8</v>
      </c>
      <c r="T161" s="5" t="n">
        <v>43.4</v>
      </c>
      <c r="U161" s="5" t="n">
        <v>37.5</v>
      </c>
      <c r="V161" s="24" t="n">
        <v>0.003007211817563869</v>
      </c>
      <c r="W161" s="4" t="inlineStr">
        <is>
          <t>复贷_人工</t>
        </is>
      </c>
    </row>
    <row r="162">
      <c r="A162" s="4" t="inlineStr">
        <is>
          <t>2026-04</t>
        </is>
      </c>
      <c r="B162" s="4" t="inlineStr">
        <is>
          <t>金条</t>
        </is>
      </c>
      <c r="C162" s="4" t="inlineStr">
        <is>
          <t>首贷</t>
        </is>
      </c>
      <c r="D162" s="4" t="inlineStr">
        <is>
          <t>人工</t>
        </is>
      </c>
      <c r="E162" s="4" t="inlineStr">
        <is>
          <t>博岳石家庄</t>
        </is>
      </c>
      <c r="F162" s="4" t="inlineStr">
        <is>
          <t>石家庄</t>
        </is>
      </c>
      <c r="G162" s="9" t="n">
        <v>155908</v>
      </c>
      <c r="H162" s="9" t="n">
        <v>1624</v>
      </c>
      <c r="I162" s="11" t="n">
        <v>1.04</v>
      </c>
      <c r="J162" s="9" t="n">
        <v>63425300</v>
      </c>
      <c r="K162" s="9" t="n">
        <v>39055</v>
      </c>
      <c r="L162" s="9" t="n">
        <v>26228</v>
      </c>
      <c r="M162" s="11" t="n">
        <v>0.07000000000000001</v>
      </c>
      <c r="N162" s="23" t="n">
        <v>1.068</v>
      </c>
      <c r="O162" s="9" t="n">
        <v>315734</v>
      </c>
      <c r="P162" s="9" t="n">
        <v>289506</v>
      </c>
      <c r="Q162" s="9" t="n">
        <v>271073</v>
      </c>
      <c r="R162" s="6" t="n">
        <v>85.90000000000001</v>
      </c>
      <c r="S162" s="6" t="n">
        <v>8.300000000000001</v>
      </c>
      <c r="T162" s="5" t="n">
        <v>194.4</v>
      </c>
      <c r="U162" s="5" t="n">
        <v>166.9</v>
      </c>
      <c r="V162" s="24" t="n">
        <v>0.06520741722940215</v>
      </c>
      <c r="W162" s="4" t="inlineStr">
        <is>
          <t>首贷_人工</t>
        </is>
      </c>
    </row>
    <row r="163">
      <c r="A163" s="4" t="inlineStr">
        <is>
          <t>2026-04</t>
        </is>
      </c>
      <c r="B163" s="4" t="inlineStr">
        <is>
          <t>金条</t>
        </is>
      </c>
      <c r="C163" s="4" t="inlineStr">
        <is>
          <t>复贷</t>
        </is>
      </c>
      <c r="D163" s="4" t="inlineStr">
        <is>
          <t>人工</t>
        </is>
      </c>
      <c r="E163" s="4" t="inlineStr">
        <is>
          <t>博岳石家庄</t>
        </is>
      </c>
      <c r="F163" s="4" t="inlineStr">
        <is>
          <t>石家庄</t>
        </is>
      </c>
      <c r="G163" s="9" t="n">
        <v>213115</v>
      </c>
      <c r="H163" s="9" t="n">
        <v>10825</v>
      </c>
      <c r="I163" s="11" t="n">
        <v>5.08</v>
      </c>
      <c r="J163" s="9" t="n">
        <v>371168300</v>
      </c>
      <c r="K163" s="9" t="n">
        <v>34288</v>
      </c>
      <c r="L163" s="9" t="n">
        <v>34382</v>
      </c>
      <c r="M163" s="11" t="n">
        <v>0.36</v>
      </c>
      <c r="N163" s="23" t="n">
        <v>1.068</v>
      </c>
      <c r="O163" s="9" t="n">
        <v>438472</v>
      </c>
      <c r="P163" s="9" t="n">
        <v>404090</v>
      </c>
      <c r="Q163" s="9" t="n">
        <v>378362</v>
      </c>
      <c r="R163" s="6" t="n">
        <v>86.3</v>
      </c>
      <c r="S163" s="6" t="n">
        <v>7.8</v>
      </c>
      <c r="T163" s="5" t="n">
        <v>40.5</v>
      </c>
      <c r="U163" s="5" t="n">
        <v>35</v>
      </c>
      <c r="V163" s="24" t="n">
        <v>0.003024159720057511</v>
      </c>
      <c r="W163" s="4" t="inlineStr">
        <is>
          <t>复贷_人工</t>
        </is>
      </c>
    </row>
    <row r="164">
      <c r="A164" s="4" t="inlineStr">
        <is>
          <t>2026-04</t>
        </is>
      </c>
      <c r="B164" s="4" t="inlineStr">
        <is>
          <t>金条</t>
        </is>
      </c>
      <c r="C164" s="4" t="inlineStr">
        <is>
          <t>首贷</t>
        </is>
      </c>
      <c r="D164" s="4" t="inlineStr">
        <is>
          <t>人机</t>
        </is>
      </c>
      <c r="E164" s="4" t="inlineStr">
        <is>
          <t>宿迁兆科</t>
        </is>
      </c>
      <c r="F164" s="4" t="inlineStr">
        <is>
          <t>宿迁</t>
        </is>
      </c>
      <c r="G164" s="9" t="n">
        <v>1275592</v>
      </c>
      <c r="H164" s="9" t="n">
        <v>3775</v>
      </c>
      <c r="I164" s="11" t="n">
        <v>0.3</v>
      </c>
      <c r="J164" s="9" t="n">
        <v>57906700</v>
      </c>
      <c r="K164" s="9" t="n">
        <v>15340</v>
      </c>
      <c r="L164" s="9" t="n">
        <v>138457</v>
      </c>
      <c r="M164" s="11" t="n">
        <v>0.07000000000000001</v>
      </c>
      <c r="N164" s="23" t="n">
        <v>1.068</v>
      </c>
      <c r="O164" s="9" t="n">
        <v>325335</v>
      </c>
      <c r="P164" s="9" t="n">
        <v>186878</v>
      </c>
      <c r="Q164" s="9" t="n">
        <v>174979</v>
      </c>
      <c r="R164" s="6" t="n">
        <v>53.8</v>
      </c>
      <c r="S164" s="6" t="n">
        <v>42.6</v>
      </c>
      <c r="T164" s="5" t="n">
        <v>86.2</v>
      </c>
      <c r="U164" s="5" t="n">
        <v>46.4</v>
      </c>
      <c r="V164" s="24" t="n">
        <v>0.04610322664364769</v>
      </c>
      <c r="W164" s="4" t="inlineStr">
        <is>
          <t>首贷_人机</t>
        </is>
      </c>
    </row>
    <row r="165">
      <c r="A165" s="4" t="inlineStr">
        <is>
          <t>2026-04</t>
        </is>
      </c>
      <c r="B165" s="4" t="inlineStr">
        <is>
          <t>金条</t>
        </is>
      </c>
      <c r="C165" s="4" t="inlineStr">
        <is>
          <t>首贷</t>
        </is>
      </c>
      <c r="D165" s="4" t="inlineStr">
        <is>
          <t>人工</t>
        </is>
      </c>
      <c r="E165" s="4" t="inlineStr">
        <is>
          <t>宿迁兆科</t>
        </is>
      </c>
      <c r="F165" s="4" t="inlineStr">
        <is>
          <t>宿迁</t>
        </is>
      </c>
      <c r="G165" s="9" t="n">
        <v>36482</v>
      </c>
      <c r="H165" s="9" t="n">
        <v>332</v>
      </c>
      <c r="I165" s="11" t="n">
        <v>0.91</v>
      </c>
      <c r="J165" s="9" t="n">
        <v>5957600</v>
      </c>
      <c r="K165" s="9" t="n">
        <v>17945</v>
      </c>
      <c r="L165" s="9" t="n">
        <v>6018</v>
      </c>
      <c r="M165" s="11" t="n">
        <v>0.07000000000000001</v>
      </c>
      <c r="N165" s="23" t="n">
        <v>1.068</v>
      </c>
      <c r="O165" s="9" t="n">
        <v>29188</v>
      </c>
      <c r="P165" s="9" t="n">
        <v>23170</v>
      </c>
      <c r="Q165" s="9" t="n">
        <v>21695</v>
      </c>
      <c r="R165" s="6" t="n">
        <v>74.3</v>
      </c>
      <c r="S165" s="6" t="n">
        <v>20.6</v>
      </c>
      <c r="T165" s="5" t="n">
        <v>87.90000000000001</v>
      </c>
      <c r="U165" s="5" t="n">
        <v>65.3</v>
      </c>
      <c r="V165" s="24" t="n">
        <v>0.05555928561836981</v>
      </c>
      <c r="W165" s="4" t="inlineStr">
        <is>
          <t>首贷_人工</t>
        </is>
      </c>
    </row>
    <row r="166">
      <c r="A166" s="4" t="inlineStr">
        <is>
          <t>2026-04</t>
        </is>
      </c>
      <c r="B166" s="4" t="inlineStr">
        <is>
          <t>金条</t>
        </is>
      </c>
      <c r="C166" s="4" t="inlineStr">
        <is>
          <t>复贷</t>
        </is>
      </c>
      <c r="D166" s="4" t="inlineStr">
        <is>
          <t>人工</t>
        </is>
      </c>
      <c r="E166" s="4" t="inlineStr">
        <is>
          <t>宿迁兆科</t>
        </is>
      </c>
      <c r="F166" s="4" t="inlineStr">
        <is>
          <t>宿迁</t>
        </is>
      </c>
      <c r="G166" s="9" t="n">
        <v>57318</v>
      </c>
      <c r="H166" s="9" t="n">
        <v>2723</v>
      </c>
      <c r="I166" s="11" t="n">
        <v>4.75</v>
      </c>
      <c r="J166" s="9" t="n">
        <v>96523400</v>
      </c>
      <c r="K166" s="9" t="n">
        <v>35447</v>
      </c>
      <c r="L166" s="9" t="n">
        <v>7532</v>
      </c>
      <c r="M166" s="11" t="n">
        <v>0.36</v>
      </c>
      <c r="N166" s="23" t="n">
        <v>1.068</v>
      </c>
      <c r="O166" s="9" t="n">
        <v>113288</v>
      </c>
      <c r="P166" s="9" t="n">
        <v>105756</v>
      </c>
      <c r="Q166" s="9" t="n">
        <v>99022</v>
      </c>
      <c r="R166" s="6" t="n">
        <v>87.40000000000001</v>
      </c>
      <c r="S166" s="6" t="n">
        <v>6.6</v>
      </c>
      <c r="T166" s="5" t="n">
        <v>41.6</v>
      </c>
      <c r="U166" s="5" t="n">
        <v>36.4</v>
      </c>
      <c r="V166" s="24" t="n">
        <v>0.003043476158803634</v>
      </c>
      <c r="W166" s="4" t="inlineStr">
        <is>
          <t>复贷_人工</t>
        </is>
      </c>
    </row>
    <row r="167">
      <c r="A167" s="4" t="inlineStr">
        <is>
          <t>2026-04</t>
        </is>
      </c>
      <c r="B167" s="4" t="inlineStr">
        <is>
          <t>金条</t>
        </is>
      </c>
      <c r="C167" s="4" t="inlineStr">
        <is>
          <t>首贷</t>
        </is>
      </c>
      <c r="D167" s="4" t="inlineStr">
        <is>
          <t>人工</t>
        </is>
      </c>
      <c r="E167" s="4" t="inlineStr">
        <is>
          <t>岐力</t>
        </is>
      </c>
      <c r="F167" s="4" t="inlineStr"/>
      <c r="G167" s="9" t="n">
        <v>26480</v>
      </c>
      <c r="H167" s="9" t="n">
        <v>231</v>
      </c>
      <c r="I167" s="11" t="n">
        <v>0.87</v>
      </c>
      <c r="J167" s="9" t="n">
        <v>5671200</v>
      </c>
      <c r="K167" s="9" t="n">
        <v>24551</v>
      </c>
      <c r="L167" s="9" t="n">
        <v>4048</v>
      </c>
      <c r="M167" s="11" t="n">
        <v>0.07000000000000001</v>
      </c>
      <c r="N167" s="23" t="n">
        <v>1.068</v>
      </c>
      <c r="O167" s="9" t="n">
        <v>26870</v>
      </c>
      <c r="P167" s="9" t="n">
        <v>22822</v>
      </c>
      <c r="Q167" s="9" t="n">
        <v>21369</v>
      </c>
      <c r="R167" s="6" t="n">
        <v>79.5</v>
      </c>
      <c r="S167" s="6" t="n">
        <v>15.1</v>
      </c>
      <c r="T167" s="5" t="n">
        <v>116.3</v>
      </c>
      <c r="U167" s="5" t="n">
        <v>92.5</v>
      </c>
      <c r="V167" s="24" t="n">
        <v>0.05748846301110371</v>
      </c>
      <c r="W167" s="4" t="inlineStr">
        <is>
          <t>首贷_人工</t>
        </is>
      </c>
    </row>
    <row r="168">
      <c r="A168" s="4" t="inlineStr">
        <is>
          <t>2026-04</t>
        </is>
      </c>
      <c r="B168" s="4" t="inlineStr">
        <is>
          <t>金条</t>
        </is>
      </c>
      <c r="C168" s="4" t="inlineStr">
        <is>
          <t>复贷</t>
        </is>
      </c>
      <c r="D168" s="4" t="inlineStr">
        <is>
          <t>人工</t>
        </is>
      </c>
      <c r="E168" s="4" t="inlineStr">
        <is>
          <t>岐力</t>
        </is>
      </c>
      <c r="F168" s="4" t="inlineStr"/>
      <c r="G168" s="9" t="n">
        <v>282012</v>
      </c>
      <c r="H168" s="9" t="n">
        <v>14182</v>
      </c>
      <c r="I168" s="11" t="n">
        <v>5.03</v>
      </c>
      <c r="J168" s="9" t="n">
        <v>486882100</v>
      </c>
      <c r="K168" s="9" t="n">
        <v>34331</v>
      </c>
      <c r="L168" s="9" t="n">
        <v>43453</v>
      </c>
      <c r="M168" s="11" t="n">
        <v>0.36</v>
      </c>
      <c r="N168" s="23" t="n">
        <v>1.068</v>
      </c>
      <c r="O168" s="9" t="n">
        <v>579012</v>
      </c>
      <c r="P168" s="9" t="n">
        <v>535559</v>
      </c>
      <c r="Q168" s="9" t="n">
        <v>501460</v>
      </c>
      <c r="R168" s="6" t="n">
        <v>86.59999999999999</v>
      </c>
      <c r="S168" s="6" t="n">
        <v>7.5</v>
      </c>
      <c r="T168" s="5" t="n">
        <v>40.8</v>
      </c>
      <c r="U168" s="5" t="n">
        <v>35.4</v>
      </c>
      <c r="V168" s="24" t="n">
        <v>0.003055491029324941</v>
      </c>
      <c r="W168" s="4" t="inlineStr">
        <is>
          <t>复贷_人工</t>
        </is>
      </c>
    </row>
    <row r="169">
      <c r="A169" s="4" t="inlineStr">
        <is>
          <t>2026-04</t>
        </is>
      </c>
      <c r="B169" s="4" t="inlineStr">
        <is>
          <t>金条</t>
        </is>
      </c>
      <c r="C169" s="4" t="inlineStr">
        <is>
          <t>首贷</t>
        </is>
      </c>
      <c r="D169" s="4" t="inlineStr">
        <is>
          <t>人工</t>
        </is>
      </c>
      <c r="E169" s="4" t="inlineStr">
        <is>
          <t>广达陕西</t>
        </is>
      </c>
      <c r="F169" s="4" t="inlineStr">
        <is>
          <t>陕西</t>
        </is>
      </c>
      <c r="G169" s="9" t="n">
        <v>87540</v>
      </c>
      <c r="H169" s="9" t="n">
        <v>837</v>
      </c>
      <c r="I169" s="11" t="n">
        <v>0.96</v>
      </c>
      <c r="J169" s="9" t="n">
        <v>33362700</v>
      </c>
      <c r="K169" s="9" t="n">
        <v>39860</v>
      </c>
      <c r="L169" s="9" t="n">
        <v>14092</v>
      </c>
      <c r="M169" s="11" t="n">
        <v>0.07000000000000001</v>
      </c>
      <c r="N169" s="23" t="n">
        <v>1.068</v>
      </c>
      <c r="O169" s="9" t="n">
        <v>159243</v>
      </c>
      <c r="P169" s="9" t="n">
        <v>145151</v>
      </c>
      <c r="Q169" s="9" t="n">
        <v>135909</v>
      </c>
      <c r="R169" s="6" t="n">
        <v>85.3</v>
      </c>
      <c r="S169" s="6" t="n">
        <v>8.800000000000001</v>
      </c>
      <c r="T169" s="5" t="n">
        <v>190.3</v>
      </c>
      <c r="U169" s="5" t="n">
        <v>162.4</v>
      </c>
      <c r="V169" s="24" t="n">
        <v>0.06215281479873375</v>
      </c>
      <c r="W169" s="4" t="inlineStr">
        <is>
          <t>首贷_人工</t>
        </is>
      </c>
    </row>
    <row r="170">
      <c r="A170" s="4" t="inlineStr">
        <is>
          <t>2026-04</t>
        </is>
      </c>
      <c r="B170" s="4" t="inlineStr">
        <is>
          <t>金条</t>
        </is>
      </c>
      <c r="C170" s="4" t="inlineStr">
        <is>
          <t>复贷</t>
        </is>
      </c>
      <c r="D170" s="4" t="inlineStr">
        <is>
          <t>人工</t>
        </is>
      </c>
      <c r="E170" s="4" t="inlineStr">
        <is>
          <t>广达陕西</t>
        </is>
      </c>
      <c r="F170" s="4" t="inlineStr">
        <is>
          <t>陕西</t>
        </is>
      </c>
      <c r="G170" s="9" t="n">
        <v>117184</v>
      </c>
      <c r="H170" s="9" t="n">
        <v>6179</v>
      </c>
      <c r="I170" s="11" t="n">
        <v>5.27</v>
      </c>
      <c r="J170" s="9" t="n">
        <v>204581500</v>
      </c>
      <c r="K170" s="9" t="n">
        <v>33109</v>
      </c>
      <c r="L170" s="9" t="n">
        <v>21566</v>
      </c>
      <c r="M170" s="11" t="n">
        <v>0.36</v>
      </c>
      <c r="N170" s="23" t="n">
        <v>1.068</v>
      </c>
      <c r="O170" s="9" t="n">
        <v>242270</v>
      </c>
      <c r="P170" s="9" t="n">
        <v>220704</v>
      </c>
      <c r="Q170" s="9" t="n">
        <v>206652</v>
      </c>
      <c r="R170" s="6" t="n">
        <v>85.3</v>
      </c>
      <c r="S170" s="6" t="n">
        <v>8.9</v>
      </c>
      <c r="T170" s="5" t="n">
        <v>39.2</v>
      </c>
      <c r="U170" s="5" t="n">
        <v>33.4</v>
      </c>
      <c r="V170" s="24" t="n">
        <v>0.002996686732019594</v>
      </c>
      <c r="W170" s="4" t="inlineStr">
        <is>
          <t>复贷_人工</t>
        </is>
      </c>
    </row>
    <row r="171">
      <c r="A171" s="4" t="inlineStr">
        <is>
          <t>2026-04</t>
        </is>
      </c>
      <c r="B171" s="4" t="inlineStr">
        <is>
          <t>金条</t>
        </is>
      </c>
      <c r="C171" s="4" t="inlineStr">
        <is>
          <t>首贷</t>
        </is>
      </c>
      <c r="D171" s="4" t="inlineStr">
        <is>
          <t>人工</t>
        </is>
      </c>
      <c r="E171" s="4" t="inlineStr">
        <is>
          <t>毅航合肥</t>
        </is>
      </c>
      <c r="F171" s="4" t="inlineStr">
        <is>
          <t>合肥</t>
        </is>
      </c>
      <c r="G171" s="9" t="n">
        <v>784928</v>
      </c>
      <c r="H171" s="9" t="n">
        <v>8618</v>
      </c>
      <c r="I171" s="11" t="n">
        <v>1.1</v>
      </c>
      <c r="J171" s="9" t="n">
        <v>322973600</v>
      </c>
      <c r="K171" s="9" t="n">
        <v>37477</v>
      </c>
      <c r="L171" s="9" t="n">
        <v>136891</v>
      </c>
      <c r="M171" s="11" t="n">
        <v>0.07000000000000001</v>
      </c>
      <c r="N171" s="23" t="n">
        <v>1.068</v>
      </c>
      <c r="O171" s="9" t="n">
        <v>1582213</v>
      </c>
      <c r="P171" s="9" t="n">
        <v>1445322</v>
      </c>
      <c r="Q171" s="9" t="n">
        <v>1353298</v>
      </c>
      <c r="R171" s="6" t="n">
        <v>85.5</v>
      </c>
      <c r="S171" s="6" t="n">
        <v>8.699999999999999</v>
      </c>
      <c r="T171" s="5" t="n">
        <v>183.6</v>
      </c>
      <c r="U171" s="5" t="n">
        <v>157</v>
      </c>
      <c r="V171" s="24" t="n">
        <v>0.06392924109852056</v>
      </c>
      <c r="W171" s="4" t="inlineStr">
        <is>
          <t>首贷_人工</t>
        </is>
      </c>
    </row>
    <row r="172">
      <c r="A172" s="4" t="inlineStr">
        <is>
          <t>2026-04</t>
        </is>
      </c>
      <c r="B172" s="4" t="inlineStr">
        <is>
          <t>金条</t>
        </is>
      </c>
      <c r="C172" s="4" t="inlineStr">
        <is>
          <t>复贷</t>
        </is>
      </c>
      <c r="D172" s="4" t="inlineStr">
        <is>
          <t>人工</t>
        </is>
      </c>
      <c r="E172" s="4" t="inlineStr">
        <is>
          <t>毅航合肥</t>
        </is>
      </c>
      <c r="F172" s="4" t="inlineStr">
        <is>
          <t>合肥</t>
        </is>
      </c>
      <c r="G172" s="9" t="n">
        <v>719622</v>
      </c>
      <c r="H172" s="9" t="n">
        <v>36827</v>
      </c>
      <c r="I172" s="11" t="n">
        <v>5.12</v>
      </c>
      <c r="J172" s="9" t="n">
        <v>1646275300</v>
      </c>
      <c r="K172" s="9" t="n">
        <v>44703</v>
      </c>
      <c r="L172" s="9" t="n">
        <v>127047</v>
      </c>
      <c r="M172" s="11" t="n">
        <v>0.36</v>
      </c>
      <c r="N172" s="23" t="n">
        <v>1.068</v>
      </c>
      <c r="O172" s="9" t="n">
        <v>1972517</v>
      </c>
      <c r="P172" s="9" t="n">
        <v>1845470</v>
      </c>
      <c r="Q172" s="9" t="n">
        <v>1727967</v>
      </c>
      <c r="R172" s="6" t="n">
        <v>87.59999999999999</v>
      </c>
      <c r="S172" s="6" t="n">
        <v>6.4</v>
      </c>
      <c r="T172" s="5" t="n">
        <v>53.6</v>
      </c>
      <c r="U172" s="5" t="n">
        <v>46.9</v>
      </c>
      <c r="V172" s="24" t="n">
        <v>0.003113881108193481</v>
      </c>
      <c r="W172" s="4" t="inlineStr">
        <is>
          <t>复贷_人工</t>
        </is>
      </c>
    </row>
    <row r="173">
      <c r="A173" s="4" t="inlineStr">
        <is>
          <t>2026-04</t>
        </is>
      </c>
      <c r="B173" s="4" t="inlineStr">
        <is>
          <t>金条</t>
        </is>
      </c>
      <c r="C173" s="4" t="inlineStr">
        <is>
          <t>首贷</t>
        </is>
      </c>
      <c r="D173" s="4" t="inlineStr">
        <is>
          <t>人工</t>
        </is>
      </c>
      <c r="E173" s="4" t="inlineStr">
        <is>
          <t>毛毛虫</t>
        </is>
      </c>
      <c r="F173" s="4" t="inlineStr"/>
      <c r="G173" s="9" t="n">
        <v>596991</v>
      </c>
      <c r="H173" s="9" t="n">
        <v>5946</v>
      </c>
      <c r="I173" s="11" t="n">
        <v>1</v>
      </c>
      <c r="J173" s="9" t="n">
        <v>223125400</v>
      </c>
      <c r="K173" s="9" t="n">
        <v>37525</v>
      </c>
      <c r="L173" s="9" t="n">
        <v>96070</v>
      </c>
      <c r="M173" s="11" t="n">
        <v>0.07000000000000001</v>
      </c>
      <c r="N173" s="23" t="n">
        <v>1.068</v>
      </c>
      <c r="O173" s="9" t="n">
        <v>1119076</v>
      </c>
      <c r="P173" s="9" t="n">
        <v>1023006</v>
      </c>
      <c r="Q173" s="9" t="n">
        <v>957871</v>
      </c>
      <c r="R173" s="6" t="n">
        <v>85.59999999999999</v>
      </c>
      <c r="S173" s="6" t="n">
        <v>8.6</v>
      </c>
      <c r="T173" s="5" t="n">
        <v>188.2</v>
      </c>
      <c r="U173" s="5" t="n">
        <v>161.1</v>
      </c>
      <c r="V173" s="24" t="n">
        <v>0.06549846601315416</v>
      </c>
      <c r="W173" s="4" t="inlineStr">
        <is>
          <t>首贷_人工</t>
        </is>
      </c>
    </row>
    <row r="174">
      <c r="A174" s="4" t="inlineStr">
        <is>
          <t>2026-04</t>
        </is>
      </c>
      <c r="B174" s="4" t="inlineStr">
        <is>
          <t>金条</t>
        </is>
      </c>
      <c r="C174" s="4" t="inlineStr">
        <is>
          <t>复贷</t>
        </is>
      </c>
      <c r="D174" s="4" t="inlineStr">
        <is>
          <t>人工</t>
        </is>
      </c>
      <c r="E174" s="4" t="inlineStr">
        <is>
          <t>毛毛虫</t>
        </is>
      </c>
      <c r="F174" s="4" t="inlineStr"/>
      <c r="G174" s="9" t="n">
        <v>261507</v>
      </c>
      <c r="H174" s="9" t="n">
        <v>13761</v>
      </c>
      <c r="I174" s="11" t="n">
        <v>5.26</v>
      </c>
      <c r="J174" s="9" t="n">
        <v>550516200</v>
      </c>
      <c r="K174" s="9" t="n">
        <v>40006</v>
      </c>
      <c r="L174" s="9" t="n">
        <v>45503</v>
      </c>
      <c r="M174" s="11" t="n">
        <v>0.36</v>
      </c>
      <c r="N174" s="23" t="n">
        <v>1.068</v>
      </c>
      <c r="O174" s="9" t="n">
        <v>669851</v>
      </c>
      <c r="P174" s="9" t="n">
        <v>624348</v>
      </c>
      <c r="Q174" s="9" t="n">
        <v>584595</v>
      </c>
      <c r="R174" s="6" t="n">
        <v>87.3</v>
      </c>
      <c r="S174" s="6" t="n">
        <v>6.8</v>
      </c>
      <c r="T174" s="5" t="n">
        <v>48.7</v>
      </c>
      <c r="U174" s="5" t="n">
        <v>42.5</v>
      </c>
      <c r="V174" s="24" t="n">
        <v>0.003150316012498815</v>
      </c>
      <c r="W174" s="4" t="inlineStr">
        <is>
          <t>复贷_人工</t>
        </is>
      </c>
    </row>
    <row r="175">
      <c r="A175" s="4" t="inlineStr">
        <is>
          <t>2026-04</t>
        </is>
      </c>
      <c r="B175" s="4" t="inlineStr">
        <is>
          <t>金条</t>
        </is>
      </c>
      <c r="C175" s="4" t="inlineStr">
        <is>
          <t>首贷</t>
        </is>
      </c>
      <c r="D175" s="4" t="inlineStr">
        <is>
          <t>人工</t>
        </is>
      </c>
      <c r="E175" s="4" t="inlineStr">
        <is>
          <t>汇讯</t>
        </is>
      </c>
      <c r="F175" s="4" t="inlineStr"/>
      <c r="G175" s="9" t="n">
        <v>262376</v>
      </c>
      <c r="H175" s="9" t="n">
        <v>2264</v>
      </c>
      <c r="I175" s="11" t="n">
        <v>0.86</v>
      </c>
      <c r="J175" s="9" t="n">
        <v>83104000</v>
      </c>
      <c r="K175" s="9" t="n">
        <v>36707</v>
      </c>
      <c r="L175" s="9" t="n">
        <v>40071</v>
      </c>
      <c r="M175" s="11" t="n">
        <v>0.07000000000000001</v>
      </c>
      <c r="N175" s="23" t="n">
        <v>1.068</v>
      </c>
      <c r="O175" s="9" t="n">
        <v>396858</v>
      </c>
      <c r="P175" s="9" t="n">
        <v>356787</v>
      </c>
      <c r="Q175" s="9" t="n">
        <v>334070</v>
      </c>
      <c r="R175" s="6" t="n">
        <v>84.2</v>
      </c>
      <c r="S175" s="6" t="n">
        <v>10.1</v>
      </c>
      <c r="T175" s="5" t="n">
        <v>175.3</v>
      </c>
      <c r="U175" s="5" t="n">
        <v>147.6</v>
      </c>
      <c r="V175" s="24" t="n">
        <v>0.0613322721271797</v>
      </c>
      <c r="W175" s="4" t="inlineStr">
        <is>
          <t>首贷_人工</t>
        </is>
      </c>
    </row>
    <row r="176">
      <c r="A176" s="4" t="inlineStr">
        <is>
          <t>2026-04</t>
        </is>
      </c>
      <c r="B176" s="4" t="inlineStr">
        <is>
          <t>金条</t>
        </is>
      </c>
      <c r="C176" s="4" t="inlineStr">
        <is>
          <t>复贷</t>
        </is>
      </c>
      <c r="D176" s="4" t="inlineStr">
        <is>
          <t>人工</t>
        </is>
      </c>
      <c r="E176" s="4" t="inlineStr">
        <is>
          <t>汇讯</t>
        </is>
      </c>
      <c r="F176" s="4" t="inlineStr"/>
      <c r="G176" s="9" t="n">
        <v>149478</v>
      </c>
      <c r="H176" s="9" t="n">
        <v>7099</v>
      </c>
      <c r="I176" s="11" t="n">
        <v>4.75</v>
      </c>
      <c r="J176" s="9" t="n">
        <v>248143000</v>
      </c>
      <c r="K176" s="9" t="n">
        <v>34955</v>
      </c>
      <c r="L176" s="9" t="n">
        <v>21435</v>
      </c>
      <c r="M176" s="11" t="n">
        <v>0.36</v>
      </c>
      <c r="N176" s="23" t="n">
        <v>1.068</v>
      </c>
      <c r="O176" s="9" t="n">
        <v>290619</v>
      </c>
      <c r="P176" s="9" t="n">
        <v>269184</v>
      </c>
      <c r="Q176" s="9" t="n">
        <v>252045</v>
      </c>
      <c r="R176" s="6" t="n">
        <v>86.7</v>
      </c>
      <c r="S176" s="6" t="n">
        <v>7.4</v>
      </c>
      <c r="T176" s="5" t="n">
        <v>40.9</v>
      </c>
      <c r="U176" s="5" t="n">
        <v>35.5</v>
      </c>
      <c r="V176" s="24" t="n">
        <v>0.003013316246411679</v>
      </c>
      <c r="W176" s="4" t="inlineStr">
        <is>
          <t>复贷_人工</t>
        </is>
      </c>
    </row>
    <row r="177">
      <c r="A177" s="4" t="inlineStr">
        <is>
          <t>2026-04</t>
        </is>
      </c>
      <c r="B177" s="4" t="inlineStr">
        <is>
          <t>金条</t>
        </is>
      </c>
      <c r="C177" s="4" t="inlineStr">
        <is>
          <t>首贷</t>
        </is>
      </c>
      <c r="D177" s="4" t="inlineStr">
        <is>
          <t>纯机</t>
        </is>
      </c>
      <c r="E177" s="4" t="inlineStr">
        <is>
          <t>电话邦</t>
        </is>
      </c>
      <c r="F177" s="4" t="inlineStr"/>
      <c r="G177" s="9" t="n">
        <v>774909</v>
      </c>
      <c r="H177" s="9" t="n">
        <v>522</v>
      </c>
      <c r="I177" s="11" t="n">
        <v>0.07000000000000001</v>
      </c>
      <c r="J177" s="9" t="n">
        <v>4807700</v>
      </c>
      <c r="K177" s="9" t="n">
        <v>9210</v>
      </c>
      <c r="L177" s="9" t="n">
        <v>75273</v>
      </c>
      <c r="M177" s="11" t="n">
        <v>0.07000000000000001</v>
      </c>
      <c r="N177" s="23" t="n">
        <v>1.068</v>
      </c>
      <c r="O177" s="9" t="n">
        <v>72819</v>
      </c>
      <c r="P177" s="9" t="n">
        <v>-2454</v>
      </c>
      <c r="Q177" s="9" t="n">
        <v>-2298</v>
      </c>
      <c r="R177" s="6" t="n">
        <v>-3.2</v>
      </c>
      <c r="S177" s="6" t="n">
        <v>103.4</v>
      </c>
      <c r="T177" s="5" t="n">
        <v>139.5</v>
      </c>
      <c r="U177" s="5" t="n">
        <v>-4.4</v>
      </c>
      <c r="V177" s="24" t="n">
        <v>-0.007291874047287238</v>
      </c>
      <c r="W177" s="4" t="inlineStr">
        <is>
          <t>首贷_纯机</t>
        </is>
      </c>
    </row>
    <row r="178">
      <c r="A178" s="4" t="inlineStr">
        <is>
          <t>2026-04</t>
        </is>
      </c>
      <c r="B178" s="4" t="inlineStr">
        <is>
          <t>金条</t>
        </is>
      </c>
      <c r="C178" s="4" t="inlineStr">
        <is>
          <t>首贷</t>
        </is>
      </c>
      <c r="D178" s="4" t="inlineStr">
        <is>
          <t>人工</t>
        </is>
      </c>
      <c r="E178" s="4" t="inlineStr">
        <is>
          <t>翰锐曲靖</t>
        </is>
      </c>
      <c r="F178" s="4" t="inlineStr">
        <is>
          <t>曲靖</t>
        </is>
      </c>
      <c r="G178" s="9" t="n">
        <v>81032</v>
      </c>
      <c r="H178" s="9" t="n">
        <v>825</v>
      </c>
      <c r="I178" s="11" t="n">
        <v>1.02</v>
      </c>
      <c r="J178" s="9" t="n">
        <v>27136400</v>
      </c>
      <c r="K178" s="9" t="n">
        <v>32893</v>
      </c>
      <c r="L178" s="9" t="n">
        <v>13525</v>
      </c>
      <c r="M178" s="11" t="n">
        <v>0.07000000000000001</v>
      </c>
      <c r="N178" s="23" t="n">
        <v>1.068</v>
      </c>
      <c r="O178" s="9" t="n">
        <v>131704</v>
      </c>
      <c r="P178" s="9" t="n">
        <v>118179</v>
      </c>
      <c r="Q178" s="9" t="n">
        <v>110654</v>
      </c>
      <c r="R178" s="6" t="n">
        <v>84</v>
      </c>
      <c r="S178" s="6" t="n">
        <v>10.3</v>
      </c>
      <c r="T178" s="5" t="n">
        <v>159.6</v>
      </c>
      <c r="U178" s="5" t="n">
        <v>134.1</v>
      </c>
      <c r="V178" s="24" t="n">
        <v>0.06221427413258311</v>
      </c>
      <c r="W178" s="4" t="inlineStr">
        <is>
          <t>首贷_人工</t>
        </is>
      </c>
    </row>
    <row r="179">
      <c r="A179" s="4" t="inlineStr">
        <is>
          <t>2026-04</t>
        </is>
      </c>
      <c r="B179" s="4" t="inlineStr">
        <is>
          <t>金条</t>
        </is>
      </c>
      <c r="C179" s="4" t="inlineStr">
        <is>
          <t>复贷</t>
        </is>
      </c>
      <c r="D179" s="4" t="inlineStr">
        <is>
          <t>人工</t>
        </is>
      </c>
      <c r="E179" s="4" t="inlineStr">
        <is>
          <t>翰锐曲靖</t>
        </is>
      </c>
      <c r="F179" s="4" t="inlineStr">
        <is>
          <t>曲靖</t>
        </is>
      </c>
      <c r="G179" s="9" t="n">
        <v>218594</v>
      </c>
      <c r="H179" s="9" t="n">
        <v>12351</v>
      </c>
      <c r="I179" s="11" t="n">
        <v>5.65</v>
      </c>
      <c r="J179" s="9" t="n">
        <v>433713500</v>
      </c>
      <c r="K179" s="9" t="n">
        <v>35116</v>
      </c>
      <c r="L179" s="9" t="n">
        <v>40427</v>
      </c>
      <c r="M179" s="11" t="n">
        <v>0.36</v>
      </c>
      <c r="N179" s="23" t="n">
        <v>1.068</v>
      </c>
      <c r="O179" s="9" t="n">
        <v>510905</v>
      </c>
      <c r="P179" s="9" t="n">
        <v>470478</v>
      </c>
      <c r="Q179" s="9" t="n">
        <v>440523</v>
      </c>
      <c r="R179" s="6" t="n">
        <v>86.2</v>
      </c>
      <c r="S179" s="6" t="n">
        <v>7.9</v>
      </c>
      <c r="T179" s="5" t="n">
        <v>41.4</v>
      </c>
      <c r="U179" s="5" t="n">
        <v>35.7</v>
      </c>
      <c r="V179" s="24" t="n">
        <v>0.00301324107581003</v>
      </c>
      <c r="W179" s="4" t="inlineStr">
        <is>
          <t>复贷_人工</t>
        </is>
      </c>
    </row>
    <row r="180">
      <c r="A180" s="4" t="inlineStr">
        <is>
          <t>2026-04</t>
        </is>
      </c>
      <c r="B180" s="4" t="inlineStr">
        <is>
          <t>金条</t>
        </is>
      </c>
      <c r="C180" s="4" t="inlineStr">
        <is>
          <t>首贷</t>
        </is>
      </c>
      <c r="D180" s="4" t="inlineStr">
        <is>
          <t>纯机</t>
        </is>
      </c>
      <c r="E180" s="4" t="inlineStr">
        <is>
          <t>言犀赛夫</t>
        </is>
      </c>
      <c r="F180" s="4" t="inlineStr"/>
      <c r="G180" s="9" t="n">
        <v>6327464</v>
      </c>
      <c r="H180" s="9" t="n">
        <v>4901</v>
      </c>
      <c r="I180" s="11" t="n">
        <v>0.08</v>
      </c>
      <c r="J180" s="9" t="n">
        <v>56866000</v>
      </c>
      <c r="K180" s="9" t="n">
        <v>11603</v>
      </c>
      <c r="L180" s="9" t="n">
        <v>635916</v>
      </c>
      <c r="M180" s="11" t="n">
        <v>0.07000000000000001</v>
      </c>
      <c r="N180" s="23" t="n">
        <v>1.068</v>
      </c>
      <c r="O180" s="9" t="n">
        <v>683690</v>
      </c>
      <c r="P180" s="9" t="n">
        <v>47774</v>
      </c>
      <c r="Q180" s="9" t="n">
        <v>44732</v>
      </c>
      <c r="R180" s="6" t="n">
        <v>6.5</v>
      </c>
      <c r="S180" s="6" t="n">
        <v>93</v>
      </c>
      <c r="T180" s="5" t="n">
        <v>139.5</v>
      </c>
      <c r="U180" s="5" t="n">
        <v>9.1</v>
      </c>
      <c r="V180" s="24" t="n">
        <v>0.01200164798448483</v>
      </c>
      <c r="W180" s="4" t="inlineStr">
        <is>
          <t>首贷_纯机</t>
        </is>
      </c>
    </row>
    <row r="181">
      <c r="A181" s="4" t="inlineStr">
        <is>
          <t>2026-04</t>
        </is>
      </c>
      <c r="B181" s="4" t="inlineStr">
        <is>
          <t>金条</t>
        </is>
      </c>
      <c r="C181" s="4" t="inlineStr">
        <is>
          <t>复贷</t>
        </is>
      </c>
      <c r="D181" s="4" t="inlineStr">
        <is>
          <t>纯机</t>
        </is>
      </c>
      <c r="E181" s="4" t="inlineStr">
        <is>
          <t>言犀赛夫</t>
        </is>
      </c>
      <c r="F181" s="4" t="inlineStr"/>
      <c r="G181" s="9" t="n">
        <v>632185</v>
      </c>
      <c r="H181" s="9" t="n">
        <v>37616</v>
      </c>
      <c r="I181" s="11" t="n">
        <v>5.95</v>
      </c>
      <c r="J181" s="9" t="n">
        <v>1106791800</v>
      </c>
      <c r="K181" s="9" t="n">
        <v>29423</v>
      </c>
      <c r="L181" s="9" t="n">
        <v>71192</v>
      </c>
      <c r="M181" s="11" t="n">
        <v>0.36</v>
      </c>
      <c r="N181" s="23" t="n">
        <v>1.068</v>
      </c>
      <c r="O181" s="9" t="n">
        <v>170003</v>
      </c>
      <c r="P181" s="9" t="n">
        <v>98811</v>
      </c>
      <c r="Q181" s="9" t="n">
        <v>92520</v>
      </c>
      <c r="R181" s="6" t="n">
        <v>54.4</v>
      </c>
      <c r="S181" s="6" t="n">
        <v>41.9</v>
      </c>
      <c r="T181" s="5" t="n">
        <v>4.5</v>
      </c>
      <c r="U181" s="5" t="n">
        <v>2.5</v>
      </c>
      <c r="V181" s="24" t="n">
        <v>0.0002479915373424343</v>
      </c>
      <c r="W181" s="4" t="inlineStr">
        <is>
          <t>复贷_纯机</t>
        </is>
      </c>
    </row>
    <row r="182">
      <c r="A182" s="4" t="inlineStr">
        <is>
          <t>2026-04</t>
        </is>
      </c>
      <c r="B182" s="4" t="inlineStr">
        <is>
          <t>金条</t>
        </is>
      </c>
      <c r="C182" s="4" t="inlineStr">
        <is>
          <t>首贷</t>
        </is>
      </c>
      <c r="D182" s="4" t="inlineStr">
        <is>
          <t>人机</t>
        </is>
      </c>
      <c r="E182" s="4" t="inlineStr">
        <is>
          <t>赛维斯</t>
        </is>
      </c>
      <c r="F182" s="4" t="inlineStr"/>
      <c r="G182" s="9" t="n">
        <v>2068765</v>
      </c>
      <c r="H182" s="9" t="n">
        <v>6788</v>
      </c>
      <c r="I182" s="11" t="n">
        <v>0.33</v>
      </c>
      <c r="J182" s="9" t="n">
        <v>95119200</v>
      </c>
      <c r="K182" s="9" t="n">
        <v>14013</v>
      </c>
      <c r="L182" s="9" t="n">
        <v>329843</v>
      </c>
      <c r="M182" s="11" t="n">
        <v>0.07000000000000001</v>
      </c>
      <c r="N182" s="23" t="n">
        <v>1.068</v>
      </c>
      <c r="O182" s="9" t="n">
        <v>527150</v>
      </c>
      <c r="P182" s="9" t="n">
        <v>197307</v>
      </c>
      <c r="Q182" s="9" t="n">
        <v>184745</v>
      </c>
      <c r="R182" s="6" t="n">
        <v>35</v>
      </c>
      <c r="S182" s="6" t="n">
        <v>62.6</v>
      </c>
      <c r="T182" s="5" t="n">
        <v>77.7</v>
      </c>
      <c r="U182" s="5" t="n">
        <v>27.2</v>
      </c>
      <c r="V182" s="24" t="n">
        <v>0.02963304389199476</v>
      </c>
      <c r="W182" s="4" t="inlineStr">
        <is>
          <t>首贷_人机</t>
        </is>
      </c>
    </row>
    <row r="183">
      <c r="A183" s="4" t="inlineStr">
        <is>
          <t>2026-04</t>
        </is>
      </c>
      <c r="B183" s="4" t="inlineStr">
        <is>
          <t>金条</t>
        </is>
      </c>
      <c r="C183" s="4" t="inlineStr">
        <is>
          <t>复贷</t>
        </is>
      </c>
      <c r="D183" s="4" t="inlineStr">
        <is>
          <t>人机</t>
        </is>
      </c>
      <c r="E183" s="4" t="inlineStr">
        <is>
          <t>赛维斯</t>
        </is>
      </c>
      <c r="F183" s="4" t="inlineStr"/>
      <c r="G183" s="9" t="n">
        <v>1597108</v>
      </c>
      <c r="H183" s="9" t="n">
        <v>14155</v>
      </c>
      <c r="I183" s="11" t="n">
        <v>0.89</v>
      </c>
      <c r="J183" s="9" t="n">
        <v>483831700</v>
      </c>
      <c r="K183" s="9" t="n">
        <v>34181</v>
      </c>
      <c r="L183" s="9" t="n">
        <v>218099</v>
      </c>
      <c r="M183" s="11" t="n">
        <v>0.36</v>
      </c>
      <c r="N183" s="23" t="n">
        <v>1.068</v>
      </c>
      <c r="O183" s="9" t="n">
        <v>384855</v>
      </c>
      <c r="P183" s="9" t="n">
        <v>166756</v>
      </c>
      <c r="Q183" s="9" t="n">
        <v>156139</v>
      </c>
      <c r="R183" s="6" t="n">
        <v>40.6</v>
      </c>
      <c r="S183" s="6" t="n">
        <v>56.7</v>
      </c>
      <c r="T183" s="5" t="n">
        <v>27.2</v>
      </c>
      <c r="U183" s="5" t="n">
        <v>11</v>
      </c>
      <c r="V183" s="24" t="n">
        <v>0.0009573806575945956</v>
      </c>
      <c r="W183" s="4" t="inlineStr">
        <is>
          <t>复贷_人机</t>
        </is>
      </c>
    </row>
    <row r="184">
      <c r="A184" s="4" t="inlineStr">
        <is>
          <t>2026-04</t>
        </is>
      </c>
      <c r="B184" s="4" t="inlineStr">
        <is>
          <t>金条</t>
        </is>
      </c>
      <c r="C184" s="4" t="inlineStr">
        <is>
          <t>首贷</t>
        </is>
      </c>
      <c r="D184" s="4" t="inlineStr">
        <is>
          <t>人工</t>
        </is>
      </c>
      <c r="E184" s="4" t="inlineStr">
        <is>
          <t>赛维斯</t>
        </is>
      </c>
      <c r="F184" s="4" t="inlineStr"/>
      <c r="G184" s="9" t="n">
        <v>204155</v>
      </c>
      <c r="H184" s="9" t="n">
        <v>2048</v>
      </c>
      <c r="I184" s="11" t="n">
        <v>1</v>
      </c>
      <c r="J184" s="9" t="n">
        <v>76058700</v>
      </c>
      <c r="K184" s="9" t="n">
        <v>37138</v>
      </c>
      <c r="L184" s="9" t="n">
        <v>33469</v>
      </c>
      <c r="M184" s="11" t="n">
        <v>0.07000000000000001</v>
      </c>
      <c r="N184" s="23" t="n">
        <v>1.068</v>
      </c>
      <c r="O184" s="9" t="n">
        <v>384218</v>
      </c>
      <c r="P184" s="9" t="n">
        <v>350749</v>
      </c>
      <c r="Q184" s="9" t="n">
        <v>328417</v>
      </c>
      <c r="R184" s="6" t="n">
        <v>85.5</v>
      </c>
      <c r="S184" s="6" t="n">
        <v>8.699999999999999</v>
      </c>
      <c r="T184" s="5" t="n">
        <v>187.6</v>
      </c>
      <c r="U184" s="5" t="n">
        <v>160.4</v>
      </c>
      <c r="V184" s="24" t="n">
        <v>0.0658793800051802</v>
      </c>
      <c r="W184" s="4" t="inlineStr">
        <is>
          <t>首贷_人工</t>
        </is>
      </c>
    </row>
    <row r="185">
      <c r="A185" s="4" t="inlineStr">
        <is>
          <t>2026-04</t>
        </is>
      </c>
      <c r="B185" s="4" t="inlineStr">
        <is>
          <t>金条</t>
        </is>
      </c>
      <c r="C185" s="4" t="inlineStr">
        <is>
          <t>复贷</t>
        </is>
      </c>
      <c r="D185" s="4" t="inlineStr">
        <is>
          <t>人工</t>
        </is>
      </c>
      <c r="E185" s="4" t="inlineStr">
        <is>
          <t>赛维斯</t>
        </is>
      </c>
      <c r="F185" s="4" t="inlineStr"/>
      <c r="G185" s="9" t="n">
        <v>369802</v>
      </c>
      <c r="H185" s="9" t="n">
        <v>19239</v>
      </c>
      <c r="I185" s="11" t="n">
        <v>5.2</v>
      </c>
      <c r="J185" s="9" t="n">
        <v>671456400</v>
      </c>
      <c r="K185" s="9" t="n">
        <v>34901</v>
      </c>
      <c r="L185" s="9" t="n">
        <v>65337</v>
      </c>
      <c r="M185" s="11" t="n">
        <v>0.36</v>
      </c>
      <c r="N185" s="23" t="n">
        <v>1.068</v>
      </c>
      <c r="O185" s="9" t="n">
        <v>815130</v>
      </c>
      <c r="P185" s="9" t="n">
        <v>749793</v>
      </c>
      <c r="Q185" s="9" t="n">
        <v>702053</v>
      </c>
      <c r="R185" s="6" t="n">
        <v>86.09999999999999</v>
      </c>
      <c r="S185" s="6" t="n">
        <v>8</v>
      </c>
      <c r="T185" s="5" t="n">
        <v>42.4</v>
      </c>
      <c r="U185" s="5" t="n">
        <v>36.5</v>
      </c>
      <c r="V185" s="24" t="n">
        <v>0.00310185193459074</v>
      </c>
      <c r="W185" s="4" t="inlineStr">
        <is>
          <t>复贷_人工</t>
        </is>
      </c>
    </row>
    <row r="186">
      <c r="A186" s="4" t="inlineStr">
        <is>
          <t>2026-04</t>
        </is>
      </c>
      <c r="B186" s="4" t="inlineStr">
        <is>
          <t>金条</t>
        </is>
      </c>
      <c r="C186" s="4" t="inlineStr">
        <is>
          <t>首贷</t>
        </is>
      </c>
      <c r="D186" s="4" t="inlineStr">
        <is>
          <t>人机</t>
        </is>
      </c>
      <c r="E186" s="4" t="inlineStr">
        <is>
          <t>零犀</t>
        </is>
      </c>
      <c r="F186" s="4" t="inlineStr"/>
      <c r="G186" s="9" t="n">
        <v>9338995</v>
      </c>
      <c r="H186" s="9" t="n">
        <v>31247</v>
      </c>
      <c r="I186" s="11" t="n">
        <v>0.33</v>
      </c>
      <c r="J186" s="9" t="n">
        <v>504906100</v>
      </c>
      <c r="K186" s="9" t="n">
        <v>16159</v>
      </c>
      <c r="L186" s="9" t="n">
        <v>1062867</v>
      </c>
      <c r="M186" s="11" t="n">
        <v>0.07000000000000001</v>
      </c>
      <c r="N186" s="23" t="n">
        <v>1.068</v>
      </c>
      <c r="O186" s="9" t="n">
        <v>2848274</v>
      </c>
      <c r="P186" s="9" t="n">
        <v>1785407</v>
      </c>
      <c r="Q186" s="9" t="n">
        <v>1671729</v>
      </c>
      <c r="R186" s="6" t="n">
        <v>58.7</v>
      </c>
      <c r="S186" s="6" t="n">
        <v>37.3</v>
      </c>
      <c r="T186" s="5" t="n">
        <v>91.2</v>
      </c>
      <c r="U186" s="5" t="n">
        <v>53.5</v>
      </c>
      <c r="V186" s="24" t="n">
        <v>0.05051595590885966</v>
      </c>
      <c r="W186" s="4" t="inlineStr">
        <is>
          <t>首贷_人机</t>
        </is>
      </c>
    </row>
    <row r="187">
      <c r="A187" s="4" t="inlineStr">
        <is>
          <t>2026-04</t>
        </is>
      </c>
      <c r="B187" s="4" t="inlineStr">
        <is>
          <t>金条</t>
        </is>
      </c>
      <c r="C187" s="4" t="inlineStr">
        <is>
          <t>复贷</t>
        </is>
      </c>
      <c r="D187" s="4" t="inlineStr">
        <is>
          <t>人机</t>
        </is>
      </c>
      <c r="E187" s="4" t="inlineStr">
        <is>
          <t>零犀</t>
        </is>
      </c>
      <c r="F187" s="4" t="inlineStr"/>
      <c r="G187" s="9" t="n">
        <v>2412643</v>
      </c>
      <c r="H187" s="9" t="n">
        <v>19719</v>
      </c>
      <c r="I187" s="11" t="n">
        <v>0.82</v>
      </c>
      <c r="J187" s="9" t="n">
        <v>762706600</v>
      </c>
      <c r="K187" s="9" t="n">
        <v>38679</v>
      </c>
      <c r="L187" s="9" t="n">
        <v>218939</v>
      </c>
      <c r="M187" s="11" t="n">
        <v>0.36</v>
      </c>
      <c r="N187" s="23" t="n">
        <v>1.068</v>
      </c>
      <c r="O187" s="9" t="n">
        <v>598097</v>
      </c>
      <c r="P187" s="9" t="n">
        <v>379158</v>
      </c>
      <c r="Q187" s="9" t="n">
        <v>355017</v>
      </c>
      <c r="R187" s="6" t="n">
        <v>59.4</v>
      </c>
      <c r="S187" s="6" t="n">
        <v>36.6</v>
      </c>
      <c r="T187" s="5" t="n">
        <v>30.3</v>
      </c>
      <c r="U187" s="5" t="n">
        <v>18</v>
      </c>
      <c r="V187" s="24" t="n">
        <v>0.001380893605308603</v>
      </c>
      <c r="W187" s="4" t="inlineStr">
        <is>
          <t>复贷_人机</t>
        </is>
      </c>
    </row>
    <row r="188">
      <c r="A188" s="4" t="inlineStr">
        <is>
          <t>2026-04</t>
        </is>
      </c>
      <c r="B188" s="4" t="inlineStr">
        <is>
          <t>金条</t>
        </is>
      </c>
      <c r="C188" s="4" t="inlineStr">
        <is>
          <t>首贷</t>
        </is>
      </c>
      <c r="D188" s="4" t="inlineStr">
        <is>
          <t>纯机</t>
        </is>
      </c>
      <c r="E188" s="4" t="inlineStr">
        <is>
          <t>零犀</t>
        </is>
      </c>
      <c r="F188" s="4" t="inlineStr"/>
      <c r="G188" s="9" t="n">
        <v>15196022</v>
      </c>
      <c r="H188" s="9" t="n">
        <v>13584</v>
      </c>
      <c r="I188" s="11" t="n">
        <v>0.09</v>
      </c>
      <c r="J188" s="9" t="n">
        <v>198402200</v>
      </c>
      <c r="K188" s="9" t="n">
        <v>14606</v>
      </c>
      <c r="L188" s="9" t="n">
        <v>1561714</v>
      </c>
      <c r="M188" s="11" t="n">
        <v>0.07000000000000001</v>
      </c>
      <c r="N188" s="23" t="n">
        <v>1.068</v>
      </c>
      <c r="O188" s="9" t="n">
        <v>1894968</v>
      </c>
      <c r="P188" s="9" t="n">
        <v>333254</v>
      </c>
      <c r="Q188" s="9" t="n">
        <v>312036</v>
      </c>
      <c r="R188" s="6" t="n">
        <v>16.5</v>
      </c>
      <c r="S188" s="6" t="n">
        <v>82.40000000000001</v>
      </c>
      <c r="T188" s="5" t="n">
        <v>139.5</v>
      </c>
      <c r="U188" s="5" t="n">
        <v>23</v>
      </c>
      <c r="V188" s="24" t="n">
        <v>0.02399555765294653</v>
      </c>
      <c r="W188" s="4" t="inlineStr">
        <is>
          <t>首贷_纯机</t>
        </is>
      </c>
    </row>
    <row r="189">
      <c r="A189" s="4" t="inlineStr">
        <is>
          <t>2026-04</t>
        </is>
      </c>
      <c r="B189" s="4" t="inlineStr">
        <is>
          <t>金条</t>
        </is>
      </c>
      <c r="C189" s="4" t="inlineStr">
        <is>
          <t>复贷</t>
        </is>
      </c>
      <c r="D189" s="4" t="inlineStr">
        <is>
          <t>纯机</t>
        </is>
      </c>
      <c r="E189" s="4" t="inlineStr">
        <is>
          <t>零犀</t>
        </is>
      </c>
      <c r="F189" s="4" t="inlineStr"/>
      <c r="G189" s="9" t="n">
        <v>1116202</v>
      </c>
      <c r="H189" s="9" t="n">
        <v>67064</v>
      </c>
      <c r="I189" s="11" t="n">
        <v>6.01</v>
      </c>
      <c r="J189" s="9" t="n">
        <v>1950643200</v>
      </c>
      <c r="K189" s="9" t="n">
        <v>29086</v>
      </c>
      <c r="L189" s="9" t="n">
        <v>115933</v>
      </c>
      <c r="M189" s="11" t="n">
        <v>0.36</v>
      </c>
      <c r="N189" s="23" t="n">
        <v>1.068</v>
      </c>
      <c r="O189" s="9" t="n">
        <v>299619</v>
      </c>
      <c r="P189" s="9" t="n">
        <v>183686</v>
      </c>
      <c r="Q189" s="9" t="n">
        <v>171990</v>
      </c>
      <c r="R189" s="6" t="n">
        <v>57.4</v>
      </c>
      <c r="S189" s="6" t="n">
        <v>38.7</v>
      </c>
      <c r="T189" s="5" t="n">
        <v>4.5</v>
      </c>
      <c r="U189" s="5" t="n">
        <v>2.6</v>
      </c>
      <c r="V189" s="24" t="n">
        <v>0.0002615746892557741</v>
      </c>
      <c r="W189" s="4" t="inlineStr">
        <is>
          <t>复贷_纯机</t>
        </is>
      </c>
    </row>
    <row r="190">
      <c r="A190" s="4" t="inlineStr">
        <is>
          <t>2026-04</t>
        </is>
      </c>
      <c r="B190" s="4" t="inlineStr">
        <is>
          <t>金条</t>
        </is>
      </c>
      <c r="C190" s="4" t="inlineStr">
        <is>
          <t>首贷</t>
        </is>
      </c>
      <c r="D190" s="4" t="inlineStr">
        <is>
          <t>人机</t>
        </is>
      </c>
      <c r="E190" s="4" t="inlineStr">
        <is>
          <t>零犀伽玛</t>
        </is>
      </c>
      <c r="F190" s="4" t="inlineStr"/>
      <c r="G190" s="9" t="n">
        <v>1842708</v>
      </c>
      <c r="H190" s="9" t="n">
        <v>5810</v>
      </c>
      <c r="I190" s="11" t="n">
        <v>0.32</v>
      </c>
      <c r="J190" s="9" t="n">
        <v>86552400</v>
      </c>
      <c r="K190" s="9" t="n">
        <v>14897</v>
      </c>
      <c r="L190" s="9" t="n">
        <v>240739</v>
      </c>
      <c r="M190" s="11" t="n">
        <v>0.07000000000000001</v>
      </c>
      <c r="N190" s="23" t="n">
        <v>1.068</v>
      </c>
      <c r="O190" s="9" t="n">
        <v>495619</v>
      </c>
      <c r="P190" s="9" t="n">
        <v>254880</v>
      </c>
      <c r="Q190" s="9" t="n">
        <v>238652</v>
      </c>
      <c r="R190" s="6" t="n">
        <v>48.2</v>
      </c>
      <c r="S190" s="6" t="n">
        <v>48.6</v>
      </c>
      <c r="T190" s="5" t="n">
        <v>85.3</v>
      </c>
      <c r="U190" s="5" t="n">
        <v>41.1</v>
      </c>
      <c r="V190" s="24" t="n">
        <v>0.0420686527137648</v>
      </c>
      <c r="W190" s="4" t="inlineStr">
        <is>
          <t>首贷_人机</t>
        </is>
      </c>
    </row>
    <row r="191">
      <c r="A191" s="4" t="inlineStr">
        <is>
          <t>2026-04</t>
        </is>
      </c>
      <c r="B191" s="4" t="inlineStr">
        <is>
          <t>金条</t>
        </is>
      </c>
      <c r="C191" s="4" t="inlineStr">
        <is>
          <t>复贷</t>
        </is>
      </c>
      <c r="D191" s="4" t="inlineStr">
        <is>
          <t>人机</t>
        </is>
      </c>
      <c r="E191" s="4" t="inlineStr">
        <is>
          <t>零犀岐力</t>
        </is>
      </c>
      <c r="F191" s="4" t="inlineStr"/>
      <c r="G191" s="9" t="n">
        <v>400927</v>
      </c>
      <c r="H191" s="9" t="n">
        <v>1806</v>
      </c>
      <c r="I191" s="11" t="n">
        <v>0.45</v>
      </c>
      <c r="J191" s="9" t="n">
        <v>59458400</v>
      </c>
      <c r="K191" s="9" t="n">
        <v>32923</v>
      </c>
      <c r="L191" s="9" t="n">
        <v>33362</v>
      </c>
      <c r="M191" s="11" t="n">
        <v>0.36</v>
      </c>
      <c r="N191" s="23" t="n">
        <v>1.068</v>
      </c>
      <c r="O191" s="9" t="n">
        <v>38628</v>
      </c>
      <c r="P191" s="9" t="n">
        <v>5266</v>
      </c>
      <c r="Q191" s="9" t="n">
        <v>4931</v>
      </c>
      <c r="R191" s="6" t="n">
        <v>12.8</v>
      </c>
      <c r="S191" s="6" t="n">
        <v>86.40000000000001</v>
      </c>
      <c r="T191" s="5" t="n">
        <v>21.4</v>
      </c>
      <c r="U191" s="5" t="n">
        <v>2.7</v>
      </c>
      <c r="V191" s="24" t="n">
        <v>0.0002460170098384379</v>
      </c>
      <c r="W191" s="4" t="inlineStr">
        <is>
          <t>复贷_人机</t>
        </is>
      </c>
    </row>
    <row r="192">
      <c r="A192" s="4" t="inlineStr">
        <is>
          <t>2026-04</t>
        </is>
      </c>
      <c r="B192" s="4" t="inlineStr">
        <is>
          <t>金条</t>
        </is>
      </c>
      <c r="C192" s="4" t="inlineStr">
        <is>
          <t>首贷</t>
        </is>
      </c>
      <c r="D192" s="4" t="inlineStr">
        <is>
          <t>人机</t>
        </is>
      </c>
      <c r="E192" s="4" t="inlineStr">
        <is>
          <t>零犀毅航</t>
        </is>
      </c>
      <c r="F192" s="4" t="inlineStr"/>
      <c r="G192" s="9" t="n">
        <v>3874420</v>
      </c>
      <c r="H192" s="9" t="n">
        <v>13398</v>
      </c>
      <c r="I192" s="11" t="n">
        <v>0.35</v>
      </c>
      <c r="J192" s="9" t="n">
        <v>225161700</v>
      </c>
      <c r="K192" s="9" t="n">
        <v>16806</v>
      </c>
      <c r="L192" s="9" t="n">
        <v>465938</v>
      </c>
      <c r="M192" s="11" t="n">
        <v>0.07000000000000001</v>
      </c>
      <c r="N192" s="23" t="n">
        <v>1.068</v>
      </c>
      <c r="O192" s="9" t="n">
        <v>1275039</v>
      </c>
      <c r="P192" s="9" t="n">
        <v>809101</v>
      </c>
      <c r="Q192" s="9" t="n">
        <v>757585</v>
      </c>
      <c r="R192" s="6" t="n">
        <v>59.4</v>
      </c>
      <c r="S192" s="6" t="n">
        <v>36.5</v>
      </c>
      <c r="T192" s="5" t="n">
        <v>95.2</v>
      </c>
      <c r="U192" s="5" t="n">
        <v>56.5</v>
      </c>
      <c r="V192" s="24" t="n">
        <v>0.05133459959791436</v>
      </c>
      <c r="W192" s="4" t="inlineStr">
        <is>
          <t>首贷_人机</t>
        </is>
      </c>
    </row>
    <row r="193">
      <c r="A193" s="4" t="inlineStr">
        <is>
          <t>2026-04</t>
        </is>
      </c>
      <c r="B193" s="4" t="inlineStr">
        <is>
          <t>金条</t>
        </is>
      </c>
      <c r="C193" s="4" t="inlineStr">
        <is>
          <t>首贷</t>
        </is>
      </c>
      <c r="D193" s="4" t="inlineStr">
        <is>
          <t>人机</t>
        </is>
      </c>
      <c r="E193" s="4" t="inlineStr">
        <is>
          <t>零犀毛毛虫</t>
        </is>
      </c>
      <c r="F193" s="4" t="inlineStr"/>
      <c r="G193" s="9" t="n">
        <v>2046767</v>
      </c>
      <c r="H193" s="9" t="n">
        <v>6698</v>
      </c>
      <c r="I193" s="11" t="n">
        <v>0.33</v>
      </c>
      <c r="J193" s="9" t="n">
        <v>97070000</v>
      </c>
      <c r="K193" s="9" t="n">
        <v>14492</v>
      </c>
      <c r="L193" s="9" t="n">
        <v>280276</v>
      </c>
      <c r="M193" s="11" t="n">
        <v>0.07000000000000001</v>
      </c>
      <c r="N193" s="23" t="n">
        <v>1.068</v>
      </c>
      <c r="O193" s="9" t="n">
        <v>551470</v>
      </c>
      <c r="P193" s="9" t="n">
        <v>271194</v>
      </c>
      <c r="Q193" s="9" t="n">
        <v>253927</v>
      </c>
      <c r="R193" s="6" t="n">
        <v>46</v>
      </c>
      <c r="S193" s="6" t="n">
        <v>50.8</v>
      </c>
      <c r="T193" s="5" t="n">
        <v>82.3</v>
      </c>
      <c r="U193" s="5" t="n">
        <v>37.9</v>
      </c>
      <c r="V193" s="24" t="n">
        <v>0.0399114041413413</v>
      </c>
      <c r="W193" s="4" t="inlineStr">
        <is>
          <t>首贷_人机</t>
        </is>
      </c>
    </row>
    <row r="194">
      <c r="A194" s="4" t="inlineStr">
        <is>
          <t>2026-04</t>
        </is>
      </c>
      <c r="B194" s="4" t="inlineStr">
        <is>
          <t>金条</t>
        </is>
      </c>
      <c r="C194" s="4" t="inlineStr">
        <is>
          <t>首贷</t>
        </is>
      </c>
      <c r="D194" s="4" t="inlineStr">
        <is>
          <t>人机</t>
        </is>
      </c>
      <c r="E194" s="4" t="inlineStr">
        <is>
          <t>零犀赛维斯</t>
        </is>
      </c>
      <c r="F194" s="4" t="inlineStr"/>
      <c r="G194" s="9" t="n">
        <v>1568552</v>
      </c>
      <c r="H194" s="9" t="n">
        <v>5455</v>
      </c>
      <c r="I194" s="11" t="n">
        <v>0.35</v>
      </c>
      <c r="J194" s="9" t="n">
        <v>78840700</v>
      </c>
      <c r="K194" s="9" t="n">
        <v>14453</v>
      </c>
      <c r="L194" s="9" t="n">
        <v>223276</v>
      </c>
      <c r="M194" s="11" t="n">
        <v>0.07000000000000001</v>
      </c>
      <c r="N194" s="23" t="n">
        <v>1.068</v>
      </c>
      <c r="O194" s="9" t="n">
        <v>448690</v>
      </c>
      <c r="P194" s="9" t="n">
        <v>225414</v>
      </c>
      <c r="Q194" s="9" t="n">
        <v>211062</v>
      </c>
      <c r="R194" s="6" t="n">
        <v>47</v>
      </c>
      <c r="S194" s="6" t="n">
        <v>49.8</v>
      </c>
      <c r="T194" s="5" t="n">
        <v>82.3</v>
      </c>
      <c r="U194" s="5" t="n">
        <v>38.7</v>
      </c>
      <c r="V194" s="24" t="n">
        <v>0.04084438621169015</v>
      </c>
      <c r="W194" s="4" t="inlineStr">
        <is>
          <t>首贷_人机</t>
        </is>
      </c>
    </row>
    <row r="195">
      <c r="A195" s="4" t="inlineStr">
        <is>
          <t>2026-05</t>
        </is>
      </c>
      <c r="B195" s="4" t="inlineStr">
        <is>
          <t>金条</t>
        </is>
      </c>
      <c r="C195" s="4" t="inlineStr">
        <is>
          <t>首贷</t>
        </is>
      </c>
      <c r="D195" s="4" t="inlineStr">
        <is>
          <t>人工</t>
        </is>
      </c>
      <c r="E195" s="4" t="inlineStr">
        <is>
          <t>人和</t>
        </is>
      </c>
      <c r="F195" s="4" t="inlineStr"/>
      <c r="G195" s="9" t="n">
        <v>60531</v>
      </c>
      <c r="H195" s="9" t="n">
        <v>561</v>
      </c>
      <c r="I195" s="11" t="n">
        <v>0.93</v>
      </c>
      <c r="J195" s="9" t="n">
        <v>32226900</v>
      </c>
      <c r="K195" s="9" t="n">
        <v>57445</v>
      </c>
      <c r="L195" s="9" t="n">
        <v>9964</v>
      </c>
      <c r="M195" s="11" t="n">
        <v>0.07000000000000001</v>
      </c>
      <c r="N195" s="23" t="n">
        <v>1.068</v>
      </c>
      <c r="O195" s="9" t="n">
        <v>175566</v>
      </c>
      <c r="P195" s="9" t="n">
        <v>165602</v>
      </c>
      <c r="Q195" s="9" t="n">
        <v>155058</v>
      </c>
      <c r="R195" s="6" t="n">
        <v>88.3</v>
      </c>
      <c r="S195" s="6" t="n">
        <v>5.7</v>
      </c>
      <c r="T195" s="5" t="n">
        <v>313</v>
      </c>
      <c r="U195" s="5" t="n">
        <v>276.4</v>
      </c>
      <c r="V195" s="24" t="n">
        <v>0.07340894895701594</v>
      </c>
      <c r="W195" s="4" t="inlineStr">
        <is>
          <t>首贷_人工</t>
        </is>
      </c>
    </row>
    <row r="196">
      <c r="A196" s="4" t="inlineStr">
        <is>
          <t>2026-05</t>
        </is>
      </c>
      <c r="B196" s="4" t="inlineStr">
        <is>
          <t>金条</t>
        </is>
      </c>
      <c r="C196" s="4" t="inlineStr">
        <is>
          <t>复贷</t>
        </is>
      </c>
      <c r="D196" s="4" t="inlineStr">
        <is>
          <t>人工</t>
        </is>
      </c>
      <c r="E196" s="4" t="inlineStr">
        <is>
          <t>人和</t>
        </is>
      </c>
      <c r="F196" s="4" t="inlineStr"/>
      <c r="G196" s="9" t="n">
        <v>73541</v>
      </c>
      <c r="H196" s="9" t="n">
        <v>4075</v>
      </c>
      <c r="I196" s="11" t="n">
        <v>5.54</v>
      </c>
      <c r="J196" s="9" t="n">
        <v>165104600</v>
      </c>
      <c r="K196" s="9" t="n">
        <v>40516</v>
      </c>
      <c r="L196" s="9" t="n">
        <v>11630</v>
      </c>
      <c r="M196" s="11" t="n">
        <v>0.36</v>
      </c>
      <c r="N196" s="23" t="n">
        <v>1.068</v>
      </c>
      <c r="O196" s="9" t="n">
        <v>194222</v>
      </c>
      <c r="P196" s="9" t="n">
        <v>182592</v>
      </c>
      <c r="Q196" s="9" t="n">
        <v>170967</v>
      </c>
      <c r="R196" s="6" t="n">
        <v>88</v>
      </c>
      <c r="S196" s="6" t="n">
        <v>6</v>
      </c>
      <c r="T196" s="5" t="n">
        <v>47.7</v>
      </c>
      <c r="U196" s="5" t="n">
        <v>42</v>
      </c>
      <c r="V196" s="24" t="n">
        <v>0.003071991937232518</v>
      </c>
      <c r="W196" s="4" t="inlineStr">
        <is>
          <t>复贷_人工</t>
        </is>
      </c>
    </row>
    <row r="197">
      <c r="A197" s="4" t="inlineStr">
        <is>
          <t>2026-05</t>
        </is>
      </c>
      <c r="B197" s="4" t="inlineStr">
        <is>
          <t>金条</t>
        </is>
      </c>
      <c r="C197" s="4" t="inlineStr">
        <is>
          <t>首贷</t>
        </is>
      </c>
      <c r="D197" s="4" t="inlineStr">
        <is>
          <t>人工</t>
        </is>
      </c>
      <c r="E197" s="4" t="inlineStr">
        <is>
          <t>伽玛</t>
        </is>
      </c>
      <c r="F197" s="4" t="inlineStr"/>
      <c r="G197" s="9" t="n">
        <v>222038</v>
      </c>
      <c r="H197" s="9" t="n">
        <v>2193</v>
      </c>
      <c r="I197" s="11" t="n">
        <v>0.99</v>
      </c>
      <c r="J197" s="9" t="n">
        <v>112459700</v>
      </c>
      <c r="K197" s="9" t="n">
        <v>51281</v>
      </c>
      <c r="L197" s="9" t="n">
        <v>39432</v>
      </c>
      <c r="M197" s="11" t="n">
        <v>0.07000000000000001</v>
      </c>
      <c r="N197" s="23" t="n">
        <v>1.068</v>
      </c>
      <c r="O197" s="9" t="n">
        <v>605879</v>
      </c>
      <c r="P197" s="9" t="n">
        <v>566447</v>
      </c>
      <c r="Q197" s="9" t="n">
        <v>530381</v>
      </c>
      <c r="R197" s="6" t="n">
        <v>87.5</v>
      </c>
      <c r="S197" s="6" t="n">
        <v>6.5</v>
      </c>
      <c r="T197" s="5" t="n">
        <v>276.3</v>
      </c>
      <c r="U197" s="5" t="n">
        <v>241.9</v>
      </c>
      <c r="V197" s="24" t="n">
        <v>0.07195555385618137</v>
      </c>
      <c r="W197" s="4" t="inlineStr">
        <is>
          <t>首贷_人工</t>
        </is>
      </c>
    </row>
    <row r="198">
      <c r="A198" s="4" t="inlineStr">
        <is>
          <t>2026-05</t>
        </is>
      </c>
      <c r="B198" s="4" t="inlineStr">
        <is>
          <t>金条</t>
        </is>
      </c>
      <c r="C198" s="4" t="inlineStr">
        <is>
          <t>复贷</t>
        </is>
      </c>
      <c r="D198" s="4" t="inlineStr">
        <is>
          <t>人工</t>
        </is>
      </c>
      <c r="E198" s="4" t="inlineStr">
        <is>
          <t>伽玛</t>
        </is>
      </c>
      <c r="F198" s="4" t="inlineStr"/>
      <c r="G198" s="9" t="n">
        <v>302961</v>
      </c>
      <c r="H198" s="9" t="n">
        <v>19765</v>
      </c>
      <c r="I198" s="11" t="n">
        <v>6.52</v>
      </c>
      <c r="J198" s="9" t="n">
        <v>704130100</v>
      </c>
      <c r="K198" s="9" t="n">
        <v>35625</v>
      </c>
      <c r="L198" s="9" t="n">
        <v>62479</v>
      </c>
      <c r="M198" s="11" t="n">
        <v>0.36</v>
      </c>
      <c r="N198" s="23" t="n">
        <v>1.068</v>
      </c>
      <c r="O198" s="9" t="n">
        <v>822714</v>
      </c>
      <c r="P198" s="9" t="n">
        <v>760235</v>
      </c>
      <c r="Q198" s="9" t="n">
        <v>711831</v>
      </c>
      <c r="R198" s="6" t="n">
        <v>86.5</v>
      </c>
      <c r="S198" s="6" t="n">
        <v>7.6</v>
      </c>
      <c r="T198" s="5" t="n">
        <v>41.6</v>
      </c>
      <c r="U198" s="5" t="n">
        <v>36</v>
      </c>
      <c r="V198" s="24" t="n">
        <v>0.002999110375893445</v>
      </c>
      <c r="W198" s="4" t="inlineStr">
        <is>
          <t>复贷_人工</t>
        </is>
      </c>
    </row>
    <row r="199">
      <c r="A199" s="4" t="inlineStr">
        <is>
          <t>2026-05</t>
        </is>
      </c>
      <c r="B199" s="4" t="inlineStr">
        <is>
          <t>金条</t>
        </is>
      </c>
      <c r="C199" s="4" t="inlineStr">
        <is>
          <t>首贷</t>
        </is>
      </c>
      <c r="D199" s="4" t="inlineStr">
        <is>
          <t>人工</t>
        </is>
      </c>
      <c r="E199" s="4" t="inlineStr">
        <is>
          <t>华啸</t>
        </is>
      </c>
      <c r="F199" s="4" t="inlineStr"/>
      <c r="G199" s="9" t="n">
        <v>12938</v>
      </c>
      <c r="H199" s="9" t="n">
        <v>89</v>
      </c>
      <c r="I199" s="11" t="n">
        <v>0.6899999999999999</v>
      </c>
      <c r="J199" s="9" t="n">
        <v>4561600</v>
      </c>
      <c r="K199" s="9" t="n">
        <v>51254</v>
      </c>
      <c r="L199" s="9" t="n">
        <v>2019</v>
      </c>
      <c r="M199" s="11" t="n">
        <v>0.07000000000000001</v>
      </c>
      <c r="N199" s="23" t="n">
        <v>1.068</v>
      </c>
      <c r="O199" s="9" t="n">
        <v>25681</v>
      </c>
      <c r="P199" s="9" t="n">
        <v>23662</v>
      </c>
      <c r="Q199" s="9" t="n">
        <v>22155</v>
      </c>
      <c r="R199" s="6" t="n">
        <v>86.3</v>
      </c>
      <c r="S199" s="6" t="n">
        <v>7.9</v>
      </c>
      <c r="T199" s="5" t="n">
        <v>288.6</v>
      </c>
      <c r="U199" s="5" t="n">
        <v>248.9</v>
      </c>
      <c r="V199" s="24" t="n">
        <v>0.07410307160394848</v>
      </c>
      <c r="W199" s="4" t="inlineStr">
        <is>
          <t>首贷_人工</t>
        </is>
      </c>
    </row>
    <row r="200">
      <c r="A200" s="4" t="inlineStr">
        <is>
          <t>2026-05</t>
        </is>
      </c>
      <c r="B200" s="4" t="inlineStr">
        <is>
          <t>金条</t>
        </is>
      </c>
      <c r="C200" s="4" t="inlineStr">
        <is>
          <t>复贷</t>
        </is>
      </c>
      <c r="D200" s="4" t="inlineStr">
        <is>
          <t>人工</t>
        </is>
      </c>
      <c r="E200" s="4" t="inlineStr">
        <is>
          <t>华啸</t>
        </is>
      </c>
      <c r="F200" s="4" t="inlineStr"/>
      <c r="G200" s="9" t="n">
        <v>119679</v>
      </c>
      <c r="H200" s="9" t="n">
        <v>6657</v>
      </c>
      <c r="I200" s="11" t="n">
        <v>5.56</v>
      </c>
      <c r="J200" s="9" t="n">
        <v>271816000</v>
      </c>
      <c r="K200" s="9" t="n">
        <v>40832</v>
      </c>
      <c r="L200" s="9" t="n">
        <v>20668</v>
      </c>
      <c r="M200" s="11" t="n">
        <v>0.36</v>
      </c>
      <c r="N200" s="23" t="n">
        <v>1.068</v>
      </c>
      <c r="O200" s="9" t="n">
        <v>321599</v>
      </c>
      <c r="P200" s="9" t="n">
        <v>300931</v>
      </c>
      <c r="Q200" s="9" t="n">
        <v>281771</v>
      </c>
      <c r="R200" s="6" t="n">
        <v>87.59999999999999</v>
      </c>
      <c r="S200" s="6" t="n">
        <v>6.4</v>
      </c>
      <c r="T200" s="5" t="n">
        <v>48.3</v>
      </c>
      <c r="U200" s="5" t="n">
        <v>42.3</v>
      </c>
      <c r="V200" s="24" t="n">
        <v>0.003075313610841321</v>
      </c>
      <c r="W200" s="4" t="inlineStr">
        <is>
          <t>复贷_人工</t>
        </is>
      </c>
    </row>
    <row r="201">
      <c r="A201" s="4" t="inlineStr">
        <is>
          <t>2026-05</t>
        </is>
      </c>
      <c r="B201" s="4" t="inlineStr">
        <is>
          <t>金条</t>
        </is>
      </c>
      <c r="C201" s="4" t="inlineStr">
        <is>
          <t>首贷</t>
        </is>
      </c>
      <c r="D201" s="4" t="inlineStr">
        <is>
          <t>人工</t>
        </is>
      </c>
      <c r="E201" s="4" t="inlineStr">
        <is>
          <t>博岳石家庄</t>
        </is>
      </c>
      <c r="F201" s="4" t="inlineStr">
        <is>
          <t>石家庄</t>
        </is>
      </c>
      <c r="G201" s="9" t="n">
        <v>162840</v>
      </c>
      <c r="H201" s="9" t="n">
        <v>1407</v>
      </c>
      <c r="I201" s="11" t="n">
        <v>0.86</v>
      </c>
      <c r="J201" s="9" t="n">
        <v>94131000</v>
      </c>
      <c r="K201" s="9" t="n">
        <v>66902</v>
      </c>
      <c r="L201" s="9" t="n">
        <v>20515</v>
      </c>
      <c r="M201" s="11" t="n">
        <v>0.07000000000000001</v>
      </c>
      <c r="N201" s="23" t="n">
        <v>1.068</v>
      </c>
      <c r="O201" s="9" t="n">
        <v>501571</v>
      </c>
      <c r="P201" s="9" t="n">
        <v>481056</v>
      </c>
      <c r="Q201" s="9" t="n">
        <v>450428</v>
      </c>
      <c r="R201" s="6" t="n">
        <v>89.8</v>
      </c>
      <c r="S201" s="6" t="n">
        <v>4.1</v>
      </c>
      <c r="T201" s="5" t="n">
        <v>356.5</v>
      </c>
      <c r="U201" s="5" t="n">
        <v>320.1</v>
      </c>
      <c r="V201" s="24" t="n">
        <v>0.07300707069327396</v>
      </c>
      <c r="W201" s="4" t="inlineStr">
        <is>
          <t>首贷_人工</t>
        </is>
      </c>
    </row>
    <row r="202">
      <c r="A202" s="4" t="inlineStr">
        <is>
          <t>2026-05</t>
        </is>
      </c>
      <c r="B202" s="4" t="inlineStr">
        <is>
          <t>金条</t>
        </is>
      </c>
      <c r="C202" s="4" t="inlineStr">
        <is>
          <t>复贷</t>
        </is>
      </c>
      <c r="D202" s="4" t="inlineStr">
        <is>
          <t>人工</t>
        </is>
      </c>
      <c r="E202" s="4" t="inlineStr">
        <is>
          <t>博岳石家庄</t>
        </is>
      </c>
      <c r="F202" s="4" t="inlineStr">
        <is>
          <t>石家庄</t>
        </is>
      </c>
      <c r="G202" s="9" t="n">
        <v>184173</v>
      </c>
      <c r="H202" s="9" t="n">
        <v>10336</v>
      </c>
      <c r="I202" s="11" t="n">
        <v>5.61</v>
      </c>
      <c r="J202" s="9" t="n">
        <v>368899700</v>
      </c>
      <c r="K202" s="9" t="n">
        <v>35691</v>
      </c>
      <c r="L202" s="9" t="n">
        <v>27768</v>
      </c>
      <c r="M202" s="11" t="n">
        <v>0.36</v>
      </c>
      <c r="N202" s="23" t="n">
        <v>1.068</v>
      </c>
      <c r="O202" s="9" t="n">
        <v>432072</v>
      </c>
      <c r="P202" s="9" t="n">
        <v>404304</v>
      </c>
      <c r="Q202" s="9" t="n">
        <v>378562</v>
      </c>
      <c r="R202" s="6" t="n">
        <v>87.59999999999999</v>
      </c>
      <c r="S202" s="6" t="n">
        <v>6.4</v>
      </c>
      <c r="T202" s="5" t="n">
        <v>41.8</v>
      </c>
      <c r="U202" s="5" t="n">
        <v>36.6</v>
      </c>
      <c r="V202" s="24" t="n">
        <v>0.003044368609317564</v>
      </c>
      <c r="W202" s="4" t="inlineStr">
        <is>
          <t>复贷_人工</t>
        </is>
      </c>
    </row>
    <row r="203">
      <c r="A203" s="4" t="inlineStr">
        <is>
          <t>2026-05</t>
        </is>
      </c>
      <c r="B203" s="4" t="inlineStr">
        <is>
          <t>金条</t>
        </is>
      </c>
      <c r="C203" s="4" t="inlineStr">
        <is>
          <t>首贷</t>
        </is>
      </c>
      <c r="D203" s="4" t="inlineStr">
        <is>
          <t>人机</t>
        </is>
      </c>
      <c r="E203" s="4" t="inlineStr">
        <is>
          <t>宿迁兆科</t>
        </is>
      </c>
      <c r="F203" s="4" t="inlineStr">
        <is>
          <t>宿迁</t>
        </is>
      </c>
      <c r="G203" s="9" t="n">
        <v>1245348</v>
      </c>
      <c r="H203" s="9" t="n">
        <v>3963</v>
      </c>
      <c r="I203" s="11" t="n">
        <v>0.32</v>
      </c>
      <c r="J203" s="9" t="n">
        <v>56408600</v>
      </c>
      <c r="K203" s="9" t="n">
        <v>14234</v>
      </c>
      <c r="L203" s="9" t="n">
        <v>149621</v>
      </c>
      <c r="M203" s="11" t="n">
        <v>0.07000000000000001</v>
      </c>
      <c r="N203" s="23" t="n">
        <v>1.068</v>
      </c>
      <c r="O203" s="9" t="n">
        <v>307088</v>
      </c>
      <c r="P203" s="9" t="n">
        <v>157467</v>
      </c>
      <c r="Q203" s="9" t="n">
        <v>147441</v>
      </c>
      <c r="R203" s="6" t="n">
        <v>48</v>
      </c>
      <c r="S203" s="6" t="n">
        <v>48.7</v>
      </c>
      <c r="T203" s="5" t="n">
        <v>77.5</v>
      </c>
      <c r="U203" s="5" t="n">
        <v>37.2</v>
      </c>
      <c r="V203" s="24" t="n">
        <v>0.03987917749117282</v>
      </c>
      <c r="W203" s="4" t="inlineStr">
        <is>
          <t>首贷_人机</t>
        </is>
      </c>
    </row>
    <row r="204">
      <c r="A204" s="4" t="inlineStr">
        <is>
          <t>2026-05</t>
        </is>
      </c>
      <c r="B204" s="4" t="inlineStr">
        <is>
          <t>金条</t>
        </is>
      </c>
      <c r="C204" s="4" t="inlineStr">
        <is>
          <t>首贷</t>
        </is>
      </c>
      <c r="D204" s="4" t="inlineStr">
        <is>
          <t>人工</t>
        </is>
      </c>
      <c r="E204" s="4" t="inlineStr">
        <is>
          <t>宿迁兆科</t>
        </is>
      </c>
      <c r="F204" s="4" t="inlineStr">
        <is>
          <t>宿迁</t>
        </is>
      </c>
      <c r="G204" s="9" t="n">
        <v>34713</v>
      </c>
      <c r="H204" s="9" t="n">
        <v>278</v>
      </c>
      <c r="I204" s="11" t="n">
        <v>0.8</v>
      </c>
      <c r="J204" s="9" t="n">
        <v>8641800</v>
      </c>
      <c r="K204" s="9" t="n">
        <v>31086</v>
      </c>
      <c r="L204" s="9" t="n">
        <v>5179</v>
      </c>
      <c r="M204" s="11" t="n">
        <v>0.07000000000000001</v>
      </c>
      <c r="N204" s="23" t="n">
        <v>1.068</v>
      </c>
      <c r="O204" s="9" t="n">
        <v>47101</v>
      </c>
      <c r="P204" s="9" t="n">
        <v>41922</v>
      </c>
      <c r="Q204" s="9" t="n">
        <v>39253</v>
      </c>
      <c r="R204" s="6" t="n">
        <v>83.3</v>
      </c>
      <c r="S204" s="6" t="n">
        <v>11</v>
      </c>
      <c r="T204" s="5" t="n">
        <v>169.4</v>
      </c>
      <c r="U204" s="5" t="n">
        <v>141.2</v>
      </c>
      <c r="V204" s="24" t="n">
        <v>0.06930103847412741</v>
      </c>
      <c r="W204" s="4" t="inlineStr">
        <is>
          <t>首贷_人工</t>
        </is>
      </c>
    </row>
    <row r="205">
      <c r="A205" s="4" t="inlineStr">
        <is>
          <t>2026-05</t>
        </is>
      </c>
      <c r="B205" s="4" t="inlineStr">
        <is>
          <t>金条</t>
        </is>
      </c>
      <c r="C205" s="4" t="inlineStr">
        <is>
          <t>复贷</t>
        </is>
      </c>
      <c r="D205" s="4" t="inlineStr">
        <is>
          <t>人工</t>
        </is>
      </c>
      <c r="E205" s="4" t="inlineStr">
        <is>
          <t>宿迁兆科</t>
        </is>
      </c>
      <c r="F205" s="4" t="inlineStr">
        <is>
          <t>宿迁</t>
        </is>
      </c>
      <c r="G205" s="9" t="n">
        <v>52903</v>
      </c>
      <c r="H205" s="9" t="n">
        <v>2677</v>
      </c>
      <c r="I205" s="11" t="n">
        <v>5.06</v>
      </c>
      <c r="J205" s="9" t="n">
        <v>114491700</v>
      </c>
      <c r="K205" s="9" t="n">
        <v>42769</v>
      </c>
      <c r="L205" s="9" t="n">
        <v>7551</v>
      </c>
      <c r="M205" s="11" t="n">
        <v>0.36</v>
      </c>
      <c r="N205" s="23" t="n">
        <v>1.068</v>
      </c>
      <c r="O205" s="9" t="n">
        <v>134333</v>
      </c>
      <c r="P205" s="9" t="n">
        <v>126782</v>
      </c>
      <c r="Q205" s="9" t="n">
        <v>118710</v>
      </c>
      <c r="R205" s="6" t="n">
        <v>88.40000000000001</v>
      </c>
      <c r="S205" s="6" t="n">
        <v>5.6</v>
      </c>
      <c r="T205" s="5" t="n">
        <v>50.2</v>
      </c>
      <c r="U205" s="5" t="n">
        <v>44.3</v>
      </c>
      <c r="V205" s="24" t="n">
        <v>0.003075962905802099</v>
      </c>
      <c r="W205" s="4" t="inlineStr">
        <is>
          <t>复贷_人工</t>
        </is>
      </c>
    </row>
    <row r="206">
      <c r="A206" s="4" t="inlineStr">
        <is>
          <t>2026-05</t>
        </is>
      </c>
      <c r="B206" s="4" t="inlineStr">
        <is>
          <t>金条</t>
        </is>
      </c>
      <c r="C206" s="4" t="inlineStr">
        <is>
          <t>首贷</t>
        </is>
      </c>
      <c r="D206" s="4" t="inlineStr">
        <is>
          <t>人工</t>
        </is>
      </c>
      <c r="E206" s="4" t="inlineStr">
        <is>
          <t>岐力</t>
        </is>
      </c>
      <c r="F206" s="4" t="inlineStr"/>
      <c r="G206" s="9" t="n">
        <v>17663</v>
      </c>
      <c r="H206" s="9" t="n">
        <v>148</v>
      </c>
      <c r="I206" s="11" t="n">
        <v>0.84</v>
      </c>
      <c r="J206" s="9" t="n">
        <v>6037700</v>
      </c>
      <c r="K206" s="9" t="n">
        <v>40795</v>
      </c>
      <c r="L206" s="9" t="n">
        <v>3141</v>
      </c>
      <c r="M206" s="11" t="n">
        <v>0.07000000000000001</v>
      </c>
      <c r="N206" s="23" t="n">
        <v>1.068</v>
      </c>
      <c r="O206" s="9" t="n">
        <v>30560</v>
      </c>
      <c r="P206" s="9" t="n">
        <v>27419</v>
      </c>
      <c r="Q206" s="9" t="n">
        <v>25673</v>
      </c>
      <c r="R206" s="6" t="n">
        <v>84</v>
      </c>
      <c r="S206" s="6" t="n">
        <v>10.3</v>
      </c>
      <c r="T206" s="5" t="n">
        <v>206.5</v>
      </c>
      <c r="U206" s="5" t="n">
        <v>173.5</v>
      </c>
      <c r="V206" s="24" t="n">
        <v>0.06487569769945509</v>
      </c>
      <c r="W206" s="4" t="inlineStr">
        <is>
          <t>首贷_人工</t>
        </is>
      </c>
    </row>
    <row r="207">
      <c r="A207" s="4" t="inlineStr">
        <is>
          <t>2026-05</t>
        </is>
      </c>
      <c r="B207" s="4" t="inlineStr">
        <is>
          <t>金条</t>
        </is>
      </c>
      <c r="C207" s="4" t="inlineStr">
        <is>
          <t>复贷</t>
        </is>
      </c>
      <c r="D207" s="4" t="inlineStr">
        <is>
          <t>人工</t>
        </is>
      </c>
      <c r="E207" s="4" t="inlineStr">
        <is>
          <t>岐力</t>
        </is>
      </c>
      <c r="F207" s="4" t="inlineStr"/>
      <c r="G207" s="9" t="n">
        <v>232895</v>
      </c>
      <c r="H207" s="9" t="n">
        <v>12596</v>
      </c>
      <c r="I207" s="11" t="n">
        <v>5.41</v>
      </c>
      <c r="J207" s="9" t="n">
        <v>417142600</v>
      </c>
      <c r="K207" s="9" t="n">
        <v>33117</v>
      </c>
      <c r="L207" s="9" t="n">
        <v>39805</v>
      </c>
      <c r="M207" s="11" t="n">
        <v>0.36</v>
      </c>
      <c r="N207" s="23" t="n">
        <v>1.068</v>
      </c>
      <c r="O207" s="9" t="n">
        <v>490896</v>
      </c>
      <c r="P207" s="9" t="n">
        <v>451091</v>
      </c>
      <c r="Q207" s="9" t="n">
        <v>422370</v>
      </c>
      <c r="R207" s="6" t="n">
        <v>86</v>
      </c>
      <c r="S207" s="6" t="n">
        <v>8.1</v>
      </c>
      <c r="T207" s="5" t="n">
        <v>39</v>
      </c>
      <c r="U207" s="5" t="n">
        <v>33.5</v>
      </c>
      <c r="V207" s="24" t="n">
        <v>0.003003842224590717</v>
      </c>
      <c r="W207" s="4" t="inlineStr">
        <is>
          <t>复贷_人工</t>
        </is>
      </c>
    </row>
    <row r="208">
      <c r="A208" s="4" t="inlineStr">
        <is>
          <t>2026-05</t>
        </is>
      </c>
      <c r="B208" s="4" t="inlineStr">
        <is>
          <t>金条</t>
        </is>
      </c>
      <c r="C208" s="4" t="inlineStr">
        <is>
          <t>首贷</t>
        </is>
      </c>
      <c r="D208" s="4" t="inlineStr">
        <is>
          <t>人工</t>
        </is>
      </c>
      <c r="E208" s="4" t="inlineStr">
        <is>
          <t>广达陕西</t>
        </is>
      </c>
      <c r="F208" s="4" t="inlineStr">
        <is>
          <t>陕西</t>
        </is>
      </c>
      <c r="G208" s="9" t="n">
        <v>84075</v>
      </c>
      <c r="H208" s="9" t="n">
        <v>778</v>
      </c>
      <c r="I208" s="11" t="n">
        <v>0.93</v>
      </c>
      <c r="J208" s="9" t="n">
        <v>44586000</v>
      </c>
      <c r="K208" s="9" t="n">
        <v>57308</v>
      </c>
      <c r="L208" s="9" t="n">
        <v>12653</v>
      </c>
      <c r="M208" s="11" t="n">
        <v>0.07000000000000001</v>
      </c>
      <c r="N208" s="23" t="n">
        <v>1.068</v>
      </c>
      <c r="O208" s="9" t="n">
        <v>244583</v>
      </c>
      <c r="P208" s="9" t="n">
        <v>231930</v>
      </c>
      <c r="Q208" s="9" t="n">
        <v>217162</v>
      </c>
      <c r="R208" s="6" t="n">
        <v>88.8</v>
      </c>
      <c r="S208" s="6" t="n">
        <v>5.2</v>
      </c>
      <c r="T208" s="5" t="n">
        <v>314.4</v>
      </c>
      <c r="U208" s="5" t="n">
        <v>279.1</v>
      </c>
      <c r="V208" s="24" t="n">
        <v>0.07431224407405271</v>
      </c>
      <c r="W208" s="4" t="inlineStr">
        <is>
          <t>首贷_人工</t>
        </is>
      </c>
    </row>
    <row r="209">
      <c r="A209" s="4" t="inlineStr">
        <is>
          <t>2026-05</t>
        </is>
      </c>
      <c r="B209" s="4" t="inlineStr">
        <is>
          <t>金条</t>
        </is>
      </c>
      <c r="C209" s="4" t="inlineStr">
        <is>
          <t>复贷</t>
        </is>
      </c>
      <c r="D209" s="4" t="inlineStr">
        <is>
          <t>人工</t>
        </is>
      </c>
      <c r="E209" s="4" t="inlineStr">
        <is>
          <t>广达陕西</t>
        </is>
      </c>
      <c r="F209" s="4" t="inlineStr">
        <is>
          <t>陕西</t>
        </is>
      </c>
      <c r="G209" s="9" t="n">
        <v>86186</v>
      </c>
      <c r="H209" s="9" t="n">
        <v>5658</v>
      </c>
      <c r="I209" s="11" t="n">
        <v>6.56</v>
      </c>
      <c r="J209" s="9" t="n">
        <v>221456200</v>
      </c>
      <c r="K209" s="9" t="n">
        <v>39140</v>
      </c>
      <c r="L209" s="9" t="n">
        <v>19145</v>
      </c>
      <c r="M209" s="11" t="n">
        <v>0.36</v>
      </c>
      <c r="N209" s="23" t="n">
        <v>1.068</v>
      </c>
      <c r="O209" s="9" t="n">
        <v>266637</v>
      </c>
      <c r="P209" s="9" t="n">
        <v>247492</v>
      </c>
      <c r="Q209" s="9" t="n">
        <v>231734</v>
      </c>
      <c r="R209" s="6" t="n">
        <v>86.90000000000001</v>
      </c>
      <c r="S209" s="6" t="n">
        <v>7.2</v>
      </c>
      <c r="T209" s="5" t="n">
        <v>47.1</v>
      </c>
      <c r="U209" s="5" t="n">
        <v>41</v>
      </c>
      <c r="V209" s="24" t="n">
        <v>0.003104351008360921</v>
      </c>
      <c r="W209" s="4" t="inlineStr">
        <is>
          <t>复贷_人工</t>
        </is>
      </c>
    </row>
    <row r="210">
      <c r="A210" s="4" t="inlineStr">
        <is>
          <t>2026-05</t>
        </is>
      </c>
      <c r="B210" s="4" t="inlineStr">
        <is>
          <t>金条</t>
        </is>
      </c>
      <c r="C210" s="4" t="inlineStr">
        <is>
          <t>首贷</t>
        </is>
      </c>
      <c r="D210" s="4" t="inlineStr">
        <is>
          <t>人工</t>
        </is>
      </c>
      <c r="E210" s="4" t="inlineStr">
        <is>
          <t>毅航合肥</t>
        </is>
      </c>
      <c r="F210" s="4" t="inlineStr">
        <is>
          <t>合肥</t>
        </is>
      </c>
      <c r="G210" s="9" t="n">
        <v>770241</v>
      </c>
      <c r="H210" s="9" t="n">
        <v>10630</v>
      </c>
      <c r="I210" s="11" t="n">
        <v>1.38</v>
      </c>
      <c r="J210" s="9" t="n">
        <v>658350400</v>
      </c>
      <c r="K210" s="9" t="n">
        <v>61933</v>
      </c>
      <c r="L210" s="9" t="n">
        <v>138060</v>
      </c>
      <c r="M210" s="11" t="n">
        <v>0.07000000000000001</v>
      </c>
      <c r="N210" s="23" t="n">
        <v>1.068</v>
      </c>
      <c r="O210" s="9" t="n">
        <v>3504505</v>
      </c>
      <c r="P210" s="9" t="n">
        <v>3366445</v>
      </c>
      <c r="Q210" s="9" t="n">
        <v>3152102</v>
      </c>
      <c r="R210" s="6" t="n">
        <v>89.90000000000001</v>
      </c>
      <c r="S210" s="6" t="n">
        <v>3.9</v>
      </c>
      <c r="T210" s="5" t="n">
        <v>329.7</v>
      </c>
      <c r="U210" s="5" t="n">
        <v>296.5</v>
      </c>
      <c r="V210" s="24" t="n">
        <v>0.07304935400445024</v>
      </c>
      <c r="W210" s="4" t="inlineStr">
        <is>
          <t>首贷_人工</t>
        </is>
      </c>
    </row>
    <row r="211">
      <c r="A211" s="4" t="inlineStr">
        <is>
          <t>2026-05</t>
        </is>
      </c>
      <c r="B211" s="4" t="inlineStr">
        <is>
          <t>金条</t>
        </is>
      </c>
      <c r="C211" s="4" t="inlineStr">
        <is>
          <t>复贷</t>
        </is>
      </c>
      <c r="D211" s="4" t="inlineStr">
        <is>
          <t>人工</t>
        </is>
      </c>
      <c r="E211" s="4" t="inlineStr">
        <is>
          <t>毅航合肥</t>
        </is>
      </c>
      <c r="F211" s="4" t="inlineStr">
        <is>
          <t>合肥</t>
        </is>
      </c>
      <c r="G211" s="9" t="n">
        <v>652070</v>
      </c>
      <c r="H211" s="9" t="n">
        <v>39475</v>
      </c>
      <c r="I211" s="11" t="n">
        <v>6.05</v>
      </c>
      <c r="J211" s="9" t="n">
        <v>1656742700</v>
      </c>
      <c r="K211" s="9" t="n">
        <v>41969</v>
      </c>
      <c r="L211" s="9" t="n">
        <v>125110</v>
      </c>
      <c r="M211" s="11" t="n">
        <v>0.36</v>
      </c>
      <c r="N211" s="23" t="n">
        <v>1.068</v>
      </c>
      <c r="O211" s="9" t="n">
        <v>1974433</v>
      </c>
      <c r="P211" s="9" t="n">
        <v>1849323</v>
      </c>
      <c r="Q211" s="9" t="n">
        <v>1731576</v>
      </c>
      <c r="R211" s="6" t="n">
        <v>87.7</v>
      </c>
      <c r="S211" s="6" t="n">
        <v>6.3</v>
      </c>
      <c r="T211" s="5" t="n">
        <v>50</v>
      </c>
      <c r="U211" s="5" t="n">
        <v>43.9</v>
      </c>
      <c r="V211" s="24" t="n">
        <v>0.003100667552863419</v>
      </c>
      <c r="W211" s="4" t="inlineStr">
        <is>
          <t>复贷_人工</t>
        </is>
      </c>
    </row>
    <row r="212">
      <c r="A212" s="4" t="inlineStr">
        <is>
          <t>2026-05</t>
        </is>
      </c>
      <c r="B212" s="4" t="inlineStr">
        <is>
          <t>金条</t>
        </is>
      </c>
      <c r="C212" s="4" t="inlineStr">
        <is>
          <t>首贷</t>
        </is>
      </c>
      <c r="D212" s="4" t="inlineStr">
        <is>
          <t>人工</t>
        </is>
      </c>
      <c r="E212" s="4" t="inlineStr">
        <is>
          <t>毛毛虫</t>
        </is>
      </c>
      <c r="F212" s="4" t="inlineStr"/>
      <c r="G212" s="9" t="n">
        <v>618387</v>
      </c>
      <c r="H212" s="9" t="n">
        <v>7467</v>
      </c>
      <c r="I212" s="11" t="n">
        <v>1.21</v>
      </c>
      <c r="J212" s="9" t="n">
        <v>454391900</v>
      </c>
      <c r="K212" s="9" t="n">
        <v>60853</v>
      </c>
      <c r="L212" s="9" t="n">
        <v>94399</v>
      </c>
      <c r="M212" s="11" t="n">
        <v>0.07000000000000001</v>
      </c>
      <c r="N212" s="23" t="n">
        <v>1.068</v>
      </c>
      <c r="O212" s="9" t="n">
        <v>2422780</v>
      </c>
      <c r="P212" s="9" t="n">
        <v>2328381</v>
      </c>
      <c r="Q212" s="9" t="n">
        <v>2180132</v>
      </c>
      <c r="R212" s="6" t="n">
        <v>90</v>
      </c>
      <c r="S212" s="6" t="n">
        <v>3.9</v>
      </c>
      <c r="T212" s="5" t="n">
        <v>324.5</v>
      </c>
      <c r="U212" s="5" t="n">
        <v>292</v>
      </c>
      <c r="V212" s="24" t="n">
        <v>0.07320241781221389</v>
      </c>
      <c r="W212" s="4" t="inlineStr">
        <is>
          <t>首贷_人工</t>
        </is>
      </c>
    </row>
    <row r="213">
      <c r="A213" s="4" t="inlineStr">
        <is>
          <t>2026-05</t>
        </is>
      </c>
      <c r="B213" s="4" t="inlineStr">
        <is>
          <t>金条</t>
        </is>
      </c>
      <c r="C213" s="4" t="inlineStr">
        <is>
          <t>复贷</t>
        </is>
      </c>
      <c r="D213" s="4" t="inlineStr">
        <is>
          <t>人工</t>
        </is>
      </c>
      <c r="E213" s="4" t="inlineStr">
        <is>
          <t>毛毛虫</t>
        </is>
      </c>
      <c r="F213" s="4" t="inlineStr"/>
      <c r="G213" s="9" t="n">
        <v>235635</v>
      </c>
      <c r="H213" s="9" t="n">
        <v>14862</v>
      </c>
      <c r="I213" s="11" t="n">
        <v>6.31</v>
      </c>
      <c r="J213" s="9" t="n">
        <v>604124700</v>
      </c>
      <c r="K213" s="9" t="n">
        <v>40649</v>
      </c>
      <c r="L213" s="9" t="n">
        <v>44278</v>
      </c>
      <c r="M213" s="11" t="n">
        <v>0.36</v>
      </c>
      <c r="N213" s="23" t="n">
        <v>1.068</v>
      </c>
      <c r="O213" s="9" t="n">
        <v>730725</v>
      </c>
      <c r="P213" s="9" t="n">
        <v>686447</v>
      </c>
      <c r="Q213" s="9" t="n">
        <v>642741</v>
      </c>
      <c r="R213" s="6" t="n">
        <v>88</v>
      </c>
      <c r="S213" s="6" t="n">
        <v>6.1</v>
      </c>
      <c r="T213" s="5" t="n">
        <v>49.2</v>
      </c>
      <c r="U213" s="5" t="n">
        <v>43.2</v>
      </c>
      <c r="V213" s="24" t="n">
        <v>0.003156297403867483</v>
      </c>
      <c r="W213" s="4" t="inlineStr">
        <is>
          <t>复贷_人工</t>
        </is>
      </c>
    </row>
    <row r="214">
      <c r="A214" s="4" t="inlineStr">
        <is>
          <t>2026-05</t>
        </is>
      </c>
      <c r="B214" s="4" t="inlineStr">
        <is>
          <t>金条</t>
        </is>
      </c>
      <c r="C214" s="4" t="inlineStr">
        <is>
          <t>首贷</t>
        </is>
      </c>
      <c r="D214" s="4" t="inlineStr">
        <is>
          <t>人工</t>
        </is>
      </c>
      <c r="E214" s="4" t="inlineStr">
        <is>
          <t>汇讯</t>
        </is>
      </c>
      <c r="F214" s="4" t="inlineStr"/>
      <c r="G214" s="9" t="n">
        <v>256619</v>
      </c>
      <c r="H214" s="9" t="n">
        <v>2603</v>
      </c>
      <c r="I214" s="11" t="n">
        <v>1.01</v>
      </c>
      <c r="J214" s="9" t="n">
        <v>140269600</v>
      </c>
      <c r="K214" s="9" t="n">
        <v>53888</v>
      </c>
      <c r="L214" s="9" t="n">
        <v>40473</v>
      </c>
      <c r="M214" s="11" t="n">
        <v>0.07000000000000001</v>
      </c>
      <c r="N214" s="23" t="n">
        <v>1.068</v>
      </c>
      <c r="O214" s="9" t="n">
        <v>731972</v>
      </c>
      <c r="P214" s="9" t="n">
        <v>691499</v>
      </c>
      <c r="Q214" s="9" t="n">
        <v>647471</v>
      </c>
      <c r="R214" s="6" t="n">
        <v>88.5</v>
      </c>
      <c r="S214" s="6" t="n">
        <v>5.5</v>
      </c>
      <c r="T214" s="5" t="n">
        <v>281.2</v>
      </c>
      <c r="U214" s="5" t="n">
        <v>248.7</v>
      </c>
      <c r="V214" s="24" t="n">
        <v>0.07042550305167436</v>
      </c>
      <c r="W214" s="4" t="inlineStr">
        <is>
          <t>首贷_人工</t>
        </is>
      </c>
    </row>
    <row r="215">
      <c r="A215" s="4" t="inlineStr">
        <is>
          <t>2026-05</t>
        </is>
      </c>
      <c r="B215" s="4" t="inlineStr">
        <is>
          <t>金条</t>
        </is>
      </c>
      <c r="C215" s="4" t="inlineStr">
        <is>
          <t>复贷</t>
        </is>
      </c>
      <c r="D215" s="4" t="inlineStr">
        <is>
          <t>人工</t>
        </is>
      </c>
      <c r="E215" s="4" t="inlineStr">
        <is>
          <t>汇讯</t>
        </is>
      </c>
      <c r="F215" s="4" t="inlineStr"/>
      <c r="G215" s="9" t="n">
        <v>104977</v>
      </c>
      <c r="H215" s="9" t="n">
        <v>7016</v>
      </c>
      <c r="I215" s="11" t="n">
        <v>6.68</v>
      </c>
      <c r="J215" s="9" t="n">
        <v>268894300</v>
      </c>
      <c r="K215" s="9" t="n">
        <v>38326</v>
      </c>
      <c r="L215" s="9" t="n">
        <v>20179</v>
      </c>
      <c r="M215" s="11" t="n">
        <v>0.36</v>
      </c>
      <c r="N215" s="23" t="n">
        <v>1.068</v>
      </c>
      <c r="O215" s="9" t="n">
        <v>313238</v>
      </c>
      <c r="P215" s="9" t="n">
        <v>293059</v>
      </c>
      <c r="Q215" s="9" t="n">
        <v>274400</v>
      </c>
      <c r="R215" s="6" t="n">
        <v>87.59999999999999</v>
      </c>
      <c r="S215" s="6" t="n">
        <v>6.4</v>
      </c>
      <c r="T215" s="5" t="n">
        <v>44.6</v>
      </c>
      <c r="U215" s="5" t="n">
        <v>39.1</v>
      </c>
      <c r="V215" s="24" t="n">
        <v>0.003027408084804244</v>
      </c>
      <c r="W215" s="4" t="inlineStr">
        <is>
          <t>复贷_人工</t>
        </is>
      </c>
    </row>
    <row r="216">
      <c r="A216" s="4" t="inlineStr">
        <is>
          <t>2026-05</t>
        </is>
      </c>
      <c r="B216" s="4" t="inlineStr">
        <is>
          <t>金条</t>
        </is>
      </c>
      <c r="C216" s="4" t="inlineStr">
        <is>
          <t>首贷</t>
        </is>
      </c>
      <c r="D216" s="4" t="inlineStr">
        <is>
          <t>纯机</t>
        </is>
      </c>
      <c r="E216" s="4" t="inlineStr">
        <is>
          <t>电话邦</t>
        </is>
      </c>
      <c r="F216" s="4" t="inlineStr"/>
      <c r="G216" s="9" t="n">
        <v>820483</v>
      </c>
      <c r="H216" s="9" t="n">
        <v>669</v>
      </c>
      <c r="I216" s="11" t="n">
        <v>0.08</v>
      </c>
      <c r="J216" s="9" t="n">
        <v>3478000</v>
      </c>
      <c r="K216" s="9" t="n">
        <v>5199</v>
      </c>
      <c r="L216" s="9" t="n">
        <v>76908</v>
      </c>
      <c r="M216" s="11" t="n">
        <v>0.07000000000000001</v>
      </c>
      <c r="N216" s="23" t="n">
        <v>1.068</v>
      </c>
      <c r="O216" s="9" t="n">
        <v>93326</v>
      </c>
      <c r="P216" s="9" t="n">
        <v>16418</v>
      </c>
      <c r="Q216" s="9" t="n">
        <v>15372</v>
      </c>
      <c r="R216" s="6" t="n">
        <v>16.5</v>
      </c>
      <c r="S216" s="6" t="n">
        <v>82.40000000000001</v>
      </c>
      <c r="T216" s="5" t="n">
        <v>139.5</v>
      </c>
      <c r="U216" s="5" t="n">
        <v>23</v>
      </c>
      <c r="V216" s="24" t="n">
        <v>0.06743612913825679</v>
      </c>
      <c r="W216" s="4" t="inlineStr">
        <is>
          <t>首贷_纯机</t>
        </is>
      </c>
    </row>
    <row r="217">
      <c r="A217" s="4" t="inlineStr">
        <is>
          <t>2026-05</t>
        </is>
      </c>
      <c r="B217" s="4" t="inlineStr">
        <is>
          <t>金条</t>
        </is>
      </c>
      <c r="C217" s="4" t="inlineStr">
        <is>
          <t>首贷</t>
        </is>
      </c>
      <c r="D217" s="4" t="inlineStr">
        <is>
          <t>人工</t>
        </is>
      </c>
      <c r="E217" s="4" t="inlineStr">
        <is>
          <t>翰锐曲靖</t>
        </is>
      </c>
      <c r="F217" s="4" t="inlineStr">
        <is>
          <t>曲靖</t>
        </is>
      </c>
      <c r="G217" s="9" t="n">
        <v>73121</v>
      </c>
      <c r="H217" s="9" t="n">
        <v>815</v>
      </c>
      <c r="I217" s="11" t="n">
        <v>1.11</v>
      </c>
      <c r="J217" s="9" t="n">
        <v>46613300</v>
      </c>
      <c r="K217" s="9" t="n">
        <v>57194</v>
      </c>
      <c r="L217" s="9" t="n">
        <v>11763</v>
      </c>
      <c r="M217" s="11" t="n">
        <v>0.07000000000000001</v>
      </c>
      <c r="N217" s="23" t="n">
        <v>1.068</v>
      </c>
      <c r="O217" s="9" t="n">
        <v>247931</v>
      </c>
      <c r="P217" s="9" t="n">
        <v>236168</v>
      </c>
      <c r="Q217" s="9" t="n">
        <v>221131</v>
      </c>
      <c r="R217" s="6" t="n">
        <v>89.2</v>
      </c>
      <c r="S217" s="6" t="n">
        <v>4.7</v>
      </c>
      <c r="T217" s="5" t="n">
        <v>304.2</v>
      </c>
      <c r="U217" s="5" t="n">
        <v>271.3</v>
      </c>
      <c r="V217" s="24" t="n">
        <v>0.07237909719819388</v>
      </c>
      <c r="W217" s="4" t="inlineStr">
        <is>
          <t>首贷_人工</t>
        </is>
      </c>
    </row>
    <row r="218">
      <c r="A218" s="4" t="inlineStr">
        <is>
          <t>2026-05</t>
        </is>
      </c>
      <c r="B218" s="4" t="inlineStr">
        <is>
          <t>金条</t>
        </is>
      </c>
      <c r="C218" s="4" t="inlineStr">
        <is>
          <t>复贷</t>
        </is>
      </c>
      <c r="D218" s="4" t="inlineStr">
        <is>
          <t>人工</t>
        </is>
      </c>
      <c r="E218" s="4" t="inlineStr">
        <is>
          <t>翰锐曲靖</t>
        </is>
      </c>
      <c r="F218" s="4" t="inlineStr">
        <is>
          <t>曲靖</t>
        </is>
      </c>
      <c r="G218" s="9" t="n">
        <v>180900</v>
      </c>
      <c r="H218" s="9" t="n">
        <v>11428</v>
      </c>
      <c r="I218" s="11" t="n">
        <v>6.32</v>
      </c>
      <c r="J218" s="9" t="n">
        <v>418706300</v>
      </c>
      <c r="K218" s="9" t="n">
        <v>36639</v>
      </c>
      <c r="L218" s="9" t="n">
        <v>33887</v>
      </c>
      <c r="M218" s="11" t="n">
        <v>0.36</v>
      </c>
      <c r="N218" s="23" t="n">
        <v>1.068</v>
      </c>
      <c r="O218" s="9" t="n">
        <v>493455</v>
      </c>
      <c r="P218" s="9" t="n">
        <v>459568</v>
      </c>
      <c r="Q218" s="9" t="n">
        <v>430307</v>
      </c>
      <c r="R218" s="6" t="n">
        <v>87.2</v>
      </c>
      <c r="S218" s="6" t="n">
        <v>6.9</v>
      </c>
      <c r="T218" s="5" t="n">
        <v>43.2</v>
      </c>
      <c r="U218" s="5" t="n">
        <v>37.7</v>
      </c>
      <c r="V218" s="24" t="n">
        <v>0.003048862120722277</v>
      </c>
      <c r="W218" s="4" t="inlineStr">
        <is>
          <t>复贷_人工</t>
        </is>
      </c>
    </row>
    <row r="219">
      <c r="A219" s="4" t="inlineStr">
        <is>
          <t>2026-05</t>
        </is>
      </c>
      <c r="B219" s="4" t="inlineStr">
        <is>
          <t>金条</t>
        </is>
      </c>
      <c r="C219" s="4" t="inlineStr">
        <is>
          <t>首贷</t>
        </is>
      </c>
      <c r="D219" s="4" t="inlineStr">
        <is>
          <t>纯机</t>
        </is>
      </c>
      <c r="E219" s="4" t="inlineStr">
        <is>
          <t>言犀赛夫</t>
        </is>
      </c>
      <c r="F219" s="4" t="inlineStr"/>
      <c r="G219" s="9" t="n">
        <v>6879853</v>
      </c>
      <c r="H219" s="9" t="n">
        <v>6772</v>
      </c>
      <c r="I219" s="11" t="n">
        <v>0.1</v>
      </c>
      <c r="J219" s="9" t="n">
        <v>55524600</v>
      </c>
      <c r="K219" s="9" t="n">
        <v>8199</v>
      </c>
      <c r="L219" s="9" t="n">
        <v>947761</v>
      </c>
      <c r="M219" s="11" t="n">
        <v>0.07000000000000001</v>
      </c>
      <c r="N219" s="23" t="n">
        <v>1.068</v>
      </c>
      <c r="O219" s="9" t="n">
        <v>944694</v>
      </c>
      <c r="P219" s="9" t="n">
        <v>-3067</v>
      </c>
      <c r="Q219" s="9" t="n">
        <v>-2872</v>
      </c>
      <c r="R219" s="6" t="n">
        <v>-0.3</v>
      </c>
      <c r="S219" s="6" t="n">
        <v>100.3</v>
      </c>
      <c r="T219" s="5" t="n">
        <v>139.5</v>
      </c>
      <c r="U219" s="5" t="n">
        <v>-0.4</v>
      </c>
      <c r="V219" s="24" t="n">
        <v>-0.0007890968276094868</v>
      </c>
      <c r="W219" s="4" t="inlineStr">
        <is>
          <t>首贷_纯机</t>
        </is>
      </c>
    </row>
    <row r="220">
      <c r="A220" s="4" t="inlineStr">
        <is>
          <t>2026-05</t>
        </is>
      </c>
      <c r="B220" s="4" t="inlineStr">
        <is>
          <t>金条</t>
        </is>
      </c>
      <c r="C220" s="4" t="inlineStr">
        <is>
          <t>复贷</t>
        </is>
      </c>
      <c r="D220" s="4" t="inlineStr">
        <is>
          <t>纯机</t>
        </is>
      </c>
      <c r="E220" s="4" t="inlineStr">
        <is>
          <t>言犀赛夫</t>
        </is>
      </c>
      <c r="F220" s="4" t="inlineStr"/>
      <c r="G220" s="9" t="n">
        <v>729735</v>
      </c>
      <c r="H220" s="9" t="n">
        <v>59964</v>
      </c>
      <c r="I220" s="11" t="n">
        <v>8.220000000000001</v>
      </c>
      <c r="J220" s="9" t="n">
        <v>1765961700</v>
      </c>
      <c r="K220" s="9" t="n">
        <v>29450</v>
      </c>
      <c r="L220" s="9" t="n">
        <v>95411</v>
      </c>
      <c r="M220" s="11" t="n">
        <v>0.36</v>
      </c>
      <c r="N220" s="23" t="n">
        <v>1.068</v>
      </c>
      <c r="O220" s="9" t="n">
        <v>271252</v>
      </c>
      <c r="P220" s="9" t="n">
        <v>175841</v>
      </c>
      <c r="Q220" s="9" t="n">
        <v>164645</v>
      </c>
      <c r="R220" s="6" t="n">
        <v>60.7</v>
      </c>
      <c r="S220" s="6" t="n">
        <v>35.2</v>
      </c>
      <c r="T220" s="5" t="n">
        <v>4.5</v>
      </c>
      <c r="U220" s="5" t="n">
        <v>2.7</v>
      </c>
      <c r="V220" s="24" t="n">
        <v>0.000276589929567681</v>
      </c>
      <c r="W220" s="4" t="inlineStr">
        <is>
          <t>复贷_纯机</t>
        </is>
      </c>
    </row>
    <row r="221">
      <c r="A221" s="4" t="inlineStr">
        <is>
          <t>2026-05</t>
        </is>
      </c>
      <c r="B221" s="4" t="inlineStr">
        <is>
          <t>金条</t>
        </is>
      </c>
      <c r="C221" s="4" t="inlineStr">
        <is>
          <t>首贷</t>
        </is>
      </c>
      <c r="D221" s="4" t="inlineStr">
        <is>
          <t>人机</t>
        </is>
      </c>
      <c r="E221" s="4" t="inlineStr">
        <is>
          <t>赛维斯</t>
        </is>
      </c>
      <c r="F221" s="4" t="inlineStr"/>
      <c r="G221" s="9" t="n">
        <v>2119835</v>
      </c>
      <c r="H221" s="9" t="n">
        <v>5551</v>
      </c>
      <c r="I221" s="11" t="n">
        <v>0.26</v>
      </c>
      <c r="J221" s="9" t="n">
        <v>75946300</v>
      </c>
      <c r="K221" s="9" t="n">
        <v>13682</v>
      </c>
      <c r="L221" s="9" t="n">
        <v>255010</v>
      </c>
      <c r="M221" s="11" t="n">
        <v>0.07000000000000001</v>
      </c>
      <c r="N221" s="23" t="n">
        <v>1.068</v>
      </c>
      <c r="O221" s="9" t="n">
        <v>413896</v>
      </c>
      <c r="P221" s="9" t="n">
        <v>158886</v>
      </c>
      <c r="Q221" s="9" t="n">
        <v>148770</v>
      </c>
      <c r="R221" s="6" t="n">
        <v>35.9</v>
      </c>
      <c r="S221" s="6" t="n">
        <v>61.6</v>
      </c>
      <c r="T221" s="5" t="n">
        <v>74.59999999999999</v>
      </c>
      <c r="U221" s="5" t="n">
        <v>26.8</v>
      </c>
      <c r="V221" s="24" t="n">
        <v>0.02988690693292497</v>
      </c>
      <c r="W221" s="4" t="inlineStr">
        <is>
          <t>首贷_人机</t>
        </is>
      </c>
    </row>
    <row r="222">
      <c r="A222" s="4" t="inlineStr">
        <is>
          <t>2026-05</t>
        </is>
      </c>
      <c r="B222" s="4" t="inlineStr">
        <is>
          <t>金条</t>
        </is>
      </c>
      <c r="C222" s="4" t="inlineStr">
        <is>
          <t>复贷</t>
        </is>
      </c>
      <c r="D222" s="4" t="inlineStr">
        <is>
          <t>人机</t>
        </is>
      </c>
      <c r="E222" s="4" t="inlineStr">
        <is>
          <t>赛维斯</t>
        </is>
      </c>
      <c r="F222" s="4" t="inlineStr"/>
      <c r="G222" s="9" t="n">
        <v>1403193</v>
      </c>
      <c r="H222" s="9" t="n">
        <v>11983</v>
      </c>
      <c r="I222" s="11" t="n">
        <v>0.85</v>
      </c>
      <c r="J222" s="9" t="n">
        <v>386782900</v>
      </c>
      <c r="K222" s="9" t="n">
        <v>32278</v>
      </c>
      <c r="L222" s="9" t="n">
        <v>162536</v>
      </c>
      <c r="M222" s="11" t="n">
        <v>0.36</v>
      </c>
      <c r="N222" s="23" t="n">
        <v>1.068</v>
      </c>
      <c r="O222" s="9" t="n">
        <v>290198</v>
      </c>
      <c r="P222" s="9" t="n">
        <v>127662</v>
      </c>
      <c r="Q222" s="9" t="n">
        <v>119533</v>
      </c>
      <c r="R222" s="6" t="n">
        <v>41.2</v>
      </c>
      <c r="S222" s="6" t="n">
        <v>56</v>
      </c>
      <c r="T222" s="5" t="n">
        <v>24.2</v>
      </c>
      <c r="U222" s="5" t="n">
        <v>10</v>
      </c>
      <c r="V222" s="24" t="n">
        <v>0.0009168364647627045</v>
      </c>
      <c r="W222" s="4" t="inlineStr">
        <is>
          <t>复贷_人机</t>
        </is>
      </c>
    </row>
    <row r="223">
      <c r="A223" s="4" t="inlineStr">
        <is>
          <t>2026-05</t>
        </is>
      </c>
      <c r="B223" s="4" t="inlineStr">
        <is>
          <t>金条</t>
        </is>
      </c>
      <c r="C223" s="4" t="inlineStr">
        <is>
          <t>首贷</t>
        </is>
      </c>
      <c r="D223" s="4" t="inlineStr">
        <is>
          <t>人工</t>
        </is>
      </c>
      <c r="E223" s="4" t="inlineStr">
        <is>
          <t>赛维斯</t>
        </is>
      </c>
      <c r="F223" s="4" t="inlineStr"/>
      <c r="G223" s="9" t="n">
        <v>217922</v>
      </c>
      <c r="H223" s="9" t="n">
        <v>2200</v>
      </c>
      <c r="I223" s="11" t="n">
        <v>1.01</v>
      </c>
      <c r="J223" s="9" t="n">
        <v>109227100</v>
      </c>
      <c r="K223" s="9" t="n">
        <v>49649</v>
      </c>
      <c r="L223" s="9" t="n">
        <v>33828</v>
      </c>
      <c r="M223" s="11" t="n">
        <v>0.07000000000000001</v>
      </c>
      <c r="N223" s="23" t="n">
        <v>1.068</v>
      </c>
      <c r="O223" s="9" t="n">
        <v>583134</v>
      </c>
      <c r="P223" s="9" t="n">
        <v>549306</v>
      </c>
      <c r="Q223" s="9" t="n">
        <v>514332</v>
      </c>
      <c r="R223" s="6" t="n">
        <v>88.2</v>
      </c>
      <c r="S223" s="6" t="n">
        <v>5.8</v>
      </c>
      <c r="T223" s="5" t="n">
        <v>265.1</v>
      </c>
      <c r="U223" s="5" t="n">
        <v>233.8</v>
      </c>
      <c r="V223" s="24" t="n">
        <v>0.07184323827537828</v>
      </c>
      <c r="W223" s="4" t="inlineStr">
        <is>
          <t>首贷_人工</t>
        </is>
      </c>
    </row>
    <row r="224">
      <c r="A224" s="4" t="inlineStr">
        <is>
          <t>2026-05</t>
        </is>
      </c>
      <c r="B224" s="4" t="inlineStr">
        <is>
          <t>金条</t>
        </is>
      </c>
      <c r="C224" s="4" t="inlineStr">
        <is>
          <t>复贷</t>
        </is>
      </c>
      <c r="D224" s="4" t="inlineStr">
        <is>
          <t>人工</t>
        </is>
      </c>
      <c r="E224" s="4" t="inlineStr">
        <is>
          <t>赛维斯</t>
        </is>
      </c>
      <c r="F224" s="4" t="inlineStr"/>
      <c r="G224" s="9" t="n">
        <v>339558</v>
      </c>
      <c r="H224" s="9" t="n">
        <v>20683</v>
      </c>
      <c r="I224" s="11" t="n">
        <v>6.09</v>
      </c>
      <c r="J224" s="9" t="n">
        <v>703894300</v>
      </c>
      <c r="K224" s="9" t="n">
        <v>34033</v>
      </c>
      <c r="L224" s="9" t="n">
        <v>61221</v>
      </c>
      <c r="M224" s="11" t="n">
        <v>0.36</v>
      </c>
      <c r="N224" s="23" t="n">
        <v>1.068</v>
      </c>
      <c r="O224" s="9" t="n">
        <v>842507</v>
      </c>
      <c r="P224" s="9" t="n">
        <v>781286</v>
      </c>
      <c r="Q224" s="9" t="n">
        <v>731541</v>
      </c>
      <c r="R224" s="6" t="n">
        <v>86.8</v>
      </c>
      <c r="S224" s="6" t="n">
        <v>7.3</v>
      </c>
      <c r="T224" s="5" t="n">
        <v>40.7</v>
      </c>
      <c r="U224" s="5" t="n">
        <v>35.4</v>
      </c>
      <c r="V224" s="24" t="n">
        <v>0.003083188610688975</v>
      </c>
      <c r="W224" s="4" t="inlineStr">
        <is>
          <t>复贷_人工</t>
        </is>
      </c>
    </row>
    <row r="225">
      <c r="A225" s="4" t="inlineStr">
        <is>
          <t>2026-05</t>
        </is>
      </c>
      <c r="B225" s="4" t="inlineStr">
        <is>
          <t>金条</t>
        </is>
      </c>
      <c r="C225" s="4" t="inlineStr">
        <is>
          <t>首贷</t>
        </is>
      </c>
      <c r="D225" s="4" t="inlineStr">
        <is>
          <t>人机</t>
        </is>
      </c>
      <c r="E225" s="4" t="inlineStr">
        <is>
          <t>零犀</t>
        </is>
      </c>
      <c r="F225" s="4" t="inlineStr"/>
      <c r="G225" s="9" t="n">
        <v>9508251</v>
      </c>
      <c r="H225" s="9" t="n">
        <v>28042</v>
      </c>
      <c r="I225" s="11" t="n">
        <v>0.29</v>
      </c>
      <c r="J225" s="9" t="n">
        <v>400126600</v>
      </c>
      <c r="K225" s="9" t="n">
        <v>14269</v>
      </c>
      <c r="L225" s="9" t="n">
        <v>955697</v>
      </c>
      <c r="M225" s="11" t="n">
        <v>0.07000000000000001</v>
      </c>
      <c r="N225" s="23" t="n">
        <v>1.068</v>
      </c>
      <c r="O225" s="9" t="n">
        <v>2166024</v>
      </c>
      <c r="P225" s="9" t="n">
        <v>1210327</v>
      </c>
      <c r="Q225" s="9" t="n">
        <v>1133265</v>
      </c>
      <c r="R225" s="6" t="n">
        <v>52.3</v>
      </c>
      <c r="S225" s="6" t="n">
        <v>44.1</v>
      </c>
      <c r="T225" s="5" t="n">
        <v>77.2</v>
      </c>
      <c r="U225" s="5" t="n">
        <v>40.4</v>
      </c>
      <c r="V225" s="24" t="n">
        <v>0.04321228759668993</v>
      </c>
      <c r="W225" s="4" t="inlineStr">
        <is>
          <t>首贷_人机</t>
        </is>
      </c>
    </row>
    <row r="226">
      <c r="A226" s="4" t="inlineStr">
        <is>
          <t>2026-05</t>
        </is>
      </c>
      <c r="B226" s="4" t="inlineStr">
        <is>
          <t>金条</t>
        </is>
      </c>
      <c r="C226" s="4" t="inlineStr">
        <is>
          <t>复贷</t>
        </is>
      </c>
      <c r="D226" s="4" t="inlineStr">
        <is>
          <t>人机</t>
        </is>
      </c>
      <c r="E226" s="4" t="inlineStr">
        <is>
          <t>零犀</t>
        </is>
      </c>
      <c r="F226" s="4" t="inlineStr"/>
      <c r="G226" s="9" t="n">
        <v>2469598</v>
      </c>
      <c r="H226" s="9" t="n">
        <v>19582</v>
      </c>
      <c r="I226" s="11" t="n">
        <v>0.79</v>
      </c>
      <c r="J226" s="9" t="n">
        <v>757100100</v>
      </c>
      <c r="K226" s="9" t="n">
        <v>38663</v>
      </c>
      <c r="L226" s="9" t="n">
        <v>210609</v>
      </c>
      <c r="M226" s="11" t="n">
        <v>0.36</v>
      </c>
      <c r="N226" s="23" t="n">
        <v>1.068</v>
      </c>
      <c r="O226" s="9" t="n">
        <v>573951</v>
      </c>
      <c r="P226" s="9" t="n">
        <v>363342</v>
      </c>
      <c r="Q226" s="9" t="n">
        <v>340208</v>
      </c>
      <c r="R226" s="6" t="n">
        <v>59.3</v>
      </c>
      <c r="S226" s="6" t="n">
        <v>36.7</v>
      </c>
      <c r="T226" s="5" t="n">
        <v>29.3</v>
      </c>
      <c r="U226" s="5" t="n">
        <v>17.4</v>
      </c>
      <c r="V226" s="24" t="n">
        <v>0.001333091005183242</v>
      </c>
      <c r="W226" s="4" t="inlineStr">
        <is>
          <t>复贷_人机</t>
        </is>
      </c>
    </row>
    <row r="227">
      <c r="A227" s="4" t="inlineStr">
        <is>
          <t>2026-05</t>
        </is>
      </c>
      <c r="B227" s="4" t="inlineStr">
        <is>
          <t>金条</t>
        </is>
      </c>
      <c r="C227" s="4" t="inlineStr">
        <is>
          <t>首贷</t>
        </is>
      </c>
      <c r="D227" s="4" t="inlineStr">
        <is>
          <t>纯机</t>
        </is>
      </c>
      <c r="E227" s="4" t="inlineStr">
        <is>
          <t>零犀</t>
        </is>
      </c>
      <c r="F227" s="4" t="inlineStr"/>
      <c r="G227" s="9" t="n">
        <v>16581524</v>
      </c>
      <c r="H227" s="9" t="n">
        <v>17031</v>
      </c>
      <c r="I227" s="11" t="n">
        <v>0.1</v>
      </c>
      <c r="J227" s="9" t="n">
        <v>176195200</v>
      </c>
      <c r="K227" s="9" t="n">
        <v>10346</v>
      </c>
      <c r="L227" s="9" t="n">
        <v>1899901</v>
      </c>
      <c r="M227" s="11" t="n">
        <v>0.07000000000000001</v>
      </c>
      <c r="N227" s="23" t="n">
        <v>1.068</v>
      </c>
      <c r="O227" s="9" t="n">
        <v>2375825</v>
      </c>
      <c r="P227" s="9" t="n">
        <v>475924</v>
      </c>
      <c r="Q227" s="9" t="n">
        <v>445622</v>
      </c>
      <c r="R227" s="6" t="n">
        <v>18.8</v>
      </c>
      <c r="S227" s="6" t="n">
        <v>80</v>
      </c>
      <c r="T227" s="5" t="n">
        <v>139.5</v>
      </c>
      <c r="U227" s="5" t="n">
        <v>26.2</v>
      </c>
      <c r="V227" s="24" t="n">
        <v>0.03858739787300837</v>
      </c>
      <c r="W227" s="4" t="inlineStr">
        <is>
          <t>首贷_纯机</t>
        </is>
      </c>
    </row>
    <row r="228">
      <c r="A228" s="4" t="inlineStr">
        <is>
          <t>2026-05</t>
        </is>
      </c>
      <c r="B228" s="4" t="inlineStr">
        <is>
          <t>金条</t>
        </is>
      </c>
      <c r="C228" s="4" t="inlineStr">
        <is>
          <t>复贷</t>
        </is>
      </c>
      <c r="D228" s="4" t="inlineStr">
        <is>
          <t>纯机</t>
        </is>
      </c>
      <c r="E228" s="4" t="inlineStr">
        <is>
          <t>零犀</t>
        </is>
      </c>
      <c r="F228" s="4" t="inlineStr"/>
      <c r="G228" s="9" t="n">
        <v>1469885</v>
      </c>
      <c r="H228" s="9" t="n">
        <v>118609</v>
      </c>
      <c r="I228" s="11" t="n">
        <v>8.07</v>
      </c>
      <c r="J228" s="9" t="n">
        <v>3471763600</v>
      </c>
      <c r="K228" s="9" t="n">
        <v>29271</v>
      </c>
      <c r="L228" s="9" t="n">
        <v>170497</v>
      </c>
      <c r="M228" s="11" t="n">
        <v>0.36</v>
      </c>
      <c r="N228" s="23" t="n">
        <v>1.068</v>
      </c>
      <c r="O228" s="9" t="n">
        <v>533263</v>
      </c>
      <c r="P228" s="9" t="n">
        <v>362766</v>
      </c>
      <c r="Q228" s="9" t="n">
        <v>339668</v>
      </c>
      <c r="R228" s="6" t="n">
        <v>63.7</v>
      </c>
      <c r="S228" s="6" t="n">
        <v>32</v>
      </c>
      <c r="T228" s="5" t="n">
        <v>4.5</v>
      </c>
      <c r="U228" s="5" t="n">
        <v>2.9</v>
      </c>
      <c r="V228" s="24" t="n">
        <v>0.0002902511372990181</v>
      </c>
      <c r="W228" s="4" t="inlineStr">
        <is>
          <t>复贷_纯机</t>
        </is>
      </c>
    </row>
    <row r="229">
      <c r="A229" s="4" t="inlineStr">
        <is>
          <t>2026-05</t>
        </is>
      </c>
      <c r="B229" s="4" t="inlineStr">
        <is>
          <t>金条</t>
        </is>
      </c>
      <c r="C229" s="4" t="inlineStr">
        <is>
          <t>首贷</t>
        </is>
      </c>
      <c r="D229" s="4" t="inlineStr">
        <is>
          <t>人机</t>
        </is>
      </c>
      <c r="E229" s="4" t="inlineStr">
        <is>
          <t>零犀伽玛</t>
        </is>
      </c>
      <c r="F229" s="4" t="inlineStr"/>
      <c r="G229" s="9" t="n">
        <v>1736467</v>
      </c>
      <c r="H229" s="9" t="n">
        <v>4620</v>
      </c>
      <c r="I229" s="11" t="n">
        <v>0.27</v>
      </c>
      <c r="J229" s="9" t="n">
        <v>60547900</v>
      </c>
      <c r="K229" s="9" t="n">
        <v>13106</v>
      </c>
      <c r="L229" s="9" t="n">
        <v>197911</v>
      </c>
      <c r="M229" s="11" t="n">
        <v>0.07000000000000001</v>
      </c>
      <c r="N229" s="23" t="n">
        <v>1.068</v>
      </c>
      <c r="O229" s="9" t="n">
        <v>330882</v>
      </c>
      <c r="P229" s="9" t="n">
        <v>132971</v>
      </c>
      <c r="Q229" s="9" t="n">
        <v>124504</v>
      </c>
      <c r="R229" s="6" t="n">
        <v>37.6</v>
      </c>
      <c r="S229" s="6" t="n">
        <v>59.8</v>
      </c>
      <c r="T229" s="5" t="n">
        <v>71.59999999999999</v>
      </c>
      <c r="U229" s="5" t="n">
        <v>26.9</v>
      </c>
      <c r="V229" s="24" t="n">
        <v>0.03137327164584922</v>
      </c>
      <c r="W229" s="4" t="inlineStr">
        <is>
          <t>首贷_人机</t>
        </is>
      </c>
    </row>
    <row r="230">
      <c r="A230" s="4" t="inlineStr">
        <is>
          <t>2026-05</t>
        </is>
      </c>
      <c r="B230" s="4" t="inlineStr">
        <is>
          <t>金条</t>
        </is>
      </c>
      <c r="C230" s="4" t="inlineStr">
        <is>
          <t>复贷</t>
        </is>
      </c>
      <c r="D230" s="4" t="inlineStr">
        <is>
          <t>人机</t>
        </is>
      </c>
      <c r="E230" s="4" t="inlineStr">
        <is>
          <t>零犀岐力</t>
        </is>
      </c>
      <c r="F230" s="4" t="inlineStr"/>
      <c r="G230" s="9" t="n">
        <v>682974</v>
      </c>
      <c r="H230" s="9" t="n">
        <v>5319</v>
      </c>
      <c r="I230" s="11" t="n">
        <v>0.78</v>
      </c>
      <c r="J230" s="9" t="n">
        <v>185917200</v>
      </c>
      <c r="K230" s="9" t="n">
        <v>34953</v>
      </c>
      <c r="L230" s="9" t="n">
        <v>70880</v>
      </c>
      <c r="M230" s="11" t="n">
        <v>0.36</v>
      </c>
      <c r="N230" s="23" t="n">
        <v>1.068</v>
      </c>
      <c r="O230" s="9" t="n">
        <v>134797</v>
      </c>
      <c r="P230" s="9" t="n">
        <v>63917</v>
      </c>
      <c r="Q230" s="9" t="n">
        <v>59847</v>
      </c>
      <c r="R230" s="6" t="n">
        <v>44.4</v>
      </c>
      <c r="S230" s="6" t="n">
        <v>52.6</v>
      </c>
      <c r="T230" s="5" t="n">
        <v>25.3</v>
      </c>
      <c r="U230" s="5" t="n">
        <v>11.3</v>
      </c>
      <c r="V230" s="24" t="n">
        <v>0.0009549800783479001</v>
      </c>
      <c r="W230" s="4" t="inlineStr">
        <is>
          <t>复贷_人机</t>
        </is>
      </c>
    </row>
    <row r="231">
      <c r="A231" s="4" t="inlineStr">
        <is>
          <t>2026-05</t>
        </is>
      </c>
      <c r="B231" s="4" t="inlineStr">
        <is>
          <t>金条</t>
        </is>
      </c>
      <c r="C231" s="4" t="inlineStr">
        <is>
          <t>首贷</t>
        </is>
      </c>
      <c r="D231" s="4" t="inlineStr">
        <is>
          <t>人机</t>
        </is>
      </c>
      <c r="E231" s="4" t="inlineStr">
        <is>
          <t>零犀毅航</t>
        </is>
      </c>
      <c r="F231" s="4" t="inlineStr"/>
      <c r="G231" s="9" t="n">
        <v>4189115</v>
      </c>
      <c r="H231" s="9" t="n">
        <v>12058</v>
      </c>
      <c r="I231" s="11" t="n">
        <v>0.29</v>
      </c>
      <c r="J231" s="9" t="n">
        <v>206698300</v>
      </c>
      <c r="K231" s="9" t="n">
        <v>17142</v>
      </c>
      <c r="L231" s="9" t="n">
        <v>490088</v>
      </c>
      <c r="M231" s="11" t="n">
        <v>0.07000000000000001</v>
      </c>
      <c r="N231" s="23" t="n">
        <v>1.068</v>
      </c>
      <c r="O231" s="9" t="n">
        <v>1160244</v>
      </c>
      <c r="P231" s="9" t="n">
        <v>670156</v>
      </c>
      <c r="Q231" s="9" t="n">
        <v>627487</v>
      </c>
      <c r="R231" s="6" t="n">
        <v>54.1</v>
      </c>
      <c r="S231" s="6" t="n">
        <v>42.2</v>
      </c>
      <c r="T231" s="5" t="n">
        <v>96.2</v>
      </c>
      <c r="U231" s="5" t="n">
        <v>52</v>
      </c>
      <c r="V231" s="24" t="n">
        <v>0.04631705796737148</v>
      </c>
      <c r="W231" s="4" t="inlineStr">
        <is>
          <t>首贷_人机</t>
        </is>
      </c>
    </row>
    <row r="232">
      <c r="A232" s="4" t="inlineStr">
        <is>
          <t>2026-05</t>
        </is>
      </c>
      <c r="B232" s="4" t="inlineStr">
        <is>
          <t>金条</t>
        </is>
      </c>
      <c r="C232" s="4" t="inlineStr">
        <is>
          <t>首贷</t>
        </is>
      </c>
      <c r="D232" s="4" t="inlineStr">
        <is>
          <t>人机</t>
        </is>
      </c>
      <c r="E232" s="4" t="inlineStr">
        <is>
          <t>零犀毛毛虫</t>
        </is>
      </c>
      <c r="F232" s="4" t="inlineStr"/>
      <c r="G232" s="9" t="n">
        <v>1994659</v>
      </c>
      <c r="H232" s="9" t="n">
        <v>5685</v>
      </c>
      <c r="I232" s="11" t="n">
        <v>0.29</v>
      </c>
      <c r="J232" s="9" t="n">
        <v>71498600</v>
      </c>
      <c r="K232" s="9" t="n">
        <v>12577</v>
      </c>
      <c r="L232" s="9" t="n">
        <v>246528</v>
      </c>
      <c r="M232" s="11" t="n">
        <v>0.07000000000000001</v>
      </c>
      <c r="N232" s="23" t="n">
        <v>1.068</v>
      </c>
      <c r="O232" s="9" t="n">
        <v>396638</v>
      </c>
      <c r="P232" s="9" t="n">
        <v>150110</v>
      </c>
      <c r="Q232" s="9" t="n">
        <v>140553</v>
      </c>
      <c r="R232" s="6" t="n">
        <v>35.4</v>
      </c>
      <c r="S232" s="6" t="n">
        <v>62.2</v>
      </c>
      <c r="T232" s="5" t="n">
        <v>69.8</v>
      </c>
      <c r="U232" s="5" t="n">
        <v>24.7</v>
      </c>
      <c r="V232" s="24" t="n">
        <v>0.02999259525960747</v>
      </c>
      <c r="W232" s="4" t="inlineStr">
        <is>
          <t>首贷_人机</t>
        </is>
      </c>
    </row>
    <row r="233">
      <c r="A233" s="4" t="inlineStr">
        <is>
          <t>2026-05</t>
        </is>
      </c>
      <c r="B233" s="4" t="inlineStr">
        <is>
          <t>金条</t>
        </is>
      </c>
      <c r="C233" s="4" t="inlineStr">
        <is>
          <t>首贷</t>
        </is>
      </c>
      <c r="D233" s="4" t="inlineStr">
        <is>
          <t>人机</t>
        </is>
      </c>
      <c r="E233" s="4" t="inlineStr">
        <is>
          <t>零犀赛维斯</t>
        </is>
      </c>
      <c r="F233" s="4" t="inlineStr"/>
      <c r="G233" s="9" t="n">
        <v>1582614</v>
      </c>
      <c r="H233" s="9" t="n">
        <v>4470</v>
      </c>
      <c r="I233" s="11" t="n">
        <v>0.28</v>
      </c>
      <c r="J233" s="9" t="n">
        <v>57706600</v>
      </c>
      <c r="K233" s="9" t="n">
        <v>12910</v>
      </c>
      <c r="L233" s="9" t="n">
        <v>196911</v>
      </c>
      <c r="M233" s="11" t="n">
        <v>0.07000000000000001</v>
      </c>
      <c r="N233" s="23" t="n">
        <v>1.068</v>
      </c>
      <c r="O233" s="9" t="n">
        <v>321644</v>
      </c>
      <c r="P233" s="9" t="n">
        <v>124733</v>
      </c>
      <c r="Q233" s="9" t="n">
        <v>116791</v>
      </c>
      <c r="R233" s="6" t="n">
        <v>36.3</v>
      </c>
      <c r="S233" s="6" t="n">
        <v>61.2</v>
      </c>
      <c r="T233" s="5" t="n">
        <v>72</v>
      </c>
      <c r="U233" s="5" t="n">
        <v>26.1</v>
      </c>
      <c r="V233" s="24" t="n">
        <v>0.03087861700394755</v>
      </c>
      <c r="W233" s="4" t="inlineStr">
        <is>
          <t>首贷_人机</t>
        </is>
      </c>
    </row>
    <row r="234">
      <c r="A234" s="4" t="inlineStr">
        <is>
          <t>2026-06</t>
        </is>
      </c>
      <c r="B234" s="4" t="inlineStr">
        <is>
          <t>金条</t>
        </is>
      </c>
      <c r="C234" s="4" t="inlineStr">
        <is>
          <t>首贷</t>
        </is>
      </c>
      <c r="D234" s="4" t="inlineStr">
        <is>
          <t>人工</t>
        </is>
      </c>
      <c r="E234" s="4" t="inlineStr">
        <is>
          <t>人和</t>
        </is>
      </c>
      <c r="F234" s="4" t="inlineStr"/>
      <c r="G234" s="9" t="n">
        <v>5006</v>
      </c>
      <c r="H234" s="9" t="n">
        <v>44</v>
      </c>
      <c r="I234" s="11" t="n">
        <v>0.88</v>
      </c>
      <c r="J234" s="9" t="n">
        <v>2965400</v>
      </c>
      <c r="K234" s="9" t="n">
        <v>67395</v>
      </c>
      <c r="L234" s="9" t="n">
        <v>896</v>
      </c>
      <c r="M234" s="11" t="n">
        <v>0.07000000000000001</v>
      </c>
      <c r="N234" s="23" t="n">
        <v>1.068</v>
      </c>
      <c r="O234" s="9" t="n">
        <v>12501</v>
      </c>
      <c r="P234" s="9" t="n">
        <v>11605</v>
      </c>
      <c r="Q234" s="9" t="n">
        <v>10867</v>
      </c>
      <c r="R234" s="6" t="n">
        <v>86.90000000000001</v>
      </c>
      <c r="S234" s="6" t="n">
        <v>7.2</v>
      </c>
      <c r="T234" s="5" t="n">
        <v>284.1</v>
      </c>
      <c r="U234" s="5" t="n">
        <v>247</v>
      </c>
      <c r="V234" s="24" t="n">
        <v>0.05590669531453236</v>
      </c>
      <c r="W234" s="4" t="inlineStr">
        <is>
          <t>首贷_人工</t>
        </is>
      </c>
    </row>
    <row r="235">
      <c r="A235" s="4" t="inlineStr">
        <is>
          <t>2026-06</t>
        </is>
      </c>
      <c r="B235" s="4" t="inlineStr">
        <is>
          <t>金条</t>
        </is>
      </c>
      <c r="C235" s="4" t="inlineStr">
        <is>
          <t>复贷</t>
        </is>
      </c>
      <c r="D235" s="4" t="inlineStr">
        <is>
          <t>人工</t>
        </is>
      </c>
      <c r="E235" s="4" t="inlineStr">
        <is>
          <t>人和</t>
        </is>
      </c>
      <c r="F235" s="4" t="inlineStr"/>
      <c r="G235" s="9" t="n">
        <v>6538</v>
      </c>
      <c r="H235" s="9" t="n">
        <v>444</v>
      </c>
      <c r="I235" s="11" t="n">
        <v>6.79</v>
      </c>
      <c r="J235" s="9" t="n">
        <v>14328800</v>
      </c>
      <c r="K235" s="9" t="n">
        <v>32272</v>
      </c>
      <c r="L235" s="9" t="n">
        <v>940</v>
      </c>
      <c r="M235" s="11" t="n">
        <v>0.36</v>
      </c>
      <c r="N235" s="23" t="n">
        <v>1.068</v>
      </c>
      <c r="O235" s="9" t="n">
        <v>17051</v>
      </c>
      <c r="P235" s="9" t="n">
        <v>16111</v>
      </c>
      <c r="Q235" s="9" t="n">
        <v>15085</v>
      </c>
      <c r="R235" s="6" t="n">
        <v>88.5</v>
      </c>
      <c r="S235" s="6" t="n">
        <v>5.5</v>
      </c>
      <c r="T235" s="5" t="n">
        <v>38.4</v>
      </c>
      <c r="U235" s="5" t="n">
        <v>34</v>
      </c>
      <c r="V235" s="24" t="n">
        <v>0.003123274648105758</v>
      </c>
      <c r="W235" s="4" t="inlineStr">
        <is>
          <t>复贷_人工</t>
        </is>
      </c>
    </row>
    <row r="236">
      <c r="A236" s="4" t="inlineStr">
        <is>
          <t>2026-06</t>
        </is>
      </c>
      <c r="B236" s="4" t="inlineStr">
        <is>
          <t>金条</t>
        </is>
      </c>
      <c r="C236" s="4" t="inlineStr">
        <is>
          <t>首贷</t>
        </is>
      </c>
      <c r="D236" s="4" t="inlineStr">
        <is>
          <t>人工</t>
        </is>
      </c>
      <c r="E236" s="4" t="inlineStr">
        <is>
          <t>伽玛</t>
        </is>
      </c>
      <c r="F236" s="4" t="inlineStr"/>
      <c r="G236" s="9" t="n">
        <v>17319</v>
      </c>
      <c r="H236" s="9" t="n">
        <v>164</v>
      </c>
      <c r="I236" s="11" t="n">
        <v>0.95</v>
      </c>
      <c r="J236" s="9" t="n">
        <v>9022300</v>
      </c>
      <c r="K236" s="9" t="n">
        <v>55014</v>
      </c>
      <c r="L236" s="9" t="n">
        <v>2710</v>
      </c>
      <c r="M236" s="11" t="n">
        <v>0.07000000000000001</v>
      </c>
      <c r="N236" s="23" t="n">
        <v>1.068</v>
      </c>
      <c r="O236" s="9" t="n">
        <v>41417</v>
      </c>
      <c r="P236" s="9" t="n">
        <v>38707</v>
      </c>
      <c r="Q236" s="9" t="n">
        <v>36242</v>
      </c>
      <c r="R236" s="6" t="n">
        <v>87.5</v>
      </c>
      <c r="S236" s="6" t="n">
        <v>6.5</v>
      </c>
      <c r="T236" s="5" t="n">
        <v>252.5</v>
      </c>
      <c r="U236" s="5" t="n">
        <v>221</v>
      </c>
      <c r="V236" s="24" t="n">
        <v>0.06128782492902506</v>
      </c>
      <c r="W236" s="4" t="inlineStr">
        <is>
          <t>首贷_人工</t>
        </is>
      </c>
    </row>
    <row r="237">
      <c r="A237" s="4" t="inlineStr">
        <is>
          <t>2026-06</t>
        </is>
      </c>
      <c r="B237" s="4" t="inlineStr">
        <is>
          <t>金条</t>
        </is>
      </c>
      <c r="C237" s="4" t="inlineStr">
        <is>
          <t>复贷</t>
        </is>
      </c>
      <c r="D237" s="4" t="inlineStr">
        <is>
          <t>人工</t>
        </is>
      </c>
      <c r="E237" s="4" t="inlineStr">
        <is>
          <t>伽玛</t>
        </is>
      </c>
      <c r="F237" s="4" t="inlineStr"/>
      <c r="G237" s="9" t="n">
        <v>25175</v>
      </c>
      <c r="H237" s="9" t="n">
        <v>1964</v>
      </c>
      <c r="I237" s="11" t="n">
        <v>7.8</v>
      </c>
      <c r="J237" s="9" t="n">
        <v>54087500</v>
      </c>
      <c r="K237" s="9" t="n">
        <v>27539</v>
      </c>
      <c r="L237" s="9" t="n">
        <v>4407</v>
      </c>
      <c r="M237" s="11" t="n">
        <v>0.36</v>
      </c>
      <c r="N237" s="23" t="n">
        <v>1.068</v>
      </c>
      <c r="O237" s="9" t="n">
        <v>63090</v>
      </c>
      <c r="P237" s="9" t="n">
        <v>58683</v>
      </c>
      <c r="Q237" s="9" t="n">
        <v>54947</v>
      </c>
      <c r="R237" s="6" t="n">
        <v>87.09999999999999</v>
      </c>
      <c r="S237" s="6" t="n">
        <v>7</v>
      </c>
      <c r="T237" s="5" t="n">
        <v>32.1</v>
      </c>
      <c r="U237" s="5" t="n">
        <v>28</v>
      </c>
      <c r="V237" s="24" t="n">
        <v>0.003013789384485017</v>
      </c>
      <c r="W237" s="4" t="inlineStr">
        <is>
          <t>复贷_人工</t>
        </is>
      </c>
    </row>
    <row r="238">
      <c r="A238" s="4" t="inlineStr">
        <is>
          <t>2026-06</t>
        </is>
      </c>
      <c r="B238" s="4" t="inlineStr">
        <is>
          <t>金条</t>
        </is>
      </c>
      <c r="C238" s="4" t="inlineStr">
        <is>
          <t>首贷</t>
        </is>
      </c>
      <c r="D238" s="4" t="inlineStr">
        <is>
          <t>人工</t>
        </is>
      </c>
      <c r="E238" s="4" t="inlineStr">
        <is>
          <t>华啸</t>
        </is>
      </c>
      <c r="F238" s="4" t="inlineStr"/>
      <c r="G238" s="9" t="n">
        <v>938</v>
      </c>
      <c r="H238" s="9" t="n">
        <v>7</v>
      </c>
      <c r="I238" s="11" t="n">
        <v>0.75</v>
      </c>
      <c r="J238" s="9" t="n">
        <v>497600</v>
      </c>
      <c r="K238" s="9" t="n">
        <v>71086</v>
      </c>
      <c r="L238" s="9" t="n">
        <v>122</v>
      </c>
      <c r="M238" s="11" t="n">
        <v>0.07000000000000001</v>
      </c>
      <c r="N238" s="23" t="n">
        <v>1.068</v>
      </c>
      <c r="O238" s="9" t="n">
        <v>2041</v>
      </c>
      <c r="P238" s="9" t="n">
        <v>1919</v>
      </c>
      <c r="Q238" s="9" t="n">
        <v>1797</v>
      </c>
      <c r="R238" s="6" t="n">
        <v>88</v>
      </c>
      <c r="S238" s="6" t="n">
        <v>6</v>
      </c>
      <c r="T238" s="5" t="n">
        <v>291.6</v>
      </c>
      <c r="U238" s="5" t="n">
        <v>256.7</v>
      </c>
      <c r="V238" s="24" t="n">
        <v>0.05509301791456132</v>
      </c>
      <c r="W238" s="4" t="inlineStr">
        <is>
          <t>首贷_人工</t>
        </is>
      </c>
    </row>
    <row r="239">
      <c r="A239" s="4" t="inlineStr">
        <is>
          <t>2026-06</t>
        </is>
      </c>
      <c r="B239" s="4" t="inlineStr">
        <is>
          <t>金条</t>
        </is>
      </c>
      <c r="C239" s="4" t="inlineStr">
        <is>
          <t>复贷</t>
        </is>
      </c>
      <c r="D239" s="4" t="inlineStr">
        <is>
          <t>人工</t>
        </is>
      </c>
      <c r="E239" s="4" t="inlineStr">
        <is>
          <t>华啸</t>
        </is>
      </c>
      <c r="F239" s="4" t="inlineStr"/>
      <c r="G239" s="9" t="n">
        <v>10721</v>
      </c>
      <c r="H239" s="9" t="n">
        <v>840</v>
      </c>
      <c r="I239" s="11" t="n">
        <v>7.84</v>
      </c>
      <c r="J239" s="9" t="n">
        <v>24707400</v>
      </c>
      <c r="K239" s="9" t="n">
        <v>29414</v>
      </c>
      <c r="L239" s="9" t="n">
        <v>1656</v>
      </c>
      <c r="M239" s="11" t="n">
        <v>0.36</v>
      </c>
      <c r="N239" s="23" t="n">
        <v>1.068</v>
      </c>
      <c r="O239" s="9" t="n">
        <v>29263</v>
      </c>
      <c r="P239" s="9" t="n">
        <v>27607</v>
      </c>
      <c r="Q239" s="9" t="n">
        <v>25849</v>
      </c>
      <c r="R239" s="6" t="n">
        <v>88.3</v>
      </c>
      <c r="S239" s="6" t="n">
        <v>5.7</v>
      </c>
      <c r="T239" s="5" t="n">
        <v>34.8</v>
      </c>
      <c r="U239" s="5" t="n">
        <v>30.8</v>
      </c>
      <c r="V239" s="24" t="n">
        <v>0.003103770979994298</v>
      </c>
      <c r="W239" s="4" t="inlineStr">
        <is>
          <t>复贷_人工</t>
        </is>
      </c>
    </row>
    <row r="240">
      <c r="A240" s="4" t="inlineStr">
        <is>
          <t>2026-06</t>
        </is>
      </c>
      <c r="B240" s="4" t="inlineStr">
        <is>
          <t>金条</t>
        </is>
      </c>
      <c r="C240" s="4" t="inlineStr">
        <is>
          <t>首贷</t>
        </is>
      </c>
      <c r="D240" s="4" t="inlineStr">
        <is>
          <t>人工</t>
        </is>
      </c>
      <c r="E240" s="4" t="inlineStr">
        <is>
          <t>博岳石家庄</t>
        </is>
      </c>
      <c r="F240" s="4" t="inlineStr">
        <is>
          <t>石家庄</t>
        </is>
      </c>
      <c r="G240" s="9" t="n">
        <v>13708</v>
      </c>
      <c r="H240" s="9" t="n">
        <v>122</v>
      </c>
      <c r="I240" s="11" t="n">
        <v>0.89</v>
      </c>
      <c r="J240" s="9" t="n">
        <v>8437400</v>
      </c>
      <c r="K240" s="9" t="n">
        <v>69159</v>
      </c>
      <c r="L240" s="9" t="n">
        <v>1682</v>
      </c>
      <c r="M240" s="11" t="n">
        <v>0.07000000000000001</v>
      </c>
      <c r="N240" s="23" t="n">
        <v>1.068</v>
      </c>
      <c r="O240" s="9" t="n">
        <v>38870</v>
      </c>
      <c r="P240" s="9" t="n">
        <v>37188</v>
      </c>
      <c r="Q240" s="9" t="n">
        <v>34820</v>
      </c>
      <c r="R240" s="6" t="n">
        <v>89.59999999999999</v>
      </c>
      <c r="S240" s="6" t="n">
        <v>4.3</v>
      </c>
      <c r="T240" s="5" t="n">
        <v>318.6</v>
      </c>
      <c r="U240" s="5" t="n">
        <v>285.4</v>
      </c>
      <c r="V240" s="24" t="n">
        <v>0.06296455577039643</v>
      </c>
      <c r="W240" s="4" t="inlineStr">
        <is>
          <t>首贷_人工</t>
        </is>
      </c>
    </row>
    <row r="241">
      <c r="A241" s="4" t="inlineStr">
        <is>
          <t>2026-06</t>
        </is>
      </c>
      <c r="B241" s="4" t="inlineStr">
        <is>
          <t>金条</t>
        </is>
      </c>
      <c r="C241" s="4" t="inlineStr">
        <is>
          <t>复贷</t>
        </is>
      </c>
      <c r="D241" s="4" t="inlineStr">
        <is>
          <t>人工</t>
        </is>
      </c>
      <c r="E241" s="4" t="inlineStr">
        <is>
          <t>博岳石家庄</t>
        </is>
      </c>
      <c r="F241" s="4" t="inlineStr">
        <is>
          <t>石家庄</t>
        </is>
      </c>
      <c r="G241" s="9" t="n">
        <v>15952</v>
      </c>
      <c r="H241" s="9" t="n">
        <v>1086</v>
      </c>
      <c r="I241" s="11" t="n">
        <v>6.81</v>
      </c>
      <c r="J241" s="9" t="n">
        <v>28389900</v>
      </c>
      <c r="K241" s="9" t="n">
        <v>26142</v>
      </c>
      <c r="L241" s="9" t="n">
        <v>2314</v>
      </c>
      <c r="M241" s="11" t="n">
        <v>0.36</v>
      </c>
      <c r="N241" s="23" t="n">
        <v>1.068</v>
      </c>
      <c r="O241" s="9" t="n">
        <v>33019</v>
      </c>
      <c r="P241" s="9" t="n">
        <v>30705</v>
      </c>
      <c r="Q241" s="9" t="n">
        <v>28751</v>
      </c>
      <c r="R241" s="6" t="n">
        <v>87.09999999999999</v>
      </c>
      <c r="S241" s="6" t="n">
        <v>7</v>
      </c>
      <c r="T241" s="5" t="n">
        <v>30.4</v>
      </c>
      <c r="U241" s="5" t="n">
        <v>26.5</v>
      </c>
      <c r="V241" s="24" t="n">
        <v>0.003004296128787585</v>
      </c>
      <c r="W241" s="4" t="inlineStr">
        <is>
          <t>复贷_人工</t>
        </is>
      </c>
    </row>
    <row r="242">
      <c r="A242" s="4" t="inlineStr">
        <is>
          <t>2026-06</t>
        </is>
      </c>
      <c r="B242" s="4" t="inlineStr">
        <is>
          <t>金条</t>
        </is>
      </c>
      <c r="C242" s="4" t="inlineStr">
        <is>
          <t>首贷</t>
        </is>
      </c>
      <c r="D242" s="4" t="inlineStr">
        <is>
          <t>人机</t>
        </is>
      </c>
      <c r="E242" s="4" t="inlineStr">
        <is>
          <t>宿迁兆科</t>
        </is>
      </c>
      <c r="F242" s="4" t="inlineStr">
        <is>
          <t>宿迁</t>
        </is>
      </c>
      <c r="G242" s="9" t="n">
        <v>86342</v>
      </c>
      <c r="H242" s="9" t="n">
        <v>433</v>
      </c>
      <c r="I242" s="11" t="n">
        <v>0.5</v>
      </c>
      <c r="J242" s="9" t="n">
        <v>6827200</v>
      </c>
      <c r="K242" s="9" t="n">
        <v>15767</v>
      </c>
      <c r="L242" s="9" t="n">
        <v>15065</v>
      </c>
      <c r="M242" s="11" t="n">
        <v>0.07000000000000001</v>
      </c>
      <c r="N242" s="23" t="n">
        <v>1.068</v>
      </c>
      <c r="O242" s="9" t="n">
        <v>39172</v>
      </c>
      <c r="P242" s="9" t="n">
        <v>24107</v>
      </c>
      <c r="Q242" s="9" t="n">
        <v>22572</v>
      </c>
      <c r="R242" s="6" t="n">
        <v>57.6</v>
      </c>
      <c r="S242" s="6" t="n">
        <v>38.5</v>
      </c>
      <c r="T242" s="5" t="n">
        <v>90.5</v>
      </c>
      <c r="U242" s="5" t="n">
        <v>52.1</v>
      </c>
      <c r="V242" s="24" t="n">
        <v>0.05044318524222437</v>
      </c>
      <c r="W242" s="4" t="inlineStr">
        <is>
          <t>首贷_人机</t>
        </is>
      </c>
    </row>
    <row r="243">
      <c r="A243" s="4" t="inlineStr">
        <is>
          <t>2026-06</t>
        </is>
      </c>
      <c r="B243" s="4" t="inlineStr">
        <is>
          <t>金条</t>
        </is>
      </c>
      <c r="C243" s="4" t="inlineStr">
        <is>
          <t>首贷</t>
        </is>
      </c>
      <c r="D243" s="4" t="inlineStr">
        <is>
          <t>人工</t>
        </is>
      </c>
      <c r="E243" s="4" t="inlineStr">
        <is>
          <t>宿迁兆科</t>
        </is>
      </c>
      <c r="F243" s="4" t="inlineStr">
        <is>
          <t>宿迁</t>
        </is>
      </c>
      <c r="G243" s="9" t="n">
        <v>2892</v>
      </c>
      <c r="H243" s="9" t="n">
        <v>17</v>
      </c>
      <c r="I243" s="11" t="n">
        <v>0.59</v>
      </c>
      <c r="J243" s="9" t="n">
        <v>486200</v>
      </c>
      <c r="K243" s="9" t="n">
        <v>28600</v>
      </c>
      <c r="L243" s="9" t="n">
        <v>483</v>
      </c>
      <c r="M243" s="11" t="n">
        <v>0.07000000000000001</v>
      </c>
      <c r="N243" s="23" t="n">
        <v>1.068</v>
      </c>
      <c r="O243" s="9" t="n">
        <v>2066</v>
      </c>
      <c r="P243" s="9" t="n">
        <v>1583</v>
      </c>
      <c r="Q243" s="9" t="n">
        <v>1483</v>
      </c>
      <c r="R243" s="6" t="n">
        <v>71.8</v>
      </c>
      <c r="S243" s="6" t="n">
        <v>23.4</v>
      </c>
      <c r="T243" s="5" t="n">
        <v>121.5</v>
      </c>
      <c r="U243" s="5" t="n">
        <v>87.2</v>
      </c>
      <c r="V243" s="24" t="n">
        <v>0.04651231121819357</v>
      </c>
      <c r="W243" s="4" t="inlineStr">
        <is>
          <t>首贷_人工</t>
        </is>
      </c>
    </row>
    <row r="244">
      <c r="A244" s="4" t="inlineStr">
        <is>
          <t>2026-06</t>
        </is>
      </c>
      <c r="B244" s="4" t="inlineStr">
        <is>
          <t>金条</t>
        </is>
      </c>
      <c r="C244" s="4" t="inlineStr">
        <is>
          <t>复贷</t>
        </is>
      </c>
      <c r="D244" s="4" t="inlineStr">
        <is>
          <t>人工</t>
        </is>
      </c>
      <c r="E244" s="4" t="inlineStr">
        <is>
          <t>宿迁兆科</t>
        </is>
      </c>
      <c r="F244" s="4" t="inlineStr">
        <is>
          <t>宿迁</t>
        </is>
      </c>
      <c r="G244" s="9" t="n">
        <v>4686</v>
      </c>
      <c r="H244" s="9" t="n">
        <v>303</v>
      </c>
      <c r="I244" s="11" t="n">
        <v>6.47</v>
      </c>
      <c r="J244" s="9" t="n">
        <v>8475300</v>
      </c>
      <c r="K244" s="9" t="n">
        <v>27971</v>
      </c>
      <c r="L244" s="9" t="n">
        <v>602</v>
      </c>
      <c r="M244" s="11" t="n">
        <v>0.36</v>
      </c>
      <c r="N244" s="23" t="n">
        <v>1.068</v>
      </c>
      <c r="O244" s="9" t="n">
        <v>10451</v>
      </c>
      <c r="P244" s="9" t="n">
        <v>9849</v>
      </c>
      <c r="Q244" s="9" t="n">
        <v>9222</v>
      </c>
      <c r="R244" s="6" t="n">
        <v>88.2</v>
      </c>
      <c r="S244" s="6" t="n">
        <v>5.8</v>
      </c>
      <c r="T244" s="5" t="n">
        <v>34.5</v>
      </c>
      <c r="U244" s="5" t="n">
        <v>30.4</v>
      </c>
      <c r="V244" s="24" t="n">
        <v>0.003228007661479043</v>
      </c>
      <c r="W244" s="4" t="inlineStr">
        <is>
          <t>复贷_人工</t>
        </is>
      </c>
    </row>
    <row r="245">
      <c r="A245" s="4" t="inlineStr">
        <is>
          <t>2026-06</t>
        </is>
      </c>
      <c r="B245" s="4" t="inlineStr">
        <is>
          <t>金条</t>
        </is>
      </c>
      <c r="C245" s="4" t="inlineStr">
        <is>
          <t>首贷</t>
        </is>
      </c>
      <c r="D245" s="4" t="inlineStr">
        <is>
          <t>人工</t>
        </is>
      </c>
      <c r="E245" s="4" t="inlineStr">
        <is>
          <t>岐力</t>
        </is>
      </c>
      <c r="F245" s="4" t="inlineStr"/>
      <c r="G245" s="9" t="n">
        <v>1355</v>
      </c>
      <c r="H245" s="9" t="n">
        <v>12</v>
      </c>
      <c r="I245" s="11" t="n">
        <v>0.89</v>
      </c>
      <c r="J245" s="9" t="n">
        <v>240700</v>
      </c>
      <c r="K245" s="9" t="n">
        <v>20058</v>
      </c>
      <c r="L245" s="9" t="n">
        <v>223</v>
      </c>
      <c r="M245" s="11" t="n">
        <v>0.07000000000000001</v>
      </c>
      <c r="N245" s="23" t="n">
        <v>1.068</v>
      </c>
      <c r="O245" s="9" t="n">
        <v>1031</v>
      </c>
      <c r="P245" s="9" t="n">
        <v>808</v>
      </c>
      <c r="Q245" s="9" t="n">
        <v>756</v>
      </c>
      <c r="R245" s="6" t="n">
        <v>73.3</v>
      </c>
      <c r="S245" s="6" t="n">
        <v>21.6</v>
      </c>
      <c r="T245" s="5" t="n">
        <v>85.90000000000001</v>
      </c>
      <c r="U245" s="5" t="n">
        <v>63</v>
      </c>
      <c r="V245" s="24" t="n">
        <v>0.04795536827111401</v>
      </c>
      <c r="W245" s="4" t="inlineStr">
        <is>
          <t>首贷_人工</t>
        </is>
      </c>
    </row>
    <row r="246">
      <c r="A246" s="4" t="inlineStr">
        <is>
          <t>2026-06</t>
        </is>
      </c>
      <c r="B246" s="4" t="inlineStr">
        <is>
          <t>金条</t>
        </is>
      </c>
      <c r="C246" s="4" t="inlineStr">
        <is>
          <t>复贷</t>
        </is>
      </c>
      <c r="D246" s="4" t="inlineStr">
        <is>
          <t>人工</t>
        </is>
      </c>
      <c r="E246" s="4" t="inlineStr">
        <is>
          <t>岐力</t>
        </is>
      </c>
      <c r="F246" s="4" t="inlineStr"/>
      <c r="G246" s="9" t="n">
        <v>20221</v>
      </c>
      <c r="H246" s="9" t="n">
        <v>1466</v>
      </c>
      <c r="I246" s="11" t="n">
        <v>7.25</v>
      </c>
      <c r="J246" s="9" t="n">
        <v>37268700</v>
      </c>
      <c r="K246" s="9" t="n">
        <v>25422</v>
      </c>
      <c r="L246" s="9" t="n">
        <v>3617</v>
      </c>
      <c r="M246" s="11" t="n">
        <v>0.36</v>
      </c>
      <c r="N246" s="23" t="n">
        <v>1.068</v>
      </c>
      <c r="O246" s="9" t="n">
        <v>43872</v>
      </c>
      <c r="P246" s="9" t="n">
        <v>40255</v>
      </c>
      <c r="Q246" s="9" t="n">
        <v>37691</v>
      </c>
      <c r="R246" s="6" t="n">
        <v>85.90000000000001</v>
      </c>
      <c r="S246" s="6" t="n">
        <v>8.199999999999999</v>
      </c>
      <c r="T246" s="5" t="n">
        <v>29.9</v>
      </c>
      <c r="U246" s="5" t="n">
        <v>25.7</v>
      </c>
      <c r="V246" s="24" t="n">
        <v>0.003000358060368203</v>
      </c>
      <c r="W246" s="4" t="inlineStr">
        <is>
          <t>复贷_人工</t>
        </is>
      </c>
    </row>
    <row r="247">
      <c r="A247" s="4" t="inlineStr">
        <is>
          <t>2026-06</t>
        </is>
      </c>
      <c r="B247" s="4" t="inlineStr">
        <is>
          <t>金条</t>
        </is>
      </c>
      <c r="C247" s="4" t="inlineStr">
        <is>
          <t>首贷</t>
        </is>
      </c>
      <c r="D247" s="4" t="inlineStr">
        <is>
          <t>人工</t>
        </is>
      </c>
      <c r="E247" s="4" t="inlineStr">
        <is>
          <t>广达陕西</t>
        </is>
      </c>
      <c r="F247" s="4" t="inlineStr">
        <is>
          <t>陕西</t>
        </is>
      </c>
      <c r="G247" s="9" t="n">
        <v>6964</v>
      </c>
      <c r="H247" s="9" t="n">
        <v>40</v>
      </c>
      <c r="I247" s="11" t="n">
        <v>0.57</v>
      </c>
      <c r="J247" s="9" t="n">
        <v>2517800</v>
      </c>
      <c r="K247" s="9" t="n">
        <v>62945</v>
      </c>
      <c r="L247" s="9" t="n">
        <v>983</v>
      </c>
      <c r="M247" s="11" t="n">
        <v>0.07000000000000001</v>
      </c>
      <c r="N247" s="23" t="n">
        <v>1.068</v>
      </c>
      <c r="O247" s="9" t="n">
        <v>11429</v>
      </c>
      <c r="P247" s="9" t="n">
        <v>10446</v>
      </c>
      <c r="Q247" s="9" t="n">
        <v>9781</v>
      </c>
      <c r="R247" s="6" t="n">
        <v>85.59999999999999</v>
      </c>
      <c r="S247" s="6" t="n">
        <v>8.6</v>
      </c>
      <c r="T247" s="5" t="n">
        <v>285.7</v>
      </c>
      <c r="U247" s="5" t="n">
        <v>244.5</v>
      </c>
      <c r="V247" s="24" t="n">
        <v>0.05926943022820375</v>
      </c>
      <c r="W247" s="4" t="inlineStr">
        <is>
          <t>首贷_人工</t>
        </is>
      </c>
    </row>
    <row r="248">
      <c r="A248" s="4" t="inlineStr">
        <is>
          <t>2026-06</t>
        </is>
      </c>
      <c r="B248" s="4" t="inlineStr">
        <is>
          <t>金条</t>
        </is>
      </c>
      <c r="C248" s="4" t="inlineStr">
        <is>
          <t>复贷</t>
        </is>
      </c>
      <c r="D248" s="4" t="inlineStr">
        <is>
          <t>人工</t>
        </is>
      </c>
      <c r="E248" s="4" t="inlineStr">
        <is>
          <t>广达陕西</t>
        </is>
      </c>
      <c r="F248" s="4" t="inlineStr">
        <is>
          <t>陕西</t>
        </is>
      </c>
      <c r="G248" s="9" t="n">
        <v>7173</v>
      </c>
      <c r="H248" s="9" t="n">
        <v>548</v>
      </c>
      <c r="I248" s="11" t="n">
        <v>7.64</v>
      </c>
      <c r="J248" s="9" t="n">
        <v>13925700</v>
      </c>
      <c r="K248" s="9" t="n">
        <v>25412</v>
      </c>
      <c r="L248" s="9" t="n">
        <v>1360</v>
      </c>
      <c r="M248" s="11" t="n">
        <v>0.36</v>
      </c>
      <c r="N248" s="23" t="n">
        <v>1.068</v>
      </c>
      <c r="O248" s="9" t="n">
        <v>16251</v>
      </c>
      <c r="P248" s="9" t="n">
        <v>14891</v>
      </c>
      <c r="Q248" s="9" t="n">
        <v>13943</v>
      </c>
      <c r="R248" s="6" t="n">
        <v>85.8</v>
      </c>
      <c r="S248" s="6" t="n">
        <v>8.4</v>
      </c>
      <c r="T248" s="5" t="n">
        <v>29.7</v>
      </c>
      <c r="U248" s="5" t="n">
        <v>25.4</v>
      </c>
      <c r="V248" s="24" t="n">
        <v>0.002970327444142046</v>
      </c>
      <c r="W248" s="4" t="inlineStr">
        <is>
          <t>复贷_人工</t>
        </is>
      </c>
    </row>
    <row r="249">
      <c r="A249" s="4" t="inlineStr">
        <is>
          <t>2026-06</t>
        </is>
      </c>
      <c r="B249" s="4" t="inlineStr">
        <is>
          <t>金条</t>
        </is>
      </c>
      <c r="C249" s="4" t="inlineStr">
        <is>
          <t>首贷</t>
        </is>
      </c>
      <c r="D249" s="4" t="inlineStr">
        <is>
          <t>人工</t>
        </is>
      </c>
      <c r="E249" s="4" t="inlineStr">
        <is>
          <t>毅航合肥</t>
        </is>
      </c>
      <c r="F249" s="4" t="inlineStr">
        <is>
          <t>合肥</t>
        </is>
      </c>
      <c r="G249" s="9" t="n">
        <v>63352</v>
      </c>
      <c r="H249" s="9" t="n">
        <v>862</v>
      </c>
      <c r="I249" s="11" t="n">
        <v>1.36</v>
      </c>
      <c r="J249" s="9" t="n">
        <v>54074500</v>
      </c>
      <c r="K249" s="9" t="n">
        <v>62731</v>
      </c>
      <c r="L249" s="9" t="n">
        <v>11496</v>
      </c>
      <c r="M249" s="11" t="n">
        <v>0.07000000000000001</v>
      </c>
      <c r="N249" s="23" t="n">
        <v>1.068</v>
      </c>
      <c r="O249" s="9" t="n">
        <v>252528</v>
      </c>
      <c r="P249" s="9" t="n">
        <v>241032</v>
      </c>
      <c r="Q249" s="9" t="n">
        <v>225686</v>
      </c>
      <c r="R249" s="6" t="n">
        <v>89.40000000000001</v>
      </c>
      <c r="S249" s="6" t="n">
        <v>4.6</v>
      </c>
      <c r="T249" s="5" t="n">
        <v>293</v>
      </c>
      <c r="U249" s="5" t="n">
        <v>261.8</v>
      </c>
      <c r="V249" s="24" t="n">
        <v>0.06367722837408178</v>
      </c>
      <c r="W249" s="4" t="inlineStr">
        <is>
          <t>首贷_人工</t>
        </is>
      </c>
    </row>
    <row r="250">
      <c r="A250" s="4" t="inlineStr">
        <is>
          <t>2026-06</t>
        </is>
      </c>
      <c r="B250" s="4" t="inlineStr">
        <is>
          <t>金条</t>
        </is>
      </c>
      <c r="C250" s="4" t="inlineStr">
        <is>
          <t>复贷</t>
        </is>
      </c>
      <c r="D250" s="4" t="inlineStr">
        <is>
          <t>人工</t>
        </is>
      </c>
      <c r="E250" s="4" t="inlineStr">
        <is>
          <t>毅航合肥</t>
        </is>
      </c>
      <c r="F250" s="4" t="inlineStr">
        <is>
          <t>合肥</t>
        </is>
      </c>
      <c r="G250" s="9" t="n">
        <v>57036</v>
      </c>
      <c r="H250" s="9" t="n">
        <v>4574</v>
      </c>
      <c r="I250" s="11" t="n">
        <v>8.02</v>
      </c>
      <c r="J250" s="9" t="n">
        <v>133189600</v>
      </c>
      <c r="K250" s="9" t="n">
        <v>29119</v>
      </c>
      <c r="L250" s="9" t="n">
        <v>9996</v>
      </c>
      <c r="M250" s="11" t="n">
        <v>0.36</v>
      </c>
      <c r="N250" s="23" t="n">
        <v>1.068</v>
      </c>
      <c r="O250" s="9" t="n">
        <v>159210</v>
      </c>
      <c r="P250" s="9" t="n">
        <v>149214</v>
      </c>
      <c r="Q250" s="9" t="n">
        <v>139714</v>
      </c>
      <c r="R250" s="6" t="n">
        <v>87.8</v>
      </c>
      <c r="S250" s="6" t="n">
        <v>6.3</v>
      </c>
      <c r="T250" s="5" t="n">
        <v>34.8</v>
      </c>
      <c r="U250" s="5" t="n">
        <v>30.5</v>
      </c>
      <c r="V250" s="24" t="n">
        <v>0.003111979714131834</v>
      </c>
      <c r="W250" s="4" t="inlineStr">
        <is>
          <t>复贷_人工</t>
        </is>
      </c>
    </row>
    <row r="251">
      <c r="A251" s="4" t="inlineStr">
        <is>
          <t>2026-06</t>
        </is>
      </c>
      <c r="B251" s="4" t="inlineStr">
        <is>
          <t>金条</t>
        </is>
      </c>
      <c r="C251" s="4" t="inlineStr">
        <is>
          <t>首贷</t>
        </is>
      </c>
      <c r="D251" s="4" t="inlineStr">
        <is>
          <t>人工</t>
        </is>
      </c>
      <c r="E251" s="4" t="inlineStr">
        <is>
          <t>毛毛虫</t>
        </is>
      </c>
      <c r="F251" s="4" t="inlineStr"/>
      <c r="G251" s="9" t="n">
        <v>51533</v>
      </c>
      <c r="H251" s="9" t="n">
        <v>624</v>
      </c>
      <c r="I251" s="11" t="n">
        <v>1.21</v>
      </c>
      <c r="J251" s="9" t="n">
        <v>39677100</v>
      </c>
      <c r="K251" s="9" t="n">
        <v>63585</v>
      </c>
      <c r="L251" s="9" t="n">
        <v>7752</v>
      </c>
      <c r="M251" s="11" t="n">
        <v>0.07000000000000001</v>
      </c>
      <c r="N251" s="23" t="n">
        <v>1.068</v>
      </c>
      <c r="O251" s="9" t="n">
        <v>178422</v>
      </c>
      <c r="P251" s="9" t="n">
        <v>170670</v>
      </c>
      <c r="Q251" s="9" t="n">
        <v>159803</v>
      </c>
      <c r="R251" s="6" t="n">
        <v>89.59999999999999</v>
      </c>
      <c r="S251" s="6" t="n">
        <v>4.3</v>
      </c>
      <c r="T251" s="5" t="n">
        <v>285.9</v>
      </c>
      <c r="U251" s="5" t="n">
        <v>256.1</v>
      </c>
      <c r="V251" s="24" t="n">
        <v>0.06144962351439134</v>
      </c>
      <c r="W251" s="4" t="inlineStr">
        <is>
          <t>首贷_人工</t>
        </is>
      </c>
    </row>
    <row r="252">
      <c r="A252" s="4" t="inlineStr">
        <is>
          <t>2026-06</t>
        </is>
      </c>
      <c r="B252" s="4" t="inlineStr">
        <is>
          <t>金条</t>
        </is>
      </c>
      <c r="C252" s="4" t="inlineStr">
        <is>
          <t>复贷</t>
        </is>
      </c>
      <c r="D252" s="4" t="inlineStr">
        <is>
          <t>人工</t>
        </is>
      </c>
      <c r="E252" s="4" t="inlineStr">
        <is>
          <t>毛毛虫</t>
        </is>
      </c>
      <c r="F252" s="4" t="inlineStr"/>
      <c r="G252" s="9" t="n">
        <v>20657</v>
      </c>
      <c r="H252" s="9" t="n">
        <v>1619</v>
      </c>
      <c r="I252" s="11" t="n">
        <v>7.84</v>
      </c>
      <c r="J252" s="9" t="n">
        <v>45216900</v>
      </c>
      <c r="K252" s="9" t="n">
        <v>27929</v>
      </c>
      <c r="L252" s="9" t="n">
        <v>3065</v>
      </c>
      <c r="M252" s="11" t="n">
        <v>0.36</v>
      </c>
      <c r="N252" s="23" t="n">
        <v>1.068</v>
      </c>
      <c r="O252" s="9" t="n">
        <v>54308</v>
      </c>
      <c r="P252" s="9" t="n">
        <v>51243</v>
      </c>
      <c r="Q252" s="9" t="n">
        <v>47980</v>
      </c>
      <c r="R252" s="6" t="n">
        <v>88.3</v>
      </c>
      <c r="S252" s="6" t="n">
        <v>5.6</v>
      </c>
      <c r="T252" s="5" t="n">
        <v>33.5</v>
      </c>
      <c r="U252" s="5" t="n">
        <v>29.6</v>
      </c>
      <c r="V252" s="24" t="n">
        <v>0.003147974909086352</v>
      </c>
      <c r="W252" s="4" t="inlineStr">
        <is>
          <t>复贷_人工</t>
        </is>
      </c>
    </row>
    <row r="253">
      <c r="A253" s="4" t="inlineStr">
        <is>
          <t>2026-06</t>
        </is>
      </c>
      <c r="B253" s="4" t="inlineStr">
        <is>
          <t>金条</t>
        </is>
      </c>
      <c r="C253" s="4" t="inlineStr">
        <is>
          <t>首贷</t>
        </is>
      </c>
      <c r="D253" s="4" t="inlineStr">
        <is>
          <t>人工</t>
        </is>
      </c>
      <c r="E253" s="4" t="inlineStr">
        <is>
          <t>汇讯</t>
        </is>
      </c>
      <c r="F253" s="4" t="inlineStr"/>
      <c r="G253" s="9" t="n">
        <v>21143</v>
      </c>
      <c r="H253" s="9" t="n">
        <v>213</v>
      </c>
      <c r="I253" s="11" t="n">
        <v>1.01</v>
      </c>
      <c r="J253" s="9" t="n">
        <v>11979600</v>
      </c>
      <c r="K253" s="9" t="n">
        <v>56242</v>
      </c>
      <c r="L253" s="9" t="n">
        <v>3421</v>
      </c>
      <c r="M253" s="11" t="n">
        <v>0.07000000000000001</v>
      </c>
      <c r="N253" s="23" t="n">
        <v>1.068</v>
      </c>
      <c r="O253" s="9" t="n">
        <v>52999</v>
      </c>
      <c r="P253" s="9" t="n">
        <v>49578</v>
      </c>
      <c r="Q253" s="9" t="n">
        <v>46421</v>
      </c>
      <c r="R253" s="6" t="n">
        <v>87.59999999999999</v>
      </c>
      <c r="S253" s="6" t="n">
        <v>6.5</v>
      </c>
      <c r="T253" s="5" t="n">
        <v>248.8</v>
      </c>
      <c r="U253" s="5" t="n">
        <v>217.9</v>
      </c>
      <c r="V253" s="24" t="n">
        <v>0.05912193586239464</v>
      </c>
      <c r="W253" s="4" t="inlineStr">
        <is>
          <t>首贷_人工</t>
        </is>
      </c>
    </row>
    <row r="254">
      <c r="A254" s="4" t="inlineStr">
        <is>
          <t>2026-06</t>
        </is>
      </c>
      <c r="B254" s="4" t="inlineStr">
        <is>
          <t>金条</t>
        </is>
      </c>
      <c r="C254" s="4" t="inlineStr">
        <is>
          <t>复贷</t>
        </is>
      </c>
      <c r="D254" s="4" t="inlineStr">
        <is>
          <t>人工</t>
        </is>
      </c>
      <c r="E254" s="4" t="inlineStr">
        <is>
          <t>汇讯</t>
        </is>
      </c>
      <c r="F254" s="4" t="inlineStr"/>
      <c r="G254" s="9" t="n">
        <v>8495</v>
      </c>
      <c r="H254" s="9" t="n">
        <v>642</v>
      </c>
      <c r="I254" s="11" t="n">
        <v>7.56</v>
      </c>
      <c r="J254" s="9" t="n">
        <v>16647400</v>
      </c>
      <c r="K254" s="9" t="n">
        <v>25931</v>
      </c>
      <c r="L254" s="9" t="n">
        <v>1541</v>
      </c>
      <c r="M254" s="11" t="n">
        <v>0.36</v>
      </c>
      <c r="N254" s="23" t="n">
        <v>1.068</v>
      </c>
      <c r="O254" s="9" t="n">
        <v>19723</v>
      </c>
      <c r="P254" s="9" t="n">
        <v>18182</v>
      </c>
      <c r="Q254" s="9" t="n">
        <v>17024</v>
      </c>
      <c r="R254" s="6" t="n">
        <v>86.3</v>
      </c>
      <c r="S254" s="6" t="n">
        <v>7.8</v>
      </c>
      <c r="T254" s="5" t="n">
        <v>30.7</v>
      </c>
      <c r="U254" s="5" t="n">
        <v>26.5</v>
      </c>
      <c r="V254" s="24" t="n">
        <v>0.003033840452896882</v>
      </c>
      <c r="W254" s="4" t="inlineStr">
        <is>
          <t>复贷_人工</t>
        </is>
      </c>
    </row>
    <row r="255">
      <c r="A255" s="4" t="inlineStr">
        <is>
          <t>2026-06</t>
        </is>
      </c>
      <c r="B255" s="4" t="inlineStr">
        <is>
          <t>金条</t>
        </is>
      </c>
      <c r="C255" s="4" t="inlineStr">
        <is>
          <t>首贷</t>
        </is>
      </c>
      <c r="D255" s="4" t="inlineStr">
        <is>
          <t>人工</t>
        </is>
      </c>
      <c r="E255" s="4" t="inlineStr">
        <is>
          <t>翰锐曲靖</t>
        </is>
      </c>
      <c r="F255" s="4" t="inlineStr">
        <is>
          <t>曲靖</t>
        </is>
      </c>
      <c r="G255" s="9" t="n">
        <v>6049</v>
      </c>
      <c r="H255" s="9" t="n">
        <v>47</v>
      </c>
      <c r="I255" s="11" t="n">
        <v>0.78</v>
      </c>
      <c r="J255" s="9" t="n">
        <v>2061400</v>
      </c>
      <c r="K255" s="9" t="n">
        <v>43860</v>
      </c>
      <c r="L255" s="9" t="n">
        <v>896</v>
      </c>
      <c r="M255" s="11" t="n">
        <v>0.07000000000000001</v>
      </c>
      <c r="N255" s="23" t="n">
        <v>1.068</v>
      </c>
      <c r="O255" s="9" t="n">
        <v>9386</v>
      </c>
      <c r="P255" s="9" t="n">
        <v>8490</v>
      </c>
      <c r="Q255" s="9" t="n">
        <v>7950</v>
      </c>
      <c r="R255" s="6" t="n">
        <v>84.7</v>
      </c>
      <c r="S255" s="6" t="n">
        <v>9.5</v>
      </c>
      <c r="T255" s="5" t="n">
        <v>199.7</v>
      </c>
      <c r="U255" s="5" t="n">
        <v>169.1</v>
      </c>
      <c r="V255" s="24" t="n">
        <v>0.05883657431149427</v>
      </c>
      <c r="W255" s="4" t="inlineStr">
        <is>
          <t>首贷_人工</t>
        </is>
      </c>
    </row>
    <row r="256">
      <c r="A256" s="4" t="inlineStr">
        <is>
          <t>2026-06</t>
        </is>
      </c>
      <c r="B256" s="4" t="inlineStr">
        <is>
          <t>金条</t>
        </is>
      </c>
      <c r="C256" s="4" t="inlineStr">
        <is>
          <t>复贷</t>
        </is>
      </c>
      <c r="D256" s="4" t="inlineStr">
        <is>
          <t>人工</t>
        </is>
      </c>
      <c r="E256" s="4" t="inlineStr">
        <is>
          <t>翰锐曲靖</t>
        </is>
      </c>
      <c r="F256" s="4" t="inlineStr">
        <is>
          <t>曲靖</t>
        </is>
      </c>
      <c r="G256" s="9" t="n">
        <v>15694</v>
      </c>
      <c r="H256" s="9" t="n">
        <v>1197</v>
      </c>
      <c r="I256" s="11" t="n">
        <v>7.63</v>
      </c>
      <c r="J256" s="9" t="n">
        <v>36141000</v>
      </c>
      <c r="K256" s="9" t="n">
        <v>30193</v>
      </c>
      <c r="L256" s="9" t="n">
        <v>2483</v>
      </c>
      <c r="M256" s="11" t="n">
        <v>0.36</v>
      </c>
      <c r="N256" s="23" t="n">
        <v>1.068</v>
      </c>
      <c r="O256" s="9" t="n">
        <v>43237</v>
      </c>
      <c r="P256" s="9" t="n">
        <v>40754</v>
      </c>
      <c r="Q256" s="9" t="n">
        <v>38160</v>
      </c>
      <c r="R256" s="6" t="n">
        <v>88.3</v>
      </c>
      <c r="S256" s="6" t="n">
        <v>5.7</v>
      </c>
      <c r="T256" s="5" t="n">
        <v>36.1</v>
      </c>
      <c r="U256" s="5" t="n">
        <v>31.9</v>
      </c>
      <c r="V256" s="24" t="n">
        <v>0.003132330471087008</v>
      </c>
      <c r="W256" s="4" t="inlineStr">
        <is>
          <t>复贷_人工</t>
        </is>
      </c>
    </row>
    <row r="257">
      <c r="A257" s="4" t="inlineStr">
        <is>
          <t>2026-06</t>
        </is>
      </c>
      <c r="B257" s="4" t="inlineStr">
        <is>
          <t>金条</t>
        </is>
      </c>
      <c r="C257" s="4" t="inlineStr">
        <is>
          <t>首贷</t>
        </is>
      </c>
      <c r="D257" s="4" t="inlineStr">
        <is>
          <t>纯机</t>
        </is>
      </c>
      <c r="E257" s="4" t="inlineStr">
        <is>
          <t>言犀赛夫</t>
        </is>
      </c>
      <c r="F257" s="4" t="inlineStr"/>
      <c r="G257" s="9" t="n">
        <v>494000</v>
      </c>
      <c r="H257" s="9" t="n">
        <v>460</v>
      </c>
      <c r="I257" s="11" t="n">
        <v>0.09</v>
      </c>
      <c r="J257" s="9" t="n">
        <v>3935000</v>
      </c>
      <c r="K257" s="9" t="n">
        <v>8554</v>
      </c>
      <c r="L257" s="9" t="n">
        <v>61268</v>
      </c>
      <c r="M257" s="11" t="n">
        <v>0.07000000000000001</v>
      </c>
      <c r="N257" s="23" t="n">
        <v>1.068</v>
      </c>
      <c r="O257" s="9" t="n">
        <v>64170</v>
      </c>
      <c r="P257" s="9" t="n">
        <v>2902</v>
      </c>
      <c r="Q257" s="9" t="n">
        <v>2717</v>
      </c>
      <c r="R257" s="6" t="n">
        <v>4.2</v>
      </c>
      <c r="S257" s="6" t="n">
        <v>95.5</v>
      </c>
      <c r="T257" s="5" t="n">
        <v>139.5</v>
      </c>
      <c r="U257" s="5" t="n">
        <v>5.9</v>
      </c>
      <c r="V257" s="24" t="n">
        <v>0.01053548738428027</v>
      </c>
      <c r="W257" s="4" t="inlineStr">
        <is>
          <t>首贷_纯机</t>
        </is>
      </c>
    </row>
    <row r="258">
      <c r="A258" s="4" t="inlineStr">
        <is>
          <t>2026-06</t>
        </is>
      </c>
      <c r="B258" s="4" t="inlineStr">
        <is>
          <t>金条</t>
        </is>
      </c>
      <c r="C258" s="4" t="inlineStr">
        <is>
          <t>复贷</t>
        </is>
      </c>
      <c r="D258" s="4" t="inlineStr">
        <is>
          <t>纯机</t>
        </is>
      </c>
      <c r="E258" s="4" t="inlineStr">
        <is>
          <t>言犀赛夫</t>
        </is>
      </c>
      <c r="F258" s="4" t="inlineStr"/>
      <c r="G258" s="9" t="n">
        <v>63776</v>
      </c>
      <c r="H258" s="9" t="n">
        <v>4813</v>
      </c>
      <c r="I258" s="11" t="n">
        <v>7.55</v>
      </c>
      <c r="J258" s="9" t="n">
        <v>121321300</v>
      </c>
      <c r="K258" s="9" t="n">
        <v>25207</v>
      </c>
      <c r="L258" s="9" t="n">
        <v>5636</v>
      </c>
      <c r="M258" s="11" t="n">
        <v>0.36</v>
      </c>
      <c r="N258" s="23" t="n">
        <v>1.068</v>
      </c>
      <c r="O258" s="9" t="n">
        <v>18635</v>
      </c>
      <c r="P258" s="9" t="n">
        <v>12999</v>
      </c>
      <c r="Q258" s="9" t="n">
        <v>12171</v>
      </c>
      <c r="R258" s="6" t="n">
        <v>65.3</v>
      </c>
      <c r="S258" s="6" t="n">
        <v>30.2</v>
      </c>
      <c r="T258" s="5" t="n">
        <v>3.9</v>
      </c>
      <c r="U258" s="5" t="n">
        <v>2.5</v>
      </c>
      <c r="V258" s="24" t="n">
        <v>0.0002976256711173828</v>
      </c>
      <c r="W258" s="4" t="inlineStr">
        <is>
          <t>复贷_纯机</t>
        </is>
      </c>
    </row>
    <row r="259">
      <c r="A259" s="4" t="inlineStr">
        <is>
          <t>2026-06</t>
        </is>
      </c>
      <c r="B259" s="4" t="inlineStr">
        <is>
          <t>金条</t>
        </is>
      </c>
      <c r="C259" s="4" t="inlineStr">
        <is>
          <t>首贷</t>
        </is>
      </c>
      <c r="D259" s="4" t="inlineStr">
        <is>
          <t>人机</t>
        </is>
      </c>
      <c r="E259" s="4" t="inlineStr">
        <is>
          <t>赛维斯</t>
        </is>
      </c>
      <c r="F259" s="4" t="inlineStr"/>
      <c r="G259" s="9" t="n">
        <v>149470</v>
      </c>
      <c r="H259" s="9" t="n">
        <v>547</v>
      </c>
      <c r="I259" s="11" t="n">
        <v>0.37</v>
      </c>
      <c r="J259" s="9" t="n">
        <v>7627300</v>
      </c>
      <c r="K259" s="9" t="n">
        <v>13944</v>
      </c>
      <c r="L259" s="9" t="n">
        <v>20655</v>
      </c>
      <c r="M259" s="11" t="n">
        <v>0.07000000000000001</v>
      </c>
      <c r="N259" s="23" t="n">
        <v>1.068</v>
      </c>
      <c r="O259" s="9" t="n">
        <v>40428</v>
      </c>
      <c r="P259" s="9" t="n">
        <v>19773</v>
      </c>
      <c r="Q259" s="9" t="n">
        <v>18514</v>
      </c>
      <c r="R259" s="6" t="n">
        <v>45.8</v>
      </c>
      <c r="S259" s="6" t="n">
        <v>51.1</v>
      </c>
      <c r="T259" s="5" t="n">
        <v>73.90000000000001</v>
      </c>
      <c r="U259" s="5" t="n">
        <v>33.8</v>
      </c>
      <c r="V259" s="24" t="n">
        <v>0.03703426226468456</v>
      </c>
      <c r="W259" s="4" t="inlineStr">
        <is>
          <t>首贷_人机</t>
        </is>
      </c>
    </row>
    <row r="260">
      <c r="A260" s="4" t="inlineStr">
        <is>
          <t>2026-06</t>
        </is>
      </c>
      <c r="B260" s="4" t="inlineStr">
        <is>
          <t>金条</t>
        </is>
      </c>
      <c r="C260" s="4" t="inlineStr">
        <is>
          <t>复贷</t>
        </is>
      </c>
      <c r="D260" s="4" t="inlineStr">
        <is>
          <t>人机</t>
        </is>
      </c>
      <c r="E260" s="4" t="inlineStr">
        <is>
          <t>赛维斯</t>
        </is>
      </c>
      <c r="F260" s="4" t="inlineStr"/>
      <c r="G260" s="9" t="n">
        <v>74053</v>
      </c>
      <c r="H260" s="9" t="n">
        <v>906</v>
      </c>
      <c r="I260" s="11" t="n">
        <v>1.22</v>
      </c>
      <c r="J260" s="9" t="n">
        <v>25475500</v>
      </c>
      <c r="K260" s="9" t="n">
        <v>28119</v>
      </c>
      <c r="L260" s="9" t="n">
        <v>8455</v>
      </c>
      <c r="M260" s="11" t="n">
        <v>0.36</v>
      </c>
      <c r="N260" s="23" t="n">
        <v>1.068</v>
      </c>
      <c r="O260" s="9" t="n">
        <v>18653</v>
      </c>
      <c r="P260" s="9" t="n">
        <v>10198</v>
      </c>
      <c r="Q260" s="9" t="n">
        <v>9549</v>
      </c>
      <c r="R260" s="6" t="n">
        <v>51.2</v>
      </c>
      <c r="S260" s="6" t="n">
        <v>45.3</v>
      </c>
      <c r="T260" s="5" t="n">
        <v>20.6</v>
      </c>
      <c r="U260" s="5" t="n">
        <v>10.5</v>
      </c>
      <c r="V260" s="24" t="n">
        <v>0.001111961601451503</v>
      </c>
      <c r="W260" s="4" t="inlineStr">
        <is>
          <t>复贷_人机</t>
        </is>
      </c>
    </row>
    <row r="261">
      <c r="A261" s="4" t="inlineStr">
        <is>
          <t>2026-06</t>
        </is>
      </c>
      <c r="B261" s="4" t="inlineStr">
        <is>
          <t>金条</t>
        </is>
      </c>
      <c r="C261" s="4" t="inlineStr">
        <is>
          <t>首贷</t>
        </is>
      </c>
      <c r="D261" s="4" t="inlineStr">
        <is>
          <t>人工</t>
        </is>
      </c>
      <c r="E261" s="4" t="inlineStr">
        <is>
          <t>赛维斯</t>
        </is>
      </c>
      <c r="F261" s="4" t="inlineStr"/>
      <c r="G261" s="9" t="n">
        <v>18399</v>
      </c>
      <c r="H261" s="9" t="n">
        <v>190</v>
      </c>
      <c r="I261" s="11" t="n">
        <v>1.03</v>
      </c>
      <c r="J261" s="9" t="n">
        <v>10145300</v>
      </c>
      <c r="K261" s="9" t="n">
        <v>53396</v>
      </c>
      <c r="L261" s="9" t="n">
        <v>2919</v>
      </c>
      <c r="M261" s="11" t="n">
        <v>0.07000000000000001</v>
      </c>
      <c r="N261" s="23" t="n">
        <v>1.068</v>
      </c>
      <c r="O261" s="9" t="n">
        <v>49330</v>
      </c>
      <c r="P261" s="9" t="n">
        <v>46411</v>
      </c>
      <c r="Q261" s="9" t="n">
        <v>43456</v>
      </c>
      <c r="R261" s="6" t="n">
        <v>88.09999999999999</v>
      </c>
      <c r="S261" s="6" t="n">
        <v>5.9</v>
      </c>
      <c r="T261" s="5" t="n">
        <v>259.6</v>
      </c>
      <c r="U261" s="5" t="n">
        <v>228.7</v>
      </c>
      <c r="V261" s="24" t="n">
        <v>0.06535186595904366</v>
      </c>
      <c r="W261" s="4" t="inlineStr">
        <is>
          <t>首贷_人工</t>
        </is>
      </c>
    </row>
    <row r="262">
      <c r="A262" s="4" t="inlineStr">
        <is>
          <t>2026-06</t>
        </is>
      </c>
      <c r="B262" s="4" t="inlineStr">
        <is>
          <t>金条</t>
        </is>
      </c>
      <c r="C262" s="4" t="inlineStr">
        <is>
          <t>复贷</t>
        </is>
      </c>
      <c r="D262" s="4" t="inlineStr">
        <is>
          <t>人工</t>
        </is>
      </c>
      <c r="E262" s="4" t="inlineStr">
        <is>
          <t>赛维斯</t>
        </is>
      </c>
      <c r="F262" s="4" t="inlineStr"/>
      <c r="G262" s="9" t="n">
        <v>29705</v>
      </c>
      <c r="H262" s="9" t="n">
        <v>2194</v>
      </c>
      <c r="I262" s="11" t="n">
        <v>7.39</v>
      </c>
      <c r="J262" s="9" t="n">
        <v>52731100</v>
      </c>
      <c r="K262" s="9" t="n">
        <v>24034</v>
      </c>
      <c r="L262" s="9" t="n">
        <v>3884</v>
      </c>
      <c r="M262" s="11" t="n">
        <v>0.36</v>
      </c>
      <c r="N262" s="23" t="n">
        <v>1.068</v>
      </c>
      <c r="O262" s="9" t="n">
        <v>62365</v>
      </c>
      <c r="P262" s="9" t="n">
        <v>58481</v>
      </c>
      <c r="Q262" s="9" t="n">
        <v>54758</v>
      </c>
      <c r="R262" s="6" t="n">
        <v>87.8</v>
      </c>
      <c r="S262" s="6" t="n">
        <v>6.2</v>
      </c>
      <c r="T262" s="5" t="n">
        <v>28.4</v>
      </c>
      <c r="U262" s="5" t="n">
        <v>25</v>
      </c>
      <c r="V262" s="24" t="n">
        <v>0.003080671979576042</v>
      </c>
      <c r="W262" s="4" t="inlineStr">
        <is>
          <t>复贷_人工</t>
        </is>
      </c>
    </row>
    <row r="263">
      <c r="A263" s="4" t="inlineStr">
        <is>
          <t>2026-06</t>
        </is>
      </c>
      <c r="B263" s="4" t="inlineStr">
        <is>
          <t>金条</t>
        </is>
      </c>
      <c r="C263" s="4" t="inlineStr">
        <is>
          <t>首贷</t>
        </is>
      </c>
      <c r="D263" s="4" t="inlineStr">
        <is>
          <t>人机</t>
        </is>
      </c>
      <c r="E263" s="4" t="inlineStr">
        <is>
          <t>零犀</t>
        </is>
      </c>
      <c r="F263" s="4" t="inlineStr"/>
      <c r="G263" s="9" t="n">
        <v>670101</v>
      </c>
      <c r="H263" s="9" t="n">
        <v>2611</v>
      </c>
      <c r="I263" s="11" t="n">
        <v>0.39</v>
      </c>
      <c r="J263" s="9" t="n">
        <v>41320300</v>
      </c>
      <c r="K263" s="9" t="n">
        <v>15825</v>
      </c>
      <c r="L263" s="9" t="n">
        <v>72122</v>
      </c>
      <c r="M263" s="11" t="n">
        <v>0.07000000000000001</v>
      </c>
      <c r="N263" s="23" t="n">
        <v>1.068</v>
      </c>
      <c r="O263" s="9" t="n">
        <v>220258</v>
      </c>
      <c r="P263" s="9" t="n">
        <v>148136</v>
      </c>
      <c r="Q263" s="9" t="n">
        <v>138704</v>
      </c>
      <c r="R263" s="6" t="n">
        <v>63</v>
      </c>
      <c r="S263" s="6" t="n">
        <v>32.7</v>
      </c>
      <c r="T263" s="5" t="n">
        <v>84.40000000000001</v>
      </c>
      <c r="U263" s="5" t="n">
        <v>53.1</v>
      </c>
      <c r="V263" s="24" t="n">
        <v>0.05121522765876751</v>
      </c>
      <c r="W263" s="4" t="inlineStr">
        <is>
          <t>首贷_人机</t>
        </is>
      </c>
    </row>
    <row r="264">
      <c r="A264" s="4" t="inlineStr">
        <is>
          <t>2026-06</t>
        </is>
      </c>
      <c r="B264" s="4" t="inlineStr">
        <is>
          <t>金条</t>
        </is>
      </c>
      <c r="C264" s="4" t="inlineStr">
        <is>
          <t>复贷</t>
        </is>
      </c>
      <c r="D264" s="4" t="inlineStr">
        <is>
          <t>人机</t>
        </is>
      </c>
      <c r="E264" s="4" t="inlineStr">
        <is>
          <t>零犀</t>
        </is>
      </c>
      <c r="F264" s="4" t="inlineStr"/>
      <c r="G264" s="9" t="n">
        <v>135772</v>
      </c>
      <c r="H264" s="9" t="n">
        <v>1665</v>
      </c>
      <c r="I264" s="11" t="n">
        <v>1.23</v>
      </c>
      <c r="J264" s="9" t="n">
        <v>59526300</v>
      </c>
      <c r="K264" s="9" t="n">
        <v>35752</v>
      </c>
      <c r="L264" s="9" t="n">
        <v>14270</v>
      </c>
      <c r="M264" s="11" t="n">
        <v>0.36</v>
      </c>
      <c r="N264" s="23" t="n">
        <v>1.068</v>
      </c>
      <c r="O264" s="9" t="n">
        <v>44671</v>
      </c>
      <c r="P264" s="9" t="n">
        <v>30401</v>
      </c>
      <c r="Q264" s="9" t="n">
        <v>28465</v>
      </c>
      <c r="R264" s="6" t="n">
        <v>63.7</v>
      </c>
      <c r="S264" s="6" t="n">
        <v>31.9</v>
      </c>
      <c r="T264" s="5" t="n">
        <v>26.8</v>
      </c>
      <c r="U264" s="5" t="n">
        <v>17.1</v>
      </c>
      <c r="V264" s="24" t="n">
        <v>0.001418653976850942</v>
      </c>
      <c r="W264" s="4" t="inlineStr">
        <is>
          <t>复贷_人机</t>
        </is>
      </c>
    </row>
    <row r="265">
      <c r="A265" s="4" t="inlineStr">
        <is>
          <t>2026-06</t>
        </is>
      </c>
      <c r="B265" s="4" t="inlineStr">
        <is>
          <t>金条</t>
        </is>
      </c>
      <c r="C265" s="4" t="inlineStr">
        <is>
          <t>首贷</t>
        </is>
      </c>
      <c r="D265" s="4" t="inlineStr">
        <is>
          <t>纯机</t>
        </is>
      </c>
      <c r="E265" s="4" t="inlineStr">
        <is>
          <t>零犀</t>
        </is>
      </c>
      <c r="F265" s="4" t="inlineStr"/>
      <c r="G265" s="9" t="n">
        <v>1106000</v>
      </c>
      <c r="H265" s="9" t="n">
        <v>1244</v>
      </c>
      <c r="I265" s="11" t="n">
        <v>0.11</v>
      </c>
      <c r="J265" s="9" t="n">
        <v>14356600</v>
      </c>
      <c r="K265" s="9" t="n">
        <v>11541</v>
      </c>
      <c r="L265" s="9" t="n">
        <v>144079</v>
      </c>
      <c r="M265" s="11" t="n">
        <v>0.07000000000000001</v>
      </c>
      <c r="N265" s="23" t="n">
        <v>1.068</v>
      </c>
      <c r="O265" s="9" t="n">
        <v>173538</v>
      </c>
      <c r="P265" s="9" t="n">
        <v>29459</v>
      </c>
      <c r="Q265" s="9" t="n">
        <v>27584</v>
      </c>
      <c r="R265" s="6" t="n">
        <v>15.9</v>
      </c>
      <c r="S265" s="6" t="n">
        <v>83</v>
      </c>
      <c r="T265" s="5" t="n">
        <v>139.5</v>
      </c>
      <c r="U265" s="5" t="n">
        <v>22.2</v>
      </c>
      <c r="V265" s="24" t="n">
        <v>0.0293135461838358</v>
      </c>
      <c r="W265" s="4" t="inlineStr">
        <is>
          <t>首贷_纯机</t>
        </is>
      </c>
    </row>
    <row r="266">
      <c r="A266" s="4" t="inlineStr">
        <is>
          <t>2026-06</t>
        </is>
      </c>
      <c r="B266" s="4" t="inlineStr">
        <is>
          <t>金条</t>
        </is>
      </c>
      <c r="C266" s="4" t="inlineStr">
        <is>
          <t>复贷</t>
        </is>
      </c>
      <c r="D266" s="4" t="inlineStr">
        <is>
          <t>纯机</t>
        </is>
      </c>
      <c r="E266" s="4" t="inlineStr">
        <is>
          <t>零犀</t>
        </is>
      </c>
      <c r="F266" s="4" t="inlineStr"/>
      <c r="G266" s="9" t="n">
        <v>133862</v>
      </c>
      <c r="H266" s="9" t="n">
        <v>10230</v>
      </c>
      <c r="I266" s="11" t="n">
        <v>7.64</v>
      </c>
      <c r="J266" s="9" t="n">
        <v>244951900</v>
      </c>
      <c r="K266" s="9" t="n">
        <v>23944</v>
      </c>
      <c r="L266" s="9" t="n">
        <v>11769</v>
      </c>
      <c r="M266" s="11" t="n">
        <v>0.36</v>
      </c>
      <c r="N266" s="23" t="n">
        <v>1.068</v>
      </c>
      <c r="O266" s="9" t="n">
        <v>37625</v>
      </c>
      <c r="P266" s="9" t="n">
        <v>25856</v>
      </c>
      <c r="Q266" s="9" t="n">
        <v>24210</v>
      </c>
      <c r="R266" s="6" t="n">
        <v>64.3</v>
      </c>
      <c r="S266" s="6" t="n">
        <v>31.3</v>
      </c>
      <c r="T266" s="5" t="n">
        <v>3.7</v>
      </c>
      <c r="U266" s="5" t="n">
        <v>2.4</v>
      </c>
      <c r="V266" s="24" t="n">
        <v>0.0002932094922399958</v>
      </c>
      <c r="W266" s="4" t="inlineStr">
        <is>
          <t>复贷_纯机</t>
        </is>
      </c>
    </row>
    <row r="267">
      <c r="A267" s="4" t="inlineStr">
        <is>
          <t>2026-06</t>
        </is>
      </c>
      <c r="B267" s="4" t="inlineStr">
        <is>
          <t>金条</t>
        </is>
      </c>
      <c r="C267" s="4" t="inlineStr">
        <is>
          <t>首贷</t>
        </is>
      </c>
      <c r="D267" s="4" t="inlineStr">
        <is>
          <t>人机</t>
        </is>
      </c>
      <c r="E267" s="4" t="inlineStr">
        <is>
          <t>零犀伽玛</t>
        </is>
      </c>
      <c r="F267" s="4" t="inlineStr"/>
      <c r="G267" s="9" t="n">
        <v>119494</v>
      </c>
      <c r="H267" s="9" t="n">
        <v>400</v>
      </c>
      <c r="I267" s="11" t="n">
        <v>0.33</v>
      </c>
      <c r="J267" s="9" t="n">
        <v>5930600</v>
      </c>
      <c r="K267" s="9" t="n">
        <v>14826</v>
      </c>
      <c r="L267" s="9" t="n">
        <v>11897</v>
      </c>
      <c r="M267" s="11" t="n">
        <v>0.07000000000000001</v>
      </c>
      <c r="N267" s="23" t="n">
        <v>1.068</v>
      </c>
      <c r="O267" s="9" t="n">
        <v>31936</v>
      </c>
      <c r="P267" s="9" t="n">
        <v>20039</v>
      </c>
      <c r="Q267" s="9" t="n">
        <v>18762</v>
      </c>
      <c r="R267" s="6" t="n">
        <v>58.7</v>
      </c>
      <c r="S267" s="6" t="n">
        <v>37.3</v>
      </c>
      <c r="T267" s="5" t="n">
        <v>79.8</v>
      </c>
      <c r="U267" s="5" t="n">
        <v>46.9</v>
      </c>
      <c r="V267" s="24" t="n">
        <v>0.04827023042717913</v>
      </c>
      <c r="W267" s="4" t="inlineStr">
        <is>
          <t>首贷_人机</t>
        </is>
      </c>
    </row>
    <row r="268">
      <c r="A268" s="4" t="inlineStr">
        <is>
          <t>2026-06</t>
        </is>
      </c>
      <c r="B268" s="4" t="inlineStr">
        <is>
          <t>金条</t>
        </is>
      </c>
      <c r="C268" s="4" t="inlineStr">
        <is>
          <t>复贷</t>
        </is>
      </c>
      <c r="D268" s="4" t="inlineStr">
        <is>
          <t>人机</t>
        </is>
      </c>
      <c r="E268" s="4" t="inlineStr">
        <is>
          <t>零犀岐力</t>
        </is>
      </c>
      <c r="F268" s="4" t="inlineStr"/>
      <c r="G268" s="9" t="n">
        <v>37021</v>
      </c>
      <c r="H268" s="9" t="n">
        <v>422</v>
      </c>
      <c r="I268" s="11" t="n">
        <v>1.14</v>
      </c>
      <c r="J268" s="9" t="n">
        <v>13026300</v>
      </c>
      <c r="K268" s="9" t="n">
        <v>30868</v>
      </c>
      <c r="L268" s="9" t="n">
        <v>4255</v>
      </c>
      <c r="M268" s="11" t="n">
        <v>0.36</v>
      </c>
      <c r="N268" s="23" t="n">
        <v>1.068</v>
      </c>
      <c r="O268" s="9" t="n">
        <v>9010</v>
      </c>
      <c r="P268" s="9" t="n">
        <v>4755</v>
      </c>
      <c r="Q268" s="9" t="n">
        <v>4453</v>
      </c>
      <c r="R268" s="6" t="n">
        <v>49.4</v>
      </c>
      <c r="S268" s="6" t="n">
        <v>47.2</v>
      </c>
      <c r="T268" s="5" t="n">
        <v>21.4</v>
      </c>
      <c r="U268" s="5" t="n">
        <v>10.6</v>
      </c>
      <c r="V268" s="24" t="n">
        <v>0.001013974293032813</v>
      </c>
      <c r="W268" s="4" t="inlineStr">
        <is>
          <t>复贷_人机</t>
        </is>
      </c>
    </row>
    <row r="269">
      <c r="A269" s="4" t="inlineStr">
        <is>
          <t>2026-06</t>
        </is>
      </c>
      <c r="B269" s="4" t="inlineStr">
        <is>
          <t>金条</t>
        </is>
      </c>
      <c r="C269" s="4" t="inlineStr">
        <is>
          <t>首贷</t>
        </is>
      </c>
      <c r="D269" s="4" t="inlineStr">
        <is>
          <t>人机</t>
        </is>
      </c>
      <c r="E269" s="4" t="inlineStr">
        <is>
          <t>零犀毅航</t>
        </is>
      </c>
      <c r="F269" s="4" t="inlineStr"/>
      <c r="G269" s="9" t="n">
        <v>299365</v>
      </c>
      <c r="H269" s="9" t="n">
        <v>1104</v>
      </c>
      <c r="I269" s="11" t="n">
        <v>0.37</v>
      </c>
      <c r="J269" s="9" t="n">
        <v>18162600</v>
      </c>
      <c r="K269" s="9" t="n">
        <v>16452</v>
      </c>
      <c r="L269" s="9" t="n">
        <v>35211</v>
      </c>
      <c r="M269" s="11" t="n">
        <v>0.07000000000000001</v>
      </c>
      <c r="N269" s="23" t="n">
        <v>1.068</v>
      </c>
      <c r="O269" s="9" t="n">
        <v>97211</v>
      </c>
      <c r="P269" s="9" t="n">
        <v>62000</v>
      </c>
      <c r="Q269" s="9" t="n">
        <v>58052</v>
      </c>
      <c r="R269" s="6" t="n">
        <v>59.7</v>
      </c>
      <c r="S269" s="6" t="n">
        <v>36.2</v>
      </c>
      <c r="T269" s="5" t="n">
        <v>88.09999999999999</v>
      </c>
      <c r="U269" s="5" t="n">
        <v>52.6</v>
      </c>
      <c r="V269" s="24" t="n">
        <v>0.04876583119786185</v>
      </c>
      <c r="W269" s="4" t="inlineStr">
        <is>
          <t>首贷_人机</t>
        </is>
      </c>
    </row>
    <row r="270">
      <c r="A270" s="4" t="inlineStr">
        <is>
          <t>2026-06</t>
        </is>
      </c>
      <c r="B270" s="4" t="inlineStr">
        <is>
          <t>金条</t>
        </is>
      </c>
      <c r="C270" s="4" t="inlineStr">
        <is>
          <t>首贷</t>
        </is>
      </c>
      <c r="D270" s="4" t="inlineStr">
        <is>
          <t>人机</t>
        </is>
      </c>
      <c r="E270" s="4" t="inlineStr">
        <is>
          <t>零犀毛毛虫</t>
        </is>
      </c>
      <c r="F270" s="4" t="inlineStr"/>
      <c r="G270" s="9" t="n">
        <v>138421</v>
      </c>
      <c r="H270" s="9" t="n">
        <v>483</v>
      </c>
      <c r="I270" s="11" t="n">
        <v>0.35</v>
      </c>
      <c r="J270" s="9" t="n">
        <v>6735400</v>
      </c>
      <c r="K270" s="9" t="n">
        <v>13945</v>
      </c>
      <c r="L270" s="9" t="n">
        <v>12185</v>
      </c>
      <c r="M270" s="11" t="n">
        <v>0.07000000000000001</v>
      </c>
      <c r="N270" s="23" t="n">
        <v>1.068</v>
      </c>
      <c r="O270" s="9" t="n">
        <v>35500</v>
      </c>
      <c r="P270" s="9" t="n">
        <v>23315</v>
      </c>
      <c r="Q270" s="9" t="n">
        <v>21830</v>
      </c>
      <c r="R270" s="6" t="n">
        <v>61.5</v>
      </c>
      <c r="S270" s="6" t="n">
        <v>34.3</v>
      </c>
      <c r="T270" s="5" t="n">
        <v>73.5</v>
      </c>
      <c r="U270" s="5" t="n">
        <v>45.2</v>
      </c>
      <c r="V270" s="24" t="n">
        <v>0.04945087575666308</v>
      </c>
      <c r="W270" s="4" t="inlineStr">
        <is>
          <t>首贷_人机</t>
        </is>
      </c>
    </row>
    <row r="271">
      <c r="A271" s="4" t="inlineStr">
        <is>
          <t>2026-06</t>
        </is>
      </c>
      <c r="B271" s="4" t="inlineStr">
        <is>
          <t>金条</t>
        </is>
      </c>
      <c r="C271" s="4" t="inlineStr">
        <is>
          <t>首贷</t>
        </is>
      </c>
      <c r="D271" s="4" t="inlineStr">
        <is>
          <t>人机</t>
        </is>
      </c>
      <c r="E271" s="4" t="inlineStr">
        <is>
          <t>零犀赛维斯</t>
        </is>
      </c>
      <c r="F271" s="4" t="inlineStr"/>
      <c r="G271" s="9" t="n">
        <v>111594</v>
      </c>
      <c r="H271" s="9" t="n">
        <v>362</v>
      </c>
      <c r="I271" s="11" t="n">
        <v>0.32</v>
      </c>
      <c r="J271" s="9" t="n">
        <v>4362100</v>
      </c>
      <c r="K271" s="9" t="n">
        <v>12050</v>
      </c>
      <c r="L271" s="9" t="n">
        <v>14258</v>
      </c>
      <c r="M271" s="11" t="n">
        <v>0.07000000000000001</v>
      </c>
      <c r="N271" s="23" t="n">
        <v>1.068</v>
      </c>
      <c r="O271" s="9" t="n">
        <v>23624</v>
      </c>
      <c r="P271" s="9" t="n">
        <v>9366</v>
      </c>
      <c r="Q271" s="9" t="n">
        <v>8770</v>
      </c>
      <c r="R271" s="6" t="n">
        <v>37.1</v>
      </c>
      <c r="S271" s="6" t="n">
        <v>60.4</v>
      </c>
      <c r="T271" s="5" t="n">
        <v>65.3</v>
      </c>
      <c r="U271" s="5" t="n">
        <v>24.2</v>
      </c>
      <c r="V271" s="24" t="n">
        <v>0.03067329955755255</v>
      </c>
      <c r="W271" s="4" t="inlineStr">
        <is>
          <t>首贷_人机</t>
        </is>
      </c>
    </row>
  </sheetData>
  <autoFilter ref="A1:W2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t="inlineStr">
        <is>
          <t>字段</t>
        </is>
      </c>
      <c r="B1" t="inlineStr">
        <is>
          <t>含义</t>
        </is>
      </c>
      <c r="C1" t="inlineStr">
        <is>
          <t>计算逻辑/说明</t>
        </is>
      </c>
    </row>
    <row r="2">
      <c r="A2" t="inlineStr">
        <is>
          <t>基础字段</t>
        </is>
      </c>
      <c r="B2" t="inlineStr"/>
      <c r="C2" t="inlineStr"/>
    </row>
    <row r="3">
      <c r="A3" t="inlineStr">
        <is>
          <t>月份</t>
        </is>
      </c>
      <c r="B3" t="inlineStr">
        <is>
          <t>结算归属月份</t>
        </is>
      </c>
      <c r="C3" t="inlineStr">
        <is>
          <t>2025-12 ~ 2026-06</t>
        </is>
      </c>
    </row>
    <row r="4">
      <c r="A4" t="inlineStr">
        <is>
          <t>业务线</t>
        </is>
      </c>
      <c r="B4" t="inlineStr">
        <is>
          <t>业务线</t>
        </is>
      </c>
      <c r="C4" t="inlineStr">
        <is>
          <t>全部为"金条"</t>
        </is>
      </c>
    </row>
    <row r="5">
      <c r="A5" t="inlineStr">
        <is>
          <t>首复贷</t>
        </is>
      </c>
      <c r="B5" t="inlineStr">
        <is>
          <t>首贷或复贷</t>
        </is>
      </c>
      <c r="C5" t="inlineStr">
        <is>
          <t>首贷还款系数0.07(固定), 复贷0.36(固定)</t>
        </is>
      </c>
    </row>
    <row r="6">
      <c r="A6" t="inlineStr">
        <is>
          <t>作业模式</t>
        </is>
      </c>
      <c r="B6" t="inlineStr">
        <is>
          <t>人工/人机/纯机</t>
        </is>
      </c>
      <c r="C6" t="inlineStr">
        <is>
          <t>人机含AI协作</t>
        </is>
      </c>
    </row>
    <row r="7">
      <c r="A7" t="inlineStr">
        <is>
          <t>供应商</t>
        </is>
      </c>
      <c r="B7" t="inlineStr">
        <is>
          <t>实际服务商</t>
        </is>
      </c>
      <c r="C7" t="inlineStr">
        <is>
          <t>从职场名提取, 如"零犀"、"赛维斯"</t>
        </is>
      </c>
    </row>
    <row r="8">
      <c r="A8" t="inlineStr">
        <is>
          <t>下发用户数</t>
        </is>
      </c>
      <c r="B8" t="inlineStr">
        <is>
          <t>系统触达用户数</t>
        </is>
      </c>
      <c r="C8" t="inlineStr"/>
    </row>
    <row r="9">
      <c r="A9" t="inlineStr">
        <is>
          <t>贷款用户数</t>
        </is>
      </c>
      <c r="B9" t="inlineStr">
        <is>
          <t>成功贷款用户数</t>
        </is>
      </c>
      <c r="C9" t="inlineStr">
        <is>
          <t>转化漏斗</t>
        </is>
      </c>
    </row>
    <row r="10">
      <c r="A10" t="inlineStr">
        <is>
          <t>贷款金额</t>
        </is>
      </c>
      <c r="B10" t="inlineStr">
        <is>
          <t>贷款总金额</t>
        </is>
      </c>
      <c r="C10" t="inlineStr"/>
    </row>
    <row r="11">
      <c r="A11" t="inlineStr">
        <is>
          <t>线路费</t>
        </is>
      </c>
      <c r="B11" t="inlineStr">
        <is>
          <t>通信线路费用</t>
        </is>
      </c>
      <c r="C11" t="inlineStr">
        <is>
          <t>外呼成本, 与人/机无关</t>
        </is>
      </c>
    </row>
    <row r="12">
      <c r="A12" t="inlineStr">
        <is>
          <t>还款系数</t>
        </is>
      </c>
      <c r="B12" t="inlineStr">
        <is>
          <t>10日内还款率(固定)</t>
        </is>
      </c>
      <c r="C12" t="inlineStr">
        <is>
          <t>首贷0.07, 复贷0.36 - 需改为动态值</t>
        </is>
      </c>
    </row>
    <row r="13">
      <c r="A13" t="inlineStr">
        <is>
          <t>税率</t>
        </is>
      </c>
      <c r="B13" t="inlineStr">
        <is>
          <t>税率(固定)</t>
        </is>
      </c>
      <c r="C13" t="inlineStr">
        <is>
          <t>1.068(6.8%)</t>
        </is>
      </c>
    </row>
    <row r="14">
      <c r="A14" t="inlineStr">
        <is>
          <t>费效成本</t>
        </is>
      </c>
      <c r="B14" t="inlineStr">
        <is>
          <t>总成本</t>
        </is>
      </c>
      <c r="C14">
        <f> 线路费 + 佣金部分(税前)</f>
        <v/>
      </c>
    </row>
    <row r="15">
      <c r="A15" t="inlineStr">
        <is>
          <t>到手薪资(税后)</t>
        </is>
      </c>
      <c r="B15" t="inlineStr">
        <is>
          <t>人工到手薪资</t>
        </is>
      </c>
      <c r="C15">
        <f> 佣金部分(税前) / 1.068</f>
        <v/>
      </c>
    </row>
    <row r="16">
      <c r="A16" t="inlineStr"/>
      <c r="B16" t="inlineStr"/>
      <c r="C16" t="inlineStr"/>
    </row>
    <row r="17">
      <c r="A17" t="inlineStr">
        <is>
          <t>新增字段</t>
        </is>
      </c>
      <c r="B17" t="inlineStr"/>
      <c r="C17" t="inlineStr"/>
    </row>
    <row r="18">
      <c r="A18" t="inlineStr">
        <is>
          <t>佣金部分(税前)</t>
        </is>
      </c>
      <c r="B18" t="inlineStr">
        <is>
          <t>贷款佣金(线路费除外)</t>
        </is>
      </c>
      <c r="C18">
        <f> 费效成本 - 线路费</f>
        <v/>
      </c>
    </row>
    <row r="19">
      <c r="A19" t="inlineStr">
        <is>
          <t>薪资/成本(%)</t>
        </is>
      </c>
      <c r="B19" t="inlineStr">
        <is>
          <t>薪资占成本比例</t>
        </is>
      </c>
      <c r="C19">
        <f> 到手薪资/费效成本 - 人工86%,人机55%,纯机30%</f>
        <v/>
      </c>
    </row>
    <row r="20">
      <c r="A20" t="inlineStr">
        <is>
          <t>线路费/成本(%)</t>
        </is>
      </c>
      <c r="B20" t="inlineStr">
        <is>
          <t>线路费占成本比例</t>
        </is>
      </c>
      <c r="C20" t="inlineStr">
        <is>
          <t>关键指标: 人机从31%升到48%</t>
        </is>
      </c>
    </row>
    <row r="21">
      <c r="A21" t="inlineStr">
        <is>
          <t>单用户费效成本</t>
        </is>
      </c>
      <c r="B21" t="inlineStr">
        <is>
          <t>每贷款用户成本</t>
        </is>
      </c>
      <c r="C21">
        <f> 费效成本 / 贷款用户数</f>
        <v/>
      </c>
    </row>
    <row r="22">
      <c r="A22" t="inlineStr">
        <is>
          <t>单用户到手薪资</t>
        </is>
      </c>
      <c r="B22" t="inlineStr">
        <is>
          <t>每贷款用户薪资</t>
        </is>
      </c>
      <c r="C22">
        <f> 到手薪资 / 贷款用户数 - 核心KPI</f>
        <v/>
      </c>
    </row>
    <row r="23">
      <c r="A23" t="inlineStr">
        <is>
          <t>有效分佣率</t>
        </is>
      </c>
      <c r="B23" t="inlineStr">
        <is>
          <t>真实分佣比例</t>
        </is>
      </c>
      <c r="C23">
        <f> 佣金部分 / (贷款金额×还款系数)</f>
        <v/>
      </c>
    </row>
    <row r="24">
      <c r="A24" t="inlineStr"/>
      <c r="B24" t="inlineStr"/>
      <c r="C24" t="inlineStr"/>
    </row>
    <row r="25">
      <c r="A25" t="inlineStr">
        <is>
          <t>计算公式</t>
        </is>
      </c>
      <c r="B25" t="inlineStr"/>
      <c r="C25" t="inlineStr"/>
    </row>
    <row r="26">
      <c r="A26" t="inlineStr">
        <is>
          <t>费效成本</t>
        </is>
      </c>
      <c r="B26">
        <f> 线路费 + 贷款金额 × 还款系数 × 分佣率</f>
        <v/>
      </c>
      <c r="C26" t="inlineStr">
        <is>
          <t>分佣率: 人工≈3.2%, 人机≈3.3%, 纯机≈1.6%</t>
        </is>
      </c>
    </row>
    <row r="27">
      <c r="A27" t="inlineStr">
        <is>
          <t>到手薪资</t>
        </is>
      </c>
      <c r="B27">
        <f> (费效成本 - 线路费) / 税率</f>
        <v/>
      </c>
      <c r="C27">
        <f> 佣金部分(税前)/1.068</f>
        <v/>
      </c>
    </row>
    <row r="28">
      <c r="A28" t="inlineStr">
        <is>
          <t>单用户到手薪资</t>
        </is>
      </c>
      <c r="B28">
        <f> 到手薪资 / 贷款用户数</f>
        <v/>
      </c>
      <c r="C28" t="inlineStr">
        <is>
          <t>人机从58.0降至29.2(-49.7%)</t>
        </is>
      </c>
    </row>
    <row r="29">
      <c r="A29" t="inlineStr"/>
      <c r="B29" t="inlineStr"/>
      <c r="C29" t="inlineStr"/>
    </row>
    <row r="30">
      <c r="A30" t="inlineStr">
        <is>
          <t>已知问题</t>
        </is>
      </c>
      <c r="B30" t="inlineStr"/>
      <c r="C30" t="inlineStr"/>
    </row>
    <row r="31">
      <c r="A31" t="inlineStr">
        <is>
          <t>1. 还款系数写死</t>
        </is>
      </c>
      <c r="B31" t="inlineStr">
        <is>
          <t>首贷0.07, 复贷0.36 为固定值</t>
        </is>
      </c>
      <c r="C31" t="inlineStr">
        <is>
          <t>实际10日还款率可能不同, 影响结算</t>
        </is>
      </c>
    </row>
    <row r="32">
      <c r="A32" t="inlineStr">
        <is>
          <t>2. 人机70/30未反映</t>
        </is>
      </c>
      <c r="B32" t="inlineStr">
        <is>
          <t>人机模式未实施70/30分佣</t>
        </is>
      </c>
      <c r="C32" t="inlineStr">
        <is>
          <t>当前数据100%给到人工, 实施后到手可能降30%</t>
        </is>
      </c>
    </row>
    <row r="33">
      <c r="A33" t="inlineStr">
        <is>
          <t>3. 数据人力空缺</t>
        </is>
      </c>
      <c r="B33" t="inlineStr">
        <is>
          <t>该列无任何数据</t>
        </is>
      </c>
      <c r="C33" t="inlineStr">
        <is>
          <t>无法计算真正的人均(元/人) - 需供应商补充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2026-06-03T02:43:16Z</dcterms:created>
  <dcterms:modified xmlns:dcterms="http://purl.org/dc/terms/" xmlns:xsi="http://www.w3.org/2001/XMLSchema-instance" xsi:type="dcterms:W3CDTF">2026-06-03T02:43:16Z</dcterms:modified>
</cp:coreProperties>
</file>