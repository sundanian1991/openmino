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清洗后明细" sheetId="1" state="visible" r:id="rId1"/>
    <sheet xmlns:r="http://schemas.openxmlformats.org/officeDocument/2006/relationships" name="人机全景" sheetId="2" state="visible" r:id="rId2"/>
    <sheet xmlns:r="http://schemas.openxmlformats.org/officeDocument/2006/relationships" name="字段说明" sheetId="3" state="visible" r:id="rId3"/>
  </sheets>
  <definedNames>
    <definedName name="_xlnm._FilterDatabase" localSheetId="0" hidden="1">'清洗后明细'!$A$1:$X$271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00"/>
    <numFmt numFmtId="166" formatCode="#,##0.0"/>
    <numFmt numFmtId="167" formatCode="0.0000"/>
  </numFmts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2F5496"/>
      <sz val="14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67" fontId="2" fillId="3" borderId="1" applyAlignment="1" pivotButton="0" quotePrefix="0" xfId="0">
      <alignment horizontal="center" vertical="center"/>
    </xf>
    <xf numFmtId="0" fontId="3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5" customWidth="1" min="8" max="8"/>
    <col width="13" customWidth="1" min="9" max="9"/>
    <col width="12" customWidth="1" min="10" max="10"/>
    <col width="12" customWidth="1" min="11" max="11"/>
    <col width="13" customWidth="1" min="12" max="12"/>
    <col width="13" customWidth="1" min="13" max="13"/>
    <col width="12" customWidth="1" min="14" max="14"/>
    <col width="25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</cols>
  <sheetData>
    <row r="1">
      <c r="A1" s="1" t="inlineStr">
        <is>
          <t>月份</t>
        </is>
      </c>
      <c r="B1" s="1" t="inlineStr">
        <is>
          <t>业务线</t>
        </is>
      </c>
      <c r="C1" s="1" t="inlineStr">
        <is>
          <t>首复贷</t>
        </is>
      </c>
      <c r="D1" s="1" t="inlineStr">
        <is>
          <t>作业模式</t>
        </is>
      </c>
      <c r="E1" s="1" t="inlineStr">
        <is>
          <t>供应商</t>
        </is>
      </c>
      <c r="F1" s="1" t="inlineStr">
        <is>
          <t>下发用户</t>
        </is>
      </c>
      <c r="G1" s="1" t="inlineStr">
        <is>
          <t>贷款用户</t>
        </is>
      </c>
      <c r="H1" s="1" t="inlineStr">
        <is>
          <t>贷款金额</t>
        </is>
      </c>
      <c r="I1" s="1" t="inlineStr">
        <is>
          <t>线路费</t>
        </is>
      </c>
      <c r="J1" s="1" t="inlineStr">
        <is>
          <t>还款系数</t>
        </is>
      </c>
      <c r="K1" s="1" t="inlineStr">
        <is>
          <t>税率</t>
        </is>
      </c>
      <c r="L1" s="1" t="inlineStr">
        <is>
          <t>费效成本</t>
        </is>
      </c>
      <c r="M1" s="1" t="inlineStr">
        <is>
          <t>到手薪资</t>
        </is>
      </c>
      <c r="N1" s="1" t="inlineStr">
        <is>
          <t>数据人力</t>
        </is>
      </c>
      <c r="O1" s="1" t="inlineStr">
        <is>
          <t>佣金部分</t>
        </is>
      </c>
      <c r="P1" s="1" t="inlineStr">
        <is>
          <t>人工占比%</t>
        </is>
      </c>
      <c r="Q1" s="1" t="inlineStr">
        <is>
          <t>转化率%</t>
        </is>
      </c>
      <c r="R1" s="1" t="inlineStr">
        <is>
          <t>户均贷款</t>
        </is>
      </c>
      <c r="S1" s="1" t="inlineStr">
        <is>
          <t>单用户费效</t>
        </is>
      </c>
      <c r="T1" s="1" t="inlineStr">
        <is>
          <t>单用户薪资</t>
        </is>
      </c>
      <c r="U1" s="1" t="inlineStr">
        <is>
          <t>元/人/月</t>
        </is>
      </c>
      <c r="V1" s="1" t="inlineStr">
        <is>
          <t>线路费占比%</t>
        </is>
      </c>
      <c r="W1" s="1" t="inlineStr">
        <is>
          <t>有效分佣率</t>
        </is>
      </c>
      <c r="X1" s="1" t="inlineStr">
        <is>
          <t>真实人工x70%</t>
        </is>
      </c>
    </row>
    <row r="2">
      <c r="A2" s="2" t="inlineStr">
        <is>
          <t>2025-12</t>
        </is>
      </c>
      <c r="B2" s="2" t="inlineStr">
        <is>
          <t>金条</t>
        </is>
      </c>
      <c r="C2" s="2" t="inlineStr">
        <is>
          <t>首贷</t>
        </is>
      </c>
      <c r="D2" s="2" t="inlineStr">
        <is>
          <t>人机</t>
        </is>
      </c>
      <c r="E2" s="2" t="inlineStr">
        <is>
          <t>零犀伽玛</t>
        </is>
      </c>
      <c r="F2" s="3" t="n">
        <v>2038874</v>
      </c>
      <c r="G2" s="3" t="n">
        <v>6006</v>
      </c>
      <c r="H2" s="3" t="n">
        <v>92456600</v>
      </c>
      <c r="I2" s="3" t="n">
        <v>197432</v>
      </c>
      <c r="J2" s="4" t="n">
        <v>0.07000000000000001</v>
      </c>
      <c r="K2" s="3" t="n">
        <v>1.068</v>
      </c>
      <c r="L2" s="3" t="n">
        <v>562995</v>
      </c>
      <c r="M2" s="3" t="n">
        <v>342288</v>
      </c>
      <c r="N2" s="3" t="n">
        <v>30</v>
      </c>
      <c r="O2" s="5">
        <f>IF(L2&gt;0,L2-I2,"")</f>
        <v/>
      </c>
      <c r="P2" s="6">
        <f>IF(AND(M2&gt;0,L2&gt;0),M2/L2*100,"")</f>
        <v/>
      </c>
      <c r="Q2" s="7">
        <f>IF(AND(G2&gt;0,F2&gt;0),G2/F2*100,"")</f>
        <v/>
      </c>
      <c r="R2" s="5">
        <f>IF(AND(H2&gt;0,G2&gt;0),H2/G2,"")</f>
        <v/>
      </c>
      <c r="S2" s="8">
        <f>IF(AND(L2&gt;0,G2&gt;0),L2/G2,"")</f>
        <v/>
      </c>
      <c r="T2" s="8">
        <f>IF(AND(M2&gt;0,G2&gt;0),M2/G2,"")</f>
        <v/>
      </c>
      <c r="U2" s="5">
        <f>IF(AND(M2&gt;0,N2&gt;0),M2/N2,"")</f>
        <v/>
      </c>
      <c r="V2" s="6">
        <f>IF(AND(I2&gt;=0,L2&gt;0),I2/L2*100,"")</f>
        <v/>
      </c>
      <c r="W2" s="9">
        <f>IF(AND(L2&gt;0,H2&gt;0,J2&gt;0),(L2-I2)/(H2*J2),"")</f>
        <v/>
      </c>
      <c r="X2" s="5">
        <f>IF(AND(M2&gt;0,N2&gt;0),M2/N2*0.7,"")</f>
        <v/>
      </c>
    </row>
    <row r="3">
      <c r="A3" s="2" t="inlineStr">
        <is>
          <t>2025-12</t>
        </is>
      </c>
      <c r="B3" s="2" t="inlineStr">
        <is>
          <t>金条</t>
        </is>
      </c>
      <c r="C3" s="2" t="inlineStr">
        <is>
          <t>首贷</t>
        </is>
      </c>
      <c r="D3" s="2" t="inlineStr">
        <is>
          <t>人机</t>
        </is>
      </c>
      <c r="E3" s="2" t="inlineStr">
        <is>
          <t>零犀</t>
        </is>
      </c>
      <c r="F3" s="3" t="n">
        <v>8089614</v>
      </c>
      <c r="G3" s="3" t="n">
        <v>28195</v>
      </c>
      <c r="H3" s="3" t="n">
        <v>500741300</v>
      </c>
      <c r="I3" s="3" t="n">
        <v>857516</v>
      </c>
      <c r="J3" s="4" t="n">
        <v>0.07000000000000001</v>
      </c>
      <c r="K3" s="3" t="n">
        <v>1.068</v>
      </c>
      <c r="L3" s="3" t="n">
        <v>3102415</v>
      </c>
      <c r="M3" s="3" t="n">
        <v>2101966</v>
      </c>
      <c r="N3" s="3" t="n">
        <v>81</v>
      </c>
      <c r="O3" s="5">
        <f>IF(L3&gt;0,L3-I3,"")</f>
        <v/>
      </c>
      <c r="P3" s="6">
        <f>IF(AND(M3&gt;0,L3&gt;0),M3/L3*100,"")</f>
        <v/>
      </c>
      <c r="Q3" s="7">
        <f>IF(AND(G3&gt;0,F3&gt;0),G3/F3*100,"")</f>
        <v/>
      </c>
      <c r="R3" s="5">
        <f>IF(AND(H3&gt;0,G3&gt;0),H3/G3,"")</f>
        <v/>
      </c>
      <c r="S3" s="8">
        <f>IF(AND(L3&gt;0,G3&gt;0),L3/G3,"")</f>
        <v/>
      </c>
      <c r="T3" s="8">
        <f>IF(AND(M3&gt;0,G3&gt;0),M3/G3,"")</f>
        <v/>
      </c>
      <c r="U3" s="5">
        <f>IF(AND(M3&gt;0,N3&gt;0),M3/N3,"")</f>
        <v/>
      </c>
      <c r="V3" s="6">
        <f>IF(AND(I3&gt;=0,L3&gt;0),I3/L3*100,"")</f>
        <v/>
      </c>
      <c r="W3" s="9">
        <f>IF(AND(L3&gt;0,H3&gt;0,J3&gt;0),(L3-I3)/(H3*J3),"")</f>
        <v/>
      </c>
      <c r="X3" s="5">
        <f>IF(AND(M3&gt;0,N3&gt;0),M3/N3*0.7,"")</f>
        <v/>
      </c>
    </row>
    <row r="4">
      <c r="A4" s="2" t="inlineStr">
        <is>
          <t>2025-12</t>
        </is>
      </c>
      <c r="B4" s="2" t="inlineStr">
        <is>
          <t>金条</t>
        </is>
      </c>
      <c r="C4" s="2" t="inlineStr">
        <is>
          <t>复贷</t>
        </is>
      </c>
      <c r="D4" s="2" t="inlineStr">
        <is>
          <t>人机</t>
        </is>
      </c>
      <c r="E4" s="2" t="inlineStr">
        <is>
          <t>零犀</t>
        </is>
      </c>
      <c r="F4" s="3" t="n">
        <v>3118729</v>
      </c>
      <c r="G4" s="3" t="n">
        <v>13855</v>
      </c>
      <c r="H4" s="3" t="n">
        <v>584973900</v>
      </c>
      <c r="I4" s="3" t="n">
        <v>242156</v>
      </c>
      <c r="J4" s="4" t="n">
        <v>0.36</v>
      </c>
      <c r="K4" s="3" t="n">
        <v>1.068</v>
      </c>
      <c r="L4" s="3" t="n">
        <v>666176</v>
      </c>
      <c r="M4" s="3" t="n">
        <v>397023</v>
      </c>
      <c r="N4" s="3" t="n">
        <v>13</v>
      </c>
      <c r="O4" s="5">
        <f>IF(L4&gt;0,L4-I4,"")</f>
        <v/>
      </c>
      <c r="P4" s="6">
        <f>IF(AND(M4&gt;0,L4&gt;0),M4/L4*100,"")</f>
        <v/>
      </c>
      <c r="Q4" s="7">
        <f>IF(AND(G4&gt;0,F4&gt;0),G4/F4*100,"")</f>
        <v/>
      </c>
      <c r="R4" s="5">
        <f>IF(AND(H4&gt;0,G4&gt;0),H4/G4,"")</f>
        <v/>
      </c>
      <c r="S4" s="8">
        <f>IF(AND(L4&gt;0,G4&gt;0),L4/G4,"")</f>
        <v/>
      </c>
      <c r="T4" s="8">
        <f>IF(AND(M4&gt;0,G4&gt;0),M4/G4,"")</f>
        <v/>
      </c>
      <c r="U4" s="5">
        <f>IF(AND(M4&gt;0,N4&gt;0),M4/N4,"")</f>
        <v/>
      </c>
      <c r="V4" s="6">
        <f>IF(AND(I4&gt;=0,L4&gt;0),I4/L4*100,"")</f>
        <v/>
      </c>
      <c r="W4" s="9">
        <f>IF(AND(L4&gt;0,H4&gt;0,J4&gt;0),(L4-I4)/(H4*J4),"")</f>
        <v/>
      </c>
      <c r="X4" s="5">
        <f>IF(AND(M4&gt;0,N4&gt;0),M4/N4*0.7,"")</f>
        <v/>
      </c>
    </row>
    <row r="5">
      <c r="A5" s="2" t="inlineStr">
        <is>
          <t>2025-12</t>
        </is>
      </c>
      <c r="B5" s="2" t="inlineStr">
        <is>
          <t>金条</t>
        </is>
      </c>
      <c r="C5" s="2" t="inlineStr">
        <is>
          <t>首贷</t>
        </is>
      </c>
      <c r="D5" s="2" t="inlineStr">
        <is>
          <t>人机</t>
        </is>
      </c>
      <c r="E5" s="2" t="inlineStr">
        <is>
          <t>零犀毛毛虫</t>
        </is>
      </c>
      <c r="F5" s="3" t="n">
        <v>1572247</v>
      </c>
      <c r="G5" s="3" t="n">
        <v>5317</v>
      </c>
      <c r="H5" s="3" t="n">
        <v>92059900</v>
      </c>
      <c r="I5" s="3" t="n">
        <v>171887</v>
      </c>
      <c r="J5" s="4" t="n">
        <v>0.07000000000000001</v>
      </c>
      <c r="K5" s="3" t="n">
        <v>1.068</v>
      </c>
      <c r="L5" s="3" t="n">
        <v>554755</v>
      </c>
      <c r="M5" s="3" t="n">
        <v>358491</v>
      </c>
      <c r="N5" s="3" t="n">
        <v>32</v>
      </c>
      <c r="O5" s="5">
        <f>IF(L5&gt;0,L5-I5,"")</f>
        <v/>
      </c>
      <c r="P5" s="6">
        <f>IF(AND(M5&gt;0,L5&gt;0),M5/L5*100,"")</f>
        <v/>
      </c>
      <c r="Q5" s="7">
        <f>IF(AND(G5&gt;0,F5&gt;0),G5/F5*100,"")</f>
        <v/>
      </c>
      <c r="R5" s="5">
        <f>IF(AND(H5&gt;0,G5&gt;0),H5/G5,"")</f>
        <v/>
      </c>
      <c r="S5" s="8">
        <f>IF(AND(L5&gt;0,G5&gt;0),L5/G5,"")</f>
        <v/>
      </c>
      <c r="T5" s="8">
        <f>IF(AND(M5&gt;0,G5&gt;0),M5/G5,"")</f>
        <v/>
      </c>
      <c r="U5" s="5">
        <f>IF(AND(M5&gt;0,N5&gt;0),M5/N5,"")</f>
        <v/>
      </c>
      <c r="V5" s="6">
        <f>IF(AND(I5&gt;=0,L5&gt;0),I5/L5*100,"")</f>
        <v/>
      </c>
      <c r="W5" s="9">
        <f>IF(AND(L5&gt;0,H5&gt;0,J5&gt;0),(L5-I5)/(H5*J5),"")</f>
        <v/>
      </c>
      <c r="X5" s="5">
        <f>IF(AND(M5&gt;0,N5&gt;0),M5/N5*0.7,"")</f>
        <v/>
      </c>
    </row>
    <row r="6">
      <c r="A6" s="2" t="inlineStr">
        <is>
          <t>2025-12</t>
        </is>
      </c>
      <c r="B6" s="2" t="inlineStr">
        <is>
          <t>金条</t>
        </is>
      </c>
      <c r="C6" s="2" t="inlineStr">
        <is>
          <t>首贷</t>
        </is>
      </c>
      <c r="D6" s="2" t="inlineStr">
        <is>
          <t>人机</t>
        </is>
      </c>
      <c r="E6" s="2" t="inlineStr">
        <is>
          <t>零犀赛维斯</t>
        </is>
      </c>
      <c r="F6" s="3" t="n">
        <v>1343102</v>
      </c>
      <c r="G6" s="3" t="n">
        <v>4569</v>
      </c>
      <c r="H6" s="3" t="n">
        <v>74540300</v>
      </c>
      <c r="I6" s="3" t="n">
        <v>148613</v>
      </c>
      <c r="J6" s="4" t="n">
        <v>0.07000000000000001</v>
      </c>
      <c r="K6" s="3" t="n">
        <v>1.068</v>
      </c>
      <c r="L6" s="3" t="n">
        <v>455865</v>
      </c>
      <c r="M6" s="3" t="n">
        <v>287689</v>
      </c>
      <c r="N6" s="3" t="n">
        <v>23</v>
      </c>
      <c r="O6" s="5">
        <f>IF(L6&gt;0,L6-I6,"")</f>
        <v/>
      </c>
      <c r="P6" s="6">
        <f>IF(AND(M6&gt;0,L6&gt;0),M6/L6*100,"")</f>
        <v/>
      </c>
      <c r="Q6" s="7">
        <f>IF(AND(G6&gt;0,F6&gt;0),G6/F6*100,"")</f>
        <v/>
      </c>
      <c r="R6" s="5">
        <f>IF(AND(H6&gt;0,G6&gt;0),H6/G6,"")</f>
        <v/>
      </c>
      <c r="S6" s="8">
        <f>IF(AND(L6&gt;0,G6&gt;0),L6/G6,"")</f>
        <v/>
      </c>
      <c r="T6" s="8">
        <f>IF(AND(M6&gt;0,G6&gt;0),M6/G6,"")</f>
        <v/>
      </c>
      <c r="U6" s="5">
        <f>IF(AND(M6&gt;0,N6&gt;0),M6/N6,"")</f>
        <v/>
      </c>
      <c r="V6" s="6">
        <f>IF(AND(I6&gt;=0,L6&gt;0),I6/L6*100,"")</f>
        <v/>
      </c>
      <c r="W6" s="9">
        <f>IF(AND(L6&gt;0,H6&gt;0,J6&gt;0),(L6-I6)/(H6*J6),"")</f>
        <v/>
      </c>
      <c r="X6" s="5">
        <f>IF(AND(M6&gt;0,N6&gt;0),M6/N6*0.7,"")</f>
        <v/>
      </c>
    </row>
    <row r="7">
      <c r="A7" s="2" t="inlineStr">
        <is>
          <t>2025-12</t>
        </is>
      </c>
      <c r="B7" s="2" t="inlineStr">
        <is>
          <t>金条</t>
        </is>
      </c>
      <c r="C7" s="2" t="inlineStr">
        <is>
          <t>首贷</t>
        </is>
      </c>
      <c r="D7" s="2" t="inlineStr">
        <is>
          <t>人机</t>
        </is>
      </c>
      <c r="E7" s="2" t="inlineStr">
        <is>
          <t>零犀毅航</t>
        </is>
      </c>
      <c r="F7" s="3" t="n">
        <v>2981407</v>
      </c>
      <c r="G7" s="3" t="n">
        <v>10029</v>
      </c>
      <c r="H7" s="3" t="n">
        <v>174547100</v>
      </c>
      <c r="I7" s="3" t="n">
        <v>306773</v>
      </c>
      <c r="J7" s="4" t="n">
        <v>0.07000000000000001</v>
      </c>
      <c r="K7" s="3" t="n">
        <v>1.068</v>
      </c>
      <c r="L7" s="3" t="n">
        <v>1087956</v>
      </c>
      <c r="M7" s="3" t="n">
        <v>731445</v>
      </c>
      <c r="N7" s="3" t="n">
        <v>49</v>
      </c>
      <c r="O7" s="5">
        <f>IF(L7&gt;0,L7-I7,"")</f>
        <v/>
      </c>
      <c r="P7" s="6">
        <f>IF(AND(M7&gt;0,L7&gt;0),M7/L7*100,"")</f>
        <v/>
      </c>
      <c r="Q7" s="7">
        <f>IF(AND(G7&gt;0,F7&gt;0),G7/F7*100,"")</f>
        <v/>
      </c>
      <c r="R7" s="5">
        <f>IF(AND(H7&gt;0,G7&gt;0),H7/G7,"")</f>
        <v/>
      </c>
      <c r="S7" s="8">
        <f>IF(AND(L7&gt;0,G7&gt;0),L7/G7,"")</f>
        <v/>
      </c>
      <c r="T7" s="8">
        <f>IF(AND(M7&gt;0,G7&gt;0),M7/G7,"")</f>
        <v/>
      </c>
      <c r="U7" s="5">
        <f>IF(AND(M7&gt;0,N7&gt;0),M7/N7,"")</f>
        <v/>
      </c>
      <c r="V7" s="6">
        <f>IF(AND(I7&gt;=0,L7&gt;0),I7/L7*100,"")</f>
        <v/>
      </c>
      <c r="W7" s="9">
        <f>IF(AND(L7&gt;0,H7&gt;0,J7&gt;0),(L7-I7)/(H7*J7),"")</f>
        <v/>
      </c>
      <c r="X7" s="5">
        <f>IF(AND(M7&gt;0,N7&gt;0),M7/N7*0.7,"")</f>
        <v/>
      </c>
    </row>
    <row r="8">
      <c r="A8" s="2" t="inlineStr">
        <is>
          <t>2025-12</t>
        </is>
      </c>
      <c r="B8" s="2" t="inlineStr">
        <is>
          <t>金条</t>
        </is>
      </c>
      <c r="C8" s="2" t="inlineStr">
        <is>
          <t>复贷</t>
        </is>
      </c>
      <c r="D8" s="2" t="inlineStr">
        <is>
          <t>人机</t>
        </is>
      </c>
      <c r="E8" s="2" t="inlineStr">
        <is>
          <t>毛毛虫</t>
        </is>
      </c>
      <c r="F8" s="3" t="n">
        <v>1041009</v>
      </c>
      <c r="G8" s="3" t="n">
        <v>5086</v>
      </c>
      <c r="H8" s="3" t="n">
        <v>226073700</v>
      </c>
      <c r="I8" s="3" t="n">
        <v>97778</v>
      </c>
      <c r="J8" s="4" t="n">
        <v>0.36</v>
      </c>
      <c r="K8" s="3" t="n">
        <v>1.068</v>
      </c>
      <c r="L8" s="3" t="n">
        <v>257543</v>
      </c>
      <c r="M8" s="3" t="n">
        <v>149593</v>
      </c>
      <c r="N8" s="2" t="n"/>
      <c r="O8" s="5">
        <f>IF(L8&gt;0,L8-I8,"")</f>
        <v/>
      </c>
      <c r="P8" s="6">
        <f>IF(AND(M8&gt;0,L8&gt;0),M8/L8*100,"")</f>
        <v/>
      </c>
      <c r="Q8" s="7">
        <f>IF(AND(G8&gt;0,F8&gt;0),G8/F8*100,"")</f>
        <v/>
      </c>
      <c r="R8" s="5">
        <f>IF(AND(H8&gt;0,G8&gt;0),H8/G8,"")</f>
        <v/>
      </c>
      <c r="S8" s="8">
        <f>IF(AND(L8&gt;0,G8&gt;0),L8/G8,"")</f>
        <v/>
      </c>
      <c r="T8" s="8">
        <f>IF(AND(M8&gt;0,G8&gt;0),M8/G8,"")</f>
        <v/>
      </c>
      <c r="U8" s="5">
        <f>IF(AND(M8&gt;0,N8&gt;0),M8/N8,"")</f>
        <v/>
      </c>
      <c r="V8" s="6">
        <f>IF(AND(I8&gt;=0,L8&gt;0),I8/L8*100,"")</f>
        <v/>
      </c>
      <c r="W8" s="9">
        <f>IF(AND(L8&gt;0,H8&gt;0,J8&gt;0),(L8-I8)/(H8*J8),"")</f>
        <v/>
      </c>
      <c r="X8" s="5">
        <f>IF(AND(M8&gt;0,N8&gt;0),M8/N8*0.7,"")</f>
        <v/>
      </c>
    </row>
    <row r="9">
      <c r="A9" s="2" t="inlineStr">
        <is>
          <t>2025-12</t>
        </is>
      </c>
      <c r="B9" s="2" t="inlineStr">
        <is>
          <t>金条</t>
        </is>
      </c>
      <c r="C9" s="2" t="inlineStr">
        <is>
          <t>首贷</t>
        </is>
      </c>
      <c r="D9" s="2" t="inlineStr">
        <is>
          <t>人机</t>
        </is>
      </c>
      <c r="E9" s="2" t="inlineStr">
        <is>
          <t>赛维斯</t>
        </is>
      </c>
      <c r="F9" s="3" t="n">
        <v>1941415</v>
      </c>
      <c r="G9" s="3" t="n">
        <v>6177</v>
      </c>
      <c r="H9" s="3" t="n">
        <v>95096000</v>
      </c>
      <c r="I9" s="3" t="n">
        <v>221692</v>
      </c>
      <c r="J9" s="4" t="n">
        <v>0.07000000000000001</v>
      </c>
      <c r="K9" s="3" t="n">
        <v>1.068</v>
      </c>
      <c r="L9" s="3" t="n">
        <v>592297</v>
      </c>
      <c r="M9" s="3" t="n">
        <v>347008</v>
      </c>
      <c r="N9" s="3" t="n">
        <v>26</v>
      </c>
      <c r="O9" s="5">
        <f>IF(L9&gt;0,L9-I9,"")</f>
        <v/>
      </c>
      <c r="P9" s="6">
        <f>IF(AND(M9&gt;0,L9&gt;0),M9/L9*100,"")</f>
        <v/>
      </c>
      <c r="Q9" s="7">
        <f>IF(AND(G9&gt;0,F9&gt;0),G9/F9*100,"")</f>
        <v/>
      </c>
      <c r="R9" s="5">
        <f>IF(AND(H9&gt;0,G9&gt;0),H9/G9,"")</f>
        <v/>
      </c>
      <c r="S9" s="8">
        <f>IF(AND(L9&gt;0,G9&gt;0),L9/G9,"")</f>
        <v/>
      </c>
      <c r="T9" s="8">
        <f>IF(AND(M9&gt;0,G9&gt;0),M9/G9,"")</f>
        <v/>
      </c>
      <c r="U9" s="5">
        <f>IF(AND(M9&gt;0,N9&gt;0),M9/N9,"")</f>
        <v/>
      </c>
      <c r="V9" s="6">
        <f>IF(AND(I9&gt;=0,L9&gt;0),I9/L9*100,"")</f>
        <v/>
      </c>
      <c r="W9" s="9">
        <f>IF(AND(L9&gt;0,H9&gt;0,J9&gt;0),(L9-I9)/(H9*J9),"")</f>
        <v/>
      </c>
      <c r="X9" s="5">
        <f>IF(AND(M9&gt;0,N9&gt;0),M9/N9*0.7,"")</f>
        <v/>
      </c>
    </row>
    <row r="10">
      <c r="A10" s="2" t="inlineStr">
        <is>
          <t>2025-12</t>
        </is>
      </c>
      <c r="B10" s="2" t="inlineStr">
        <is>
          <t>金条</t>
        </is>
      </c>
      <c r="C10" s="2" t="inlineStr">
        <is>
          <t>复贷</t>
        </is>
      </c>
      <c r="D10" s="2" t="inlineStr">
        <is>
          <t>人机</t>
        </is>
      </c>
      <c r="E10" s="2" t="inlineStr">
        <is>
          <t>赛维斯</t>
        </is>
      </c>
      <c r="F10" s="3" t="n">
        <v>754936</v>
      </c>
      <c r="G10" s="3" t="n">
        <v>3827</v>
      </c>
      <c r="H10" s="3" t="n">
        <v>166906700</v>
      </c>
      <c r="I10" s="3" t="n">
        <v>79638</v>
      </c>
      <c r="J10" s="4" t="n">
        <v>0.36</v>
      </c>
      <c r="K10" s="3" t="n">
        <v>1.068</v>
      </c>
      <c r="L10" s="3" t="n">
        <v>190140</v>
      </c>
      <c r="M10" s="3" t="n">
        <v>103466</v>
      </c>
      <c r="N10" s="3" t="n">
        <v>12</v>
      </c>
      <c r="O10" s="5">
        <f>IF(L10&gt;0,L10-I10,"")</f>
        <v/>
      </c>
      <c r="P10" s="6">
        <f>IF(AND(M10&gt;0,L10&gt;0),M10/L10*100,"")</f>
        <v/>
      </c>
      <c r="Q10" s="7">
        <f>IF(AND(G10&gt;0,F10&gt;0),G10/F10*100,"")</f>
        <v/>
      </c>
      <c r="R10" s="5">
        <f>IF(AND(H10&gt;0,G10&gt;0),H10/G10,"")</f>
        <v/>
      </c>
      <c r="S10" s="8">
        <f>IF(AND(L10&gt;0,G10&gt;0),L10/G10,"")</f>
        <v/>
      </c>
      <c r="T10" s="8">
        <f>IF(AND(M10&gt;0,G10&gt;0),M10/G10,"")</f>
        <v/>
      </c>
      <c r="U10" s="5">
        <f>IF(AND(M10&gt;0,N10&gt;0),M10/N10,"")</f>
        <v/>
      </c>
      <c r="V10" s="6">
        <f>IF(AND(I10&gt;=0,L10&gt;0),I10/L10*100,"")</f>
        <v/>
      </c>
      <c r="W10" s="9">
        <f>IF(AND(L10&gt;0,H10&gt;0,J10&gt;0),(L10-I10)/(H10*J10),"")</f>
        <v/>
      </c>
      <c r="X10" s="5">
        <f>IF(AND(M10&gt;0,N10&gt;0),M10/N10*0.7,"")</f>
        <v/>
      </c>
    </row>
    <row r="11">
      <c r="A11" s="2" t="inlineStr">
        <is>
          <t>2025-12</t>
        </is>
      </c>
      <c r="B11" s="2" t="inlineStr">
        <is>
          <t>金条</t>
        </is>
      </c>
      <c r="C11" s="2" t="inlineStr">
        <is>
          <t>首贷</t>
        </is>
      </c>
      <c r="D11" s="2" t="inlineStr">
        <is>
          <t>人工</t>
        </is>
      </c>
      <c r="E11" s="2" t="inlineStr">
        <is>
          <t>博岳石家庄</t>
        </is>
      </c>
      <c r="F11" s="3" t="n">
        <v>183762</v>
      </c>
      <c r="G11" s="3" t="n">
        <v>2943</v>
      </c>
      <c r="H11" s="3" t="n">
        <v>100186300</v>
      </c>
      <c r="I11" s="3" t="n">
        <v>28178</v>
      </c>
      <c r="J11" s="4" t="n">
        <v>0.07000000000000001</v>
      </c>
      <c r="K11" s="3" t="n">
        <v>1.068</v>
      </c>
      <c r="L11" s="3" t="n">
        <v>453933</v>
      </c>
      <c r="M11" s="3" t="n">
        <v>398647</v>
      </c>
      <c r="N11" s="3" t="n">
        <v>42</v>
      </c>
      <c r="O11" s="5">
        <f>IF(L11&gt;0,L11-I11,"")</f>
        <v/>
      </c>
      <c r="P11" s="6">
        <f>IF(AND(M11&gt;0,L11&gt;0),M11/L11*100,"")</f>
        <v/>
      </c>
      <c r="Q11" s="7">
        <f>IF(AND(G11&gt;0,F11&gt;0),G11/F11*100,"")</f>
        <v/>
      </c>
      <c r="R11" s="5">
        <f>IF(AND(H11&gt;0,G11&gt;0),H11/G11,"")</f>
        <v/>
      </c>
      <c r="S11" s="8">
        <f>IF(AND(L11&gt;0,G11&gt;0),L11/G11,"")</f>
        <v/>
      </c>
      <c r="T11" s="8">
        <f>IF(AND(M11&gt;0,G11&gt;0),M11/G11,"")</f>
        <v/>
      </c>
      <c r="U11" s="5">
        <f>IF(AND(M11&gt;0,N11&gt;0),M11/N11,"")</f>
        <v/>
      </c>
      <c r="V11" s="6">
        <f>IF(AND(I11&gt;=0,L11&gt;0),I11/L11*100,"")</f>
        <v/>
      </c>
      <c r="W11" s="9">
        <f>IF(AND(L11&gt;0,H11&gt;0,J11&gt;0),(L11-I11)/(H11*J11),"")</f>
        <v/>
      </c>
      <c r="X11" s="5">
        <f>IF(AND(M11&gt;0,N11&gt;0),M11/N11*0.7,"")</f>
        <v/>
      </c>
    </row>
    <row r="12">
      <c r="A12" s="2" t="inlineStr">
        <is>
          <t>2025-12</t>
        </is>
      </c>
      <c r="B12" s="2" t="inlineStr">
        <is>
          <t>金条</t>
        </is>
      </c>
      <c r="C12" s="2" t="inlineStr">
        <is>
          <t>复贷</t>
        </is>
      </c>
      <c r="D12" s="2" t="inlineStr">
        <is>
          <t>人工</t>
        </is>
      </c>
      <c r="E12" s="2" t="inlineStr">
        <is>
          <t>博岳石家庄</t>
        </is>
      </c>
      <c r="F12" s="3" t="n">
        <v>96381</v>
      </c>
      <c r="G12" s="3" t="n">
        <v>4660</v>
      </c>
      <c r="H12" s="3" t="n">
        <v>168733200</v>
      </c>
      <c r="I12" s="3" t="n">
        <v>15541</v>
      </c>
      <c r="J12" s="4" t="n">
        <v>0.36</v>
      </c>
      <c r="K12" s="3" t="n">
        <v>1.068</v>
      </c>
      <c r="L12" s="3" t="n">
        <v>164995</v>
      </c>
      <c r="M12" s="3" t="n">
        <v>139938</v>
      </c>
      <c r="N12" s="3" t="n">
        <v>54</v>
      </c>
      <c r="O12" s="5">
        <f>IF(L12&gt;0,L12-I12,"")</f>
        <v/>
      </c>
      <c r="P12" s="6">
        <f>IF(AND(M12&gt;0,L12&gt;0),M12/L12*100,"")</f>
        <v/>
      </c>
      <c r="Q12" s="7">
        <f>IF(AND(G12&gt;0,F12&gt;0),G12/F12*100,"")</f>
        <v/>
      </c>
      <c r="R12" s="5">
        <f>IF(AND(H12&gt;0,G12&gt;0),H12/G12,"")</f>
        <v/>
      </c>
      <c r="S12" s="8">
        <f>IF(AND(L12&gt;0,G12&gt;0),L12/G12,"")</f>
        <v/>
      </c>
      <c r="T12" s="8">
        <f>IF(AND(M12&gt;0,G12&gt;0),M12/G12,"")</f>
        <v/>
      </c>
      <c r="U12" s="5">
        <f>IF(AND(M12&gt;0,N12&gt;0),M12/N12,"")</f>
        <v/>
      </c>
      <c r="V12" s="6">
        <f>IF(AND(I12&gt;=0,L12&gt;0),I12/L12*100,"")</f>
        <v/>
      </c>
      <c r="W12" s="9">
        <f>IF(AND(L12&gt;0,H12&gt;0,J12&gt;0),(L12-I12)/(H12*J12),"")</f>
        <v/>
      </c>
      <c r="X12" s="5">
        <f>IF(AND(M12&gt;0,N12&gt;0),M12/N12*0.7,"")</f>
        <v/>
      </c>
    </row>
    <row r="13">
      <c r="A13" s="2" t="inlineStr">
        <is>
          <t>2025-12</t>
        </is>
      </c>
      <c r="B13" s="2" t="inlineStr">
        <is>
          <t>金条</t>
        </is>
      </c>
      <c r="C13" s="2" t="inlineStr">
        <is>
          <t>首贷</t>
        </is>
      </c>
      <c r="D13" s="2" t="inlineStr">
        <is>
          <t>人工</t>
        </is>
      </c>
      <c r="E13" s="2" t="inlineStr">
        <is>
          <t>伽玛</t>
        </is>
      </c>
      <c r="F13" s="3" t="n">
        <v>261882</v>
      </c>
      <c r="G13" s="3" t="n">
        <v>3944</v>
      </c>
      <c r="H13" s="3" t="n">
        <v>142868400</v>
      </c>
      <c r="I13" s="3" t="n">
        <v>47100</v>
      </c>
      <c r="J13" s="4" t="n">
        <v>0.07000000000000001</v>
      </c>
      <c r="K13" s="3" t="n">
        <v>1.068</v>
      </c>
      <c r="L13" s="3" t="n">
        <v>648910</v>
      </c>
      <c r="M13" s="3" t="n">
        <v>563493</v>
      </c>
      <c r="N13" s="3" t="n">
        <v>76</v>
      </c>
      <c r="O13" s="5">
        <f>IF(L13&gt;0,L13-I13,"")</f>
        <v/>
      </c>
      <c r="P13" s="6">
        <f>IF(AND(M13&gt;0,L13&gt;0),M13/L13*100,"")</f>
        <v/>
      </c>
      <c r="Q13" s="7">
        <f>IF(AND(G13&gt;0,F13&gt;0),G13/F13*100,"")</f>
        <v/>
      </c>
      <c r="R13" s="5">
        <f>IF(AND(H13&gt;0,G13&gt;0),H13/G13,"")</f>
        <v/>
      </c>
      <c r="S13" s="8">
        <f>IF(AND(L13&gt;0,G13&gt;0),L13/G13,"")</f>
        <v/>
      </c>
      <c r="T13" s="8">
        <f>IF(AND(M13&gt;0,G13&gt;0),M13/G13,"")</f>
        <v/>
      </c>
      <c r="U13" s="5">
        <f>IF(AND(M13&gt;0,N13&gt;0),M13/N13,"")</f>
        <v/>
      </c>
      <c r="V13" s="6">
        <f>IF(AND(I13&gt;=0,L13&gt;0),I13/L13*100,"")</f>
        <v/>
      </c>
      <c r="W13" s="9">
        <f>IF(AND(L13&gt;0,H13&gt;0,J13&gt;0),(L13-I13)/(H13*J13),"")</f>
        <v/>
      </c>
      <c r="X13" s="5">
        <f>IF(AND(M13&gt;0,N13&gt;0),M13/N13*0.7,"")</f>
        <v/>
      </c>
    </row>
    <row r="14">
      <c r="A14" s="2" t="inlineStr">
        <is>
          <t>2025-12</t>
        </is>
      </c>
      <c r="B14" s="2" t="inlineStr">
        <is>
          <t>金条</t>
        </is>
      </c>
      <c r="C14" s="2" t="inlineStr">
        <is>
          <t>复贷</t>
        </is>
      </c>
      <c r="D14" s="2" t="inlineStr">
        <is>
          <t>人工</t>
        </is>
      </c>
      <c r="E14" s="2" t="inlineStr">
        <is>
          <t>伽玛</t>
        </is>
      </c>
      <c r="F14" s="3" t="n">
        <v>218023</v>
      </c>
      <c r="G14" s="3" t="n">
        <v>11078</v>
      </c>
      <c r="H14" s="3" t="n">
        <v>402258300</v>
      </c>
      <c r="I14" s="3" t="n">
        <v>44314</v>
      </c>
      <c r="J14" s="4" t="n">
        <v>0.36</v>
      </c>
      <c r="K14" s="3" t="n">
        <v>1.068</v>
      </c>
      <c r="L14" s="3" t="n">
        <v>391833</v>
      </c>
      <c r="M14" s="3" t="n">
        <v>325391</v>
      </c>
      <c r="N14" s="3" t="n">
        <v>88</v>
      </c>
      <c r="O14" s="5">
        <f>IF(L14&gt;0,L14-I14,"")</f>
        <v/>
      </c>
      <c r="P14" s="6">
        <f>IF(AND(M14&gt;0,L14&gt;0),M14/L14*100,"")</f>
        <v/>
      </c>
      <c r="Q14" s="7">
        <f>IF(AND(G14&gt;0,F14&gt;0),G14/F14*100,"")</f>
        <v/>
      </c>
      <c r="R14" s="5">
        <f>IF(AND(H14&gt;0,G14&gt;0),H14/G14,"")</f>
        <v/>
      </c>
      <c r="S14" s="8">
        <f>IF(AND(L14&gt;0,G14&gt;0),L14/G14,"")</f>
        <v/>
      </c>
      <c r="T14" s="8">
        <f>IF(AND(M14&gt;0,G14&gt;0),M14/G14,"")</f>
        <v/>
      </c>
      <c r="U14" s="5">
        <f>IF(AND(M14&gt;0,N14&gt;0),M14/N14,"")</f>
        <v/>
      </c>
      <c r="V14" s="6">
        <f>IF(AND(I14&gt;=0,L14&gt;0),I14/L14*100,"")</f>
        <v/>
      </c>
      <c r="W14" s="9">
        <f>IF(AND(L14&gt;0,H14&gt;0,J14&gt;0),(L14-I14)/(H14*J14),"")</f>
        <v/>
      </c>
      <c r="X14" s="5">
        <f>IF(AND(M14&gt;0,N14&gt;0),M14/N14*0.7,"")</f>
        <v/>
      </c>
    </row>
    <row r="15">
      <c r="A15" s="2" t="inlineStr">
        <is>
          <t>2025-12</t>
        </is>
      </c>
      <c r="B15" s="2" t="inlineStr">
        <is>
          <t>金条</t>
        </is>
      </c>
      <c r="C15" s="2" t="inlineStr">
        <is>
          <t>首贷</t>
        </is>
      </c>
      <c r="D15" s="2" t="inlineStr">
        <is>
          <t>人工</t>
        </is>
      </c>
      <c r="E15" s="2" t="inlineStr">
        <is>
          <t>广达陕西</t>
        </is>
      </c>
      <c r="F15" s="3" t="n">
        <v>102006</v>
      </c>
      <c r="G15" s="3" t="n">
        <v>1553</v>
      </c>
      <c r="H15" s="3" t="n">
        <v>50760600</v>
      </c>
      <c r="I15" s="3" t="n">
        <v>16148</v>
      </c>
      <c r="J15" s="4" t="n">
        <v>0.07000000000000001</v>
      </c>
      <c r="K15" s="3" t="n">
        <v>1.068</v>
      </c>
      <c r="L15" s="3" t="n">
        <v>226020</v>
      </c>
      <c r="M15" s="3" t="n">
        <v>196509</v>
      </c>
      <c r="N15" s="3" t="n">
        <v>28</v>
      </c>
      <c r="O15" s="5">
        <f>IF(L15&gt;0,L15-I15,"")</f>
        <v/>
      </c>
      <c r="P15" s="6">
        <f>IF(AND(M15&gt;0,L15&gt;0),M15/L15*100,"")</f>
        <v/>
      </c>
      <c r="Q15" s="7">
        <f>IF(AND(G15&gt;0,F15&gt;0),G15/F15*100,"")</f>
        <v/>
      </c>
      <c r="R15" s="5">
        <f>IF(AND(H15&gt;0,G15&gt;0),H15/G15,"")</f>
        <v/>
      </c>
      <c r="S15" s="8">
        <f>IF(AND(L15&gt;0,G15&gt;0),L15/G15,"")</f>
        <v/>
      </c>
      <c r="T15" s="8">
        <f>IF(AND(M15&gt;0,G15&gt;0),M15/G15,"")</f>
        <v/>
      </c>
      <c r="U15" s="5">
        <f>IF(AND(M15&gt;0,N15&gt;0),M15/N15,"")</f>
        <v/>
      </c>
      <c r="V15" s="6">
        <f>IF(AND(I15&gt;=0,L15&gt;0),I15/L15*100,"")</f>
        <v/>
      </c>
      <c r="W15" s="9">
        <f>IF(AND(L15&gt;0,H15&gt;0,J15&gt;0),(L15-I15)/(H15*J15),"")</f>
        <v/>
      </c>
      <c r="X15" s="5">
        <f>IF(AND(M15&gt;0,N15&gt;0),M15/N15*0.7,"")</f>
        <v/>
      </c>
    </row>
    <row r="16">
      <c r="A16" s="2" t="inlineStr">
        <is>
          <t>2025-12</t>
        </is>
      </c>
      <c r="B16" s="2" t="inlineStr">
        <is>
          <t>金条</t>
        </is>
      </c>
      <c r="C16" s="2" t="inlineStr">
        <is>
          <t>复贷</t>
        </is>
      </c>
      <c r="D16" s="2" t="inlineStr">
        <is>
          <t>人工</t>
        </is>
      </c>
      <c r="E16" s="2" t="inlineStr">
        <is>
          <t>广达陕西</t>
        </is>
      </c>
      <c r="F16" s="3" t="n">
        <v>65815</v>
      </c>
      <c r="G16" s="3" t="n">
        <v>3338</v>
      </c>
      <c r="H16" s="3" t="n">
        <v>103037500</v>
      </c>
      <c r="I16" s="3" t="n">
        <v>12893</v>
      </c>
      <c r="J16" s="4" t="n">
        <v>0.36</v>
      </c>
      <c r="K16" s="3" t="n">
        <v>1.068</v>
      </c>
      <c r="L16" s="3" t="n">
        <v>100148</v>
      </c>
      <c r="M16" s="3" t="n">
        <v>81699</v>
      </c>
      <c r="N16" s="3" t="n">
        <v>34</v>
      </c>
      <c r="O16" s="5">
        <f>IF(L16&gt;0,L16-I16,"")</f>
        <v/>
      </c>
      <c r="P16" s="6">
        <f>IF(AND(M16&gt;0,L16&gt;0),M16/L16*100,"")</f>
        <v/>
      </c>
      <c r="Q16" s="7">
        <f>IF(AND(G16&gt;0,F16&gt;0),G16/F16*100,"")</f>
        <v/>
      </c>
      <c r="R16" s="5">
        <f>IF(AND(H16&gt;0,G16&gt;0),H16/G16,"")</f>
        <v/>
      </c>
      <c r="S16" s="8">
        <f>IF(AND(L16&gt;0,G16&gt;0),L16/G16,"")</f>
        <v/>
      </c>
      <c r="T16" s="8">
        <f>IF(AND(M16&gt;0,G16&gt;0),M16/G16,"")</f>
        <v/>
      </c>
      <c r="U16" s="5">
        <f>IF(AND(M16&gt;0,N16&gt;0),M16/N16,"")</f>
        <v/>
      </c>
      <c r="V16" s="6">
        <f>IF(AND(I16&gt;=0,L16&gt;0),I16/L16*100,"")</f>
        <v/>
      </c>
      <c r="W16" s="9">
        <f>IF(AND(L16&gt;0,H16&gt;0,J16&gt;0),(L16-I16)/(H16*J16),"")</f>
        <v/>
      </c>
      <c r="X16" s="5">
        <f>IF(AND(M16&gt;0,N16&gt;0),M16/N16*0.7,"")</f>
        <v/>
      </c>
    </row>
    <row r="17">
      <c r="A17" s="2" t="inlineStr">
        <is>
          <t>2025-12</t>
        </is>
      </c>
      <c r="B17" s="2" t="inlineStr">
        <is>
          <t>金条</t>
        </is>
      </c>
      <c r="C17" s="2" t="inlineStr">
        <is>
          <t>首贷</t>
        </is>
      </c>
      <c r="D17" s="2" t="inlineStr">
        <is>
          <t>人工</t>
        </is>
      </c>
      <c r="E17" s="2" t="inlineStr">
        <is>
          <t>翰锐曲靖</t>
        </is>
      </c>
      <c r="F17" s="3" t="n">
        <v>86514</v>
      </c>
      <c r="G17" s="3" t="n">
        <v>1249</v>
      </c>
      <c r="H17" s="3" t="n">
        <v>48331400</v>
      </c>
      <c r="I17" s="3" t="n">
        <v>13458</v>
      </c>
      <c r="J17" s="4" t="n">
        <v>0.07000000000000001</v>
      </c>
      <c r="K17" s="3" t="n">
        <v>1.068</v>
      </c>
      <c r="L17" s="3" t="n">
        <v>226712</v>
      </c>
      <c r="M17" s="3" t="n">
        <v>199676</v>
      </c>
      <c r="N17" s="3" t="n">
        <v>21</v>
      </c>
      <c r="O17" s="5">
        <f>IF(L17&gt;0,L17-I17,"")</f>
        <v/>
      </c>
      <c r="P17" s="6">
        <f>IF(AND(M17&gt;0,L17&gt;0),M17/L17*100,"")</f>
        <v/>
      </c>
      <c r="Q17" s="7">
        <f>IF(AND(G17&gt;0,F17&gt;0),G17/F17*100,"")</f>
        <v/>
      </c>
      <c r="R17" s="5">
        <f>IF(AND(H17&gt;0,G17&gt;0),H17/G17,"")</f>
        <v/>
      </c>
      <c r="S17" s="8">
        <f>IF(AND(L17&gt;0,G17&gt;0),L17/G17,"")</f>
        <v/>
      </c>
      <c r="T17" s="8">
        <f>IF(AND(M17&gt;0,G17&gt;0),M17/G17,"")</f>
        <v/>
      </c>
      <c r="U17" s="5">
        <f>IF(AND(M17&gt;0,N17&gt;0),M17/N17,"")</f>
        <v/>
      </c>
      <c r="V17" s="6">
        <f>IF(AND(I17&gt;=0,L17&gt;0),I17/L17*100,"")</f>
        <v/>
      </c>
      <c r="W17" s="9">
        <f>IF(AND(L17&gt;0,H17&gt;0,J17&gt;0),(L17-I17)/(H17*J17),"")</f>
        <v/>
      </c>
      <c r="X17" s="5">
        <f>IF(AND(M17&gt;0,N17&gt;0),M17/N17*0.7,"")</f>
        <v/>
      </c>
    </row>
    <row r="18">
      <c r="A18" s="2" t="inlineStr">
        <is>
          <t>2025-12</t>
        </is>
      </c>
      <c r="B18" s="2" t="inlineStr">
        <is>
          <t>金条</t>
        </is>
      </c>
      <c r="C18" s="2" t="inlineStr">
        <is>
          <t>复贷</t>
        </is>
      </c>
      <c r="D18" s="2" t="inlineStr">
        <is>
          <t>人工</t>
        </is>
      </c>
      <c r="E18" s="2" t="inlineStr">
        <is>
          <t>翰锐曲靖</t>
        </is>
      </c>
      <c r="F18" s="3" t="n">
        <v>283201</v>
      </c>
      <c r="G18" s="3" t="n">
        <v>13663</v>
      </c>
      <c r="H18" s="3" t="n">
        <v>384957000</v>
      </c>
      <c r="I18" s="3" t="n">
        <v>44832</v>
      </c>
      <c r="J18" s="4" t="n">
        <v>0.36</v>
      </c>
      <c r="K18" s="3" t="n">
        <v>1.068</v>
      </c>
      <c r="L18" s="3" t="n">
        <v>364143</v>
      </c>
      <c r="M18" s="3" t="n">
        <v>298981</v>
      </c>
      <c r="N18" s="3" t="n">
        <v>66</v>
      </c>
      <c r="O18" s="5">
        <f>IF(L18&gt;0,L18-I18,"")</f>
        <v/>
      </c>
      <c r="P18" s="6">
        <f>IF(AND(M18&gt;0,L18&gt;0),M18/L18*100,"")</f>
        <v/>
      </c>
      <c r="Q18" s="7">
        <f>IF(AND(G18&gt;0,F18&gt;0),G18/F18*100,"")</f>
        <v/>
      </c>
      <c r="R18" s="5">
        <f>IF(AND(H18&gt;0,G18&gt;0),H18/G18,"")</f>
        <v/>
      </c>
      <c r="S18" s="8">
        <f>IF(AND(L18&gt;0,G18&gt;0),L18/G18,"")</f>
        <v/>
      </c>
      <c r="T18" s="8">
        <f>IF(AND(M18&gt;0,G18&gt;0),M18/G18,"")</f>
        <v/>
      </c>
      <c r="U18" s="5">
        <f>IF(AND(M18&gt;0,N18&gt;0),M18/N18,"")</f>
        <v/>
      </c>
      <c r="V18" s="6">
        <f>IF(AND(I18&gt;=0,L18&gt;0),I18/L18*100,"")</f>
        <v/>
      </c>
      <c r="W18" s="9">
        <f>IF(AND(L18&gt;0,H18&gt;0,J18&gt;0),(L18-I18)/(H18*J18),"")</f>
        <v/>
      </c>
      <c r="X18" s="5">
        <f>IF(AND(M18&gt;0,N18&gt;0),M18/N18*0.7,"")</f>
        <v/>
      </c>
    </row>
    <row r="19">
      <c r="A19" s="2" t="inlineStr">
        <is>
          <t>2025-12</t>
        </is>
      </c>
      <c r="B19" s="2" t="inlineStr">
        <is>
          <t>金条</t>
        </is>
      </c>
      <c r="C19" s="2" t="inlineStr">
        <is>
          <t>复贷</t>
        </is>
      </c>
      <c r="D19" s="2" t="inlineStr">
        <is>
          <t>人工</t>
        </is>
      </c>
      <c r="E19" s="2" t="inlineStr">
        <is>
          <t>华啸</t>
        </is>
      </c>
      <c r="F19" s="3" t="n">
        <v>130372</v>
      </c>
      <c r="G19" s="3" t="n">
        <v>6160</v>
      </c>
      <c r="H19" s="3" t="n">
        <v>218499100</v>
      </c>
      <c r="I19" s="3" t="n">
        <v>19837</v>
      </c>
      <c r="J19" s="4" t="n">
        <v>0.36</v>
      </c>
      <c r="K19" s="3" t="n">
        <v>1.068</v>
      </c>
      <c r="L19" s="3" t="n">
        <v>213901</v>
      </c>
      <c r="M19" s="3" t="n">
        <v>181708</v>
      </c>
      <c r="N19" s="3" t="n">
        <v>50</v>
      </c>
      <c r="O19" s="5">
        <f>IF(L19&gt;0,L19-I19,"")</f>
        <v/>
      </c>
      <c r="P19" s="6">
        <f>IF(AND(M19&gt;0,L19&gt;0),M19/L19*100,"")</f>
        <v/>
      </c>
      <c r="Q19" s="7">
        <f>IF(AND(G19&gt;0,F19&gt;0),G19/F19*100,"")</f>
        <v/>
      </c>
      <c r="R19" s="5">
        <f>IF(AND(H19&gt;0,G19&gt;0),H19/G19,"")</f>
        <v/>
      </c>
      <c r="S19" s="8">
        <f>IF(AND(L19&gt;0,G19&gt;0),L19/G19,"")</f>
        <v/>
      </c>
      <c r="T19" s="8">
        <f>IF(AND(M19&gt;0,G19&gt;0),M19/G19,"")</f>
        <v/>
      </c>
      <c r="U19" s="5">
        <f>IF(AND(M19&gt;0,N19&gt;0),M19/N19,"")</f>
        <v/>
      </c>
      <c r="V19" s="6">
        <f>IF(AND(I19&gt;=0,L19&gt;0),I19/L19*100,"")</f>
        <v/>
      </c>
      <c r="W19" s="9">
        <f>IF(AND(L19&gt;0,H19&gt;0,J19&gt;0),(L19-I19)/(H19*J19),"")</f>
        <v/>
      </c>
      <c r="X19" s="5">
        <f>IF(AND(M19&gt;0,N19&gt;0),M19/N19*0.7,"")</f>
        <v/>
      </c>
    </row>
    <row r="20">
      <c r="A20" s="2" t="inlineStr">
        <is>
          <t>2025-12</t>
        </is>
      </c>
      <c r="B20" s="2" t="inlineStr">
        <is>
          <t>金条</t>
        </is>
      </c>
      <c r="C20" s="2" t="inlineStr">
        <is>
          <t>首贷</t>
        </is>
      </c>
      <c r="D20" s="2" t="inlineStr">
        <is>
          <t>人工</t>
        </is>
      </c>
      <c r="E20" s="2" t="inlineStr">
        <is>
          <t>汇讯</t>
        </is>
      </c>
      <c r="F20" s="3" t="n">
        <v>258886</v>
      </c>
      <c r="G20" s="3" t="n">
        <v>4111</v>
      </c>
      <c r="H20" s="3" t="n">
        <v>141470800</v>
      </c>
      <c r="I20" s="3" t="n">
        <v>44125</v>
      </c>
      <c r="J20" s="4" t="n">
        <v>0.07000000000000001</v>
      </c>
      <c r="K20" s="3" t="n">
        <v>1.068</v>
      </c>
      <c r="L20" s="3" t="n">
        <v>641638</v>
      </c>
      <c r="M20" s="3" t="n">
        <v>559469</v>
      </c>
      <c r="N20" s="3" t="n">
        <v>74</v>
      </c>
      <c r="O20" s="5">
        <f>IF(L20&gt;0,L20-I20,"")</f>
        <v/>
      </c>
      <c r="P20" s="6">
        <f>IF(AND(M20&gt;0,L20&gt;0),M20/L20*100,"")</f>
        <v/>
      </c>
      <c r="Q20" s="7">
        <f>IF(AND(G20&gt;0,F20&gt;0),G20/F20*100,"")</f>
        <v/>
      </c>
      <c r="R20" s="5">
        <f>IF(AND(H20&gt;0,G20&gt;0),H20/G20,"")</f>
        <v/>
      </c>
      <c r="S20" s="8">
        <f>IF(AND(L20&gt;0,G20&gt;0),L20/G20,"")</f>
        <v/>
      </c>
      <c r="T20" s="8">
        <f>IF(AND(M20&gt;0,G20&gt;0),M20/G20,"")</f>
        <v/>
      </c>
      <c r="U20" s="5">
        <f>IF(AND(M20&gt;0,N20&gt;0),M20/N20,"")</f>
        <v/>
      </c>
      <c r="V20" s="6">
        <f>IF(AND(I20&gt;=0,L20&gt;0),I20/L20*100,"")</f>
        <v/>
      </c>
      <c r="W20" s="9">
        <f>IF(AND(L20&gt;0,H20&gt;0,J20&gt;0),(L20-I20)/(H20*J20),"")</f>
        <v/>
      </c>
      <c r="X20" s="5">
        <f>IF(AND(M20&gt;0,N20&gt;0),M20/N20*0.7,"")</f>
        <v/>
      </c>
    </row>
    <row r="21">
      <c r="A21" s="2" t="inlineStr">
        <is>
          <t>2025-12</t>
        </is>
      </c>
      <c r="B21" s="2" t="inlineStr">
        <is>
          <t>金条</t>
        </is>
      </c>
      <c r="C21" s="2" t="inlineStr">
        <is>
          <t>复贷</t>
        </is>
      </c>
      <c r="D21" s="2" t="inlineStr">
        <is>
          <t>人工</t>
        </is>
      </c>
      <c r="E21" s="2" t="inlineStr">
        <is>
          <t>汇讯</t>
        </is>
      </c>
      <c r="F21" s="3" t="n">
        <v>131628</v>
      </c>
      <c r="G21" s="3" t="n">
        <v>6342</v>
      </c>
      <c r="H21" s="3" t="n">
        <v>208852600</v>
      </c>
      <c r="I21" s="3" t="n">
        <v>18067</v>
      </c>
      <c r="J21" s="4" t="n">
        <v>0.36</v>
      </c>
      <c r="K21" s="3" t="n">
        <v>1.068</v>
      </c>
      <c r="L21" s="3" t="n">
        <v>203503</v>
      </c>
      <c r="M21" s="3" t="n">
        <v>173630</v>
      </c>
      <c r="N21" s="3" t="n">
        <v>42</v>
      </c>
      <c r="O21" s="5">
        <f>IF(L21&gt;0,L21-I21,"")</f>
        <v/>
      </c>
      <c r="P21" s="6">
        <f>IF(AND(M21&gt;0,L21&gt;0),M21/L21*100,"")</f>
        <v/>
      </c>
      <c r="Q21" s="7">
        <f>IF(AND(G21&gt;0,F21&gt;0),G21/F21*100,"")</f>
        <v/>
      </c>
      <c r="R21" s="5">
        <f>IF(AND(H21&gt;0,G21&gt;0),H21/G21,"")</f>
        <v/>
      </c>
      <c r="S21" s="8">
        <f>IF(AND(L21&gt;0,G21&gt;0),L21/G21,"")</f>
        <v/>
      </c>
      <c r="T21" s="8">
        <f>IF(AND(M21&gt;0,G21&gt;0),M21/G21,"")</f>
        <v/>
      </c>
      <c r="U21" s="5">
        <f>IF(AND(M21&gt;0,N21&gt;0),M21/N21,"")</f>
        <v/>
      </c>
      <c r="V21" s="6">
        <f>IF(AND(I21&gt;=0,L21&gt;0),I21/L21*100,"")</f>
        <v/>
      </c>
      <c r="W21" s="9">
        <f>IF(AND(L21&gt;0,H21&gt;0,J21&gt;0),(L21-I21)/(H21*J21),"")</f>
        <v/>
      </c>
      <c r="X21" s="5">
        <f>IF(AND(M21&gt;0,N21&gt;0),M21/N21*0.7,"")</f>
        <v/>
      </c>
    </row>
    <row r="22">
      <c r="A22" s="2" t="inlineStr">
        <is>
          <t>2025-12</t>
        </is>
      </c>
      <c r="B22" s="2" t="inlineStr">
        <is>
          <t>金条</t>
        </is>
      </c>
      <c r="C22" s="2" t="inlineStr">
        <is>
          <t>首贷</t>
        </is>
      </c>
      <c r="D22" s="2" t="inlineStr">
        <is>
          <t>人工</t>
        </is>
      </c>
      <c r="E22" s="2" t="inlineStr">
        <is>
          <t>毛毛虫</t>
        </is>
      </c>
      <c r="F22" s="3" t="n">
        <v>537454</v>
      </c>
      <c r="G22" s="3" t="n">
        <v>9316</v>
      </c>
      <c r="H22" s="3" t="n">
        <v>305428500</v>
      </c>
      <c r="I22" s="3" t="n">
        <v>84335</v>
      </c>
      <c r="J22" s="4" t="n">
        <v>0.07000000000000001</v>
      </c>
      <c r="K22" s="3" t="n">
        <v>1.068</v>
      </c>
      <c r="L22" s="3" t="n">
        <v>1350237</v>
      </c>
      <c r="M22" s="3" t="n">
        <v>1185302</v>
      </c>
      <c r="N22" s="3" t="n">
        <v>161</v>
      </c>
      <c r="O22" s="5">
        <f>IF(L22&gt;0,L22-I22,"")</f>
        <v/>
      </c>
      <c r="P22" s="6">
        <f>IF(AND(M22&gt;0,L22&gt;0),M22/L22*100,"")</f>
        <v/>
      </c>
      <c r="Q22" s="7">
        <f>IF(AND(G22&gt;0,F22&gt;0),G22/F22*100,"")</f>
        <v/>
      </c>
      <c r="R22" s="5">
        <f>IF(AND(H22&gt;0,G22&gt;0),H22/G22,"")</f>
        <v/>
      </c>
      <c r="S22" s="8">
        <f>IF(AND(L22&gt;0,G22&gt;0),L22/G22,"")</f>
        <v/>
      </c>
      <c r="T22" s="8">
        <f>IF(AND(M22&gt;0,G22&gt;0),M22/G22,"")</f>
        <v/>
      </c>
      <c r="U22" s="5">
        <f>IF(AND(M22&gt;0,N22&gt;0),M22/N22,"")</f>
        <v/>
      </c>
      <c r="V22" s="6">
        <f>IF(AND(I22&gt;=0,L22&gt;0),I22/L22*100,"")</f>
        <v/>
      </c>
      <c r="W22" s="9">
        <f>IF(AND(L22&gt;0,H22&gt;0,J22&gt;0),(L22-I22)/(H22*J22),"")</f>
        <v/>
      </c>
      <c r="X22" s="5">
        <f>IF(AND(M22&gt;0,N22&gt;0),M22/N22*0.7,"")</f>
        <v/>
      </c>
    </row>
    <row r="23">
      <c r="A23" s="2" t="inlineStr">
        <is>
          <t>2025-12</t>
        </is>
      </c>
      <c r="B23" s="2" t="inlineStr">
        <is>
          <t>金条</t>
        </is>
      </c>
      <c r="C23" s="2" t="inlineStr">
        <is>
          <t>复贷</t>
        </is>
      </c>
      <c r="D23" s="2" t="inlineStr">
        <is>
          <t>人工</t>
        </is>
      </c>
      <c r="E23" s="2" t="inlineStr">
        <is>
          <t>毛毛虫</t>
        </is>
      </c>
      <c r="F23" s="3" t="n">
        <v>191715</v>
      </c>
      <c r="G23" s="3" t="n">
        <v>8647</v>
      </c>
      <c r="H23" s="3" t="n">
        <v>260852800</v>
      </c>
      <c r="I23" s="3" t="n">
        <v>25850</v>
      </c>
      <c r="J23" s="4" t="n">
        <v>0.36</v>
      </c>
      <c r="K23" s="3" t="n">
        <v>1.068</v>
      </c>
      <c r="L23" s="3" t="n">
        <v>257122</v>
      </c>
      <c r="M23" s="3" t="n">
        <v>216547</v>
      </c>
      <c r="N23" s="3" t="n">
        <v>80</v>
      </c>
      <c r="O23" s="5">
        <f>IF(L23&gt;0,L23-I23,"")</f>
        <v/>
      </c>
      <c r="P23" s="6">
        <f>IF(AND(M23&gt;0,L23&gt;0),M23/L23*100,"")</f>
        <v/>
      </c>
      <c r="Q23" s="7">
        <f>IF(AND(G23&gt;0,F23&gt;0),G23/F23*100,"")</f>
        <v/>
      </c>
      <c r="R23" s="5">
        <f>IF(AND(H23&gt;0,G23&gt;0),H23/G23,"")</f>
        <v/>
      </c>
      <c r="S23" s="8">
        <f>IF(AND(L23&gt;0,G23&gt;0),L23/G23,"")</f>
        <v/>
      </c>
      <c r="T23" s="8">
        <f>IF(AND(M23&gt;0,G23&gt;0),M23/G23,"")</f>
        <v/>
      </c>
      <c r="U23" s="5">
        <f>IF(AND(M23&gt;0,N23&gt;0),M23/N23,"")</f>
        <v/>
      </c>
      <c r="V23" s="6">
        <f>IF(AND(I23&gt;=0,L23&gt;0),I23/L23*100,"")</f>
        <v/>
      </c>
      <c r="W23" s="9">
        <f>IF(AND(L23&gt;0,H23&gt;0,J23&gt;0),(L23-I23)/(H23*J23),"")</f>
        <v/>
      </c>
      <c r="X23" s="5">
        <f>IF(AND(M23&gt;0,N23&gt;0),M23/N23*0.7,"")</f>
        <v/>
      </c>
    </row>
    <row r="24">
      <c r="A24" s="2" t="inlineStr">
        <is>
          <t>2025-12</t>
        </is>
      </c>
      <c r="B24" s="2" t="inlineStr">
        <is>
          <t>金条</t>
        </is>
      </c>
      <c r="C24" s="2" t="inlineStr">
        <is>
          <t>复贷</t>
        </is>
      </c>
      <c r="D24" s="2" t="inlineStr">
        <is>
          <t>人工</t>
        </is>
      </c>
      <c r="E24" s="2" t="inlineStr">
        <is>
          <t>岐力</t>
        </is>
      </c>
      <c r="F24" s="3" t="n">
        <v>172644</v>
      </c>
      <c r="G24" s="3" t="n">
        <v>8956</v>
      </c>
      <c r="H24" s="3" t="n">
        <v>354112600</v>
      </c>
      <c r="I24" s="3" t="n">
        <v>27220</v>
      </c>
      <c r="J24" s="4" t="n">
        <v>0.36</v>
      </c>
      <c r="K24" s="3" t="n">
        <v>1.068</v>
      </c>
      <c r="L24" s="3" t="n">
        <v>329997</v>
      </c>
      <c r="M24" s="3" t="n">
        <v>283499</v>
      </c>
      <c r="N24" s="3" t="n">
        <v>69</v>
      </c>
      <c r="O24" s="5">
        <f>IF(L24&gt;0,L24-I24,"")</f>
        <v/>
      </c>
      <c r="P24" s="6">
        <f>IF(AND(M24&gt;0,L24&gt;0),M24/L24*100,"")</f>
        <v/>
      </c>
      <c r="Q24" s="7">
        <f>IF(AND(G24&gt;0,F24&gt;0),G24/F24*100,"")</f>
        <v/>
      </c>
      <c r="R24" s="5">
        <f>IF(AND(H24&gt;0,G24&gt;0),H24/G24,"")</f>
        <v/>
      </c>
      <c r="S24" s="8">
        <f>IF(AND(L24&gt;0,G24&gt;0),L24/G24,"")</f>
        <v/>
      </c>
      <c r="T24" s="8">
        <f>IF(AND(M24&gt;0,G24&gt;0),M24/G24,"")</f>
        <v/>
      </c>
      <c r="U24" s="5">
        <f>IF(AND(M24&gt;0,N24&gt;0),M24/N24,"")</f>
        <v/>
      </c>
      <c r="V24" s="6">
        <f>IF(AND(I24&gt;=0,L24&gt;0),I24/L24*100,"")</f>
        <v/>
      </c>
      <c r="W24" s="9">
        <f>IF(AND(L24&gt;0,H24&gt;0,J24&gt;0),(L24-I24)/(H24*J24),"")</f>
        <v/>
      </c>
      <c r="X24" s="5">
        <f>IF(AND(M24&gt;0,N24&gt;0),M24/N24*0.7,"")</f>
        <v/>
      </c>
    </row>
    <row r="25">
      <c r="A25" s="2" t="inlineStr">
        <is>
          <t>2025-12</t>
        </is>
      </c>
      <c r="B25" s="2" t="inlineStr">
        <is>
          <t>金条</t>
        </is>
      </c>
      <c r="C25" s="2" t="inlineStr">
        <is>
          <t>首贷</t>
        </is>
      </c>
      <c r="D25" s="2" t="inlineStr">
        <is>
          <t>人工</t>
        </is>
      </c>
      <c r="E25" s="2" t="inlineStr">
        <is>
          <t>人和</t>
        </is>
      </c>
      <c r="F25" s="3" t="n">
        <v>78800</v>
      </c>
      <c r="G25" s="3" t="n">
        <v>1187</v>
      </c>
      <c r="H25" s="3" t="n">
        <v>39253000</v>
      </c>
      <c r="I25" s="3" t="n">
        <v>13226</v>
      </c>
      <c r="J25" s="4" t="n">
        <v>0.07000000000000001</v>
      </c>
      <c r="K25" s="3" t="n">
        <v>1.068</v>
      </c>
      <c r="L25" s="3" t="n">
        <v>171829</v>
      </c>
      <c r="M25" s="3" t="n">
        <v>148505</v>
      </c>
      <c r="N25" s="3" t="n">
        <v>22</v>
      </c>
      <c r="O25" s="5">
        <f>IF(L25&gt;0,L25-I25,"")</f>
        <v/>
      </c>
      <c r="P25" s="6">
        <f>IF(AND(M25&gt;0,L25&gt;0),M25/L25*100,"")</f>
        <v/>
      </c>
      <c r="Q25" s="7">
        <f>IF(AND(G25&gt;0,F25&gt;0),G25/F25*100,"")</f>
        <v/>
      </c>
      <c r="R25" s="5">
        <f>IF(AND(H25&gt;0,G25&gt;0),H25/G25,"")</f>
        <v/>
      </c>
      <c r="S25" s="8">
        <f>IF(AND(L25&gt;0,G25&gt;0),L25/G25,"")</f>
        <v/>
      </c>
      <c r="T25" s="8">
        <f>IF(AND(M25&gt;0,G25&gt;0),M25/G25,"")</f>
        <v/>
      </c>
      <c r="U25" s="5">
        <f>IF(AND(M25&gt;0,N25&gt;0),M25/N25,"")</f>
        <v/>
      </c>
      <c r="V25" s="6">
        <f>IF(AND(I25&gt;=0,L25&gt;0),I25/L25*100,"")</f>
        <v/>
      </c>
      <c r="W25" s="9">
        <f>IF(AND(L25&gt;0,H25&gt;0,J25&gt;0),(L25-I25)/(H25*J25),"")</f>
        <v/>
      </c>
      <c r="X25" s="5">
        <f>IF(AND(M25&gt;0,N25&gt;0),M25/N25*0.7,"")</f>
        <v/>
      </c>
    </row>
    <row r="26">
      <c r="A26" s="2" t="inlineStr">
        <is>
          <t>2025-12</t>
        </is>
      </c>
      <c r="B26" s="2" t="inlineStr">
        <is>
          <t>金条</t>
        </is>
      </c>
      <c r="C26" s="2" t="inlineStr">
        <is>
          <t>复贷</t>
        </is>
      </c>
      <c r="D26" s="2" t="inlineStr">
        <is>
          <t>人工</t>
        </is>
      </c>
      <c r="E26" s="2" t="inlineStr">
        <is>
          <t>人和</t>
        </is>
      </c>
      <c r="F26" s="3" t="n">
        <v>39849</v>
      </c>
      <c r="G26" s="3" t="n">
        <v>2176</v>
      </c>
      <c r="H26" s="3" t="n">
        <v>96863400</v>
      </c>
      <c r="I26" s="3" t="n">
        <v>6786</v>
      </c>
      <c r="J26" s="4" t="n">
        <v>0.36</v>
      </c>
      <c r="K26" s="3" t="n">
        <v>1.068</v>
      </c>
      <c r="L26" s="3" t="n">
        <v>94545</v>
      </c>
      <c r="M26" s="3" t="n">
        <v>82171</v>
      </c>
      <c r="N26" s="3" t="n">
        <v>35</v>
      </c>
      <c r="O26" s="5">
        <f>IF(L26&gt;0,L26-I26,"")</f>
        <v/>
      </c>
      <c r="P26" s="6">
        <f>IF(AND(M26&gt;0,L26&gt;0),M26/L26*100,"")</f>
        <v/>
      </c>
      <c r="Q26" s="7">
        <f>IF(AND(G26&gt;0,F26&gt;0),G26/F26*100,"")</f>
        <v/>
      </c>
      <c r="R26" s="5">
        <f>IF(AND(H26&gt;0,G26&gt;0),H26/G26,"")</f>
        <v/>
      </c>
      <c r="S26" s="8">
        <f>IF(AND(L26&gt;0,G26&gt;0),L26/G26,"")</f>
        <v/>
      </c>
      <c r="T26" s="8">
        <f>IF(AND(M26&gt;0,G26&gt;0),M26/G26,"")</f>
        <v/>
      </c>
      <c r="U26" s="5">
        <f>IF(AND(M26&gt;0,N26&gt;0),M26/N26,"")</f>
        <v/>
      </c>
      <c r="V26" s="6">
        <f>IF(AND(I26&gt;=0,L26&gt;0),I26/L26*100,"")</f>
        <v/>
      </c>
      <c r="W26" s="9">
        <f>IF(AND(L26&gt;0,H26&gt;0,J26&gt;0),(L26-I26)/(H26*J26),"")</f>
        <v/>
      </c>
      <c r="X26" s="5">
        <f>IF(AND(M26&gt;0,N26&gt;0),M26/N26*0.7,"")</f>
        <v/>
      </c>
    </row>
    <row r="27">
      <c r="A27" s="2" t="inlineStr">
        <is>
          <t>2025-12</t>
        </is>
      </c>
      <c r="B27" s="2" t="inlineStr">
        <is>
          <t>金条</t>
        </is>
      </c>
      <c r="C27" s="2" t="inlineStr">
        <is>
          <t>首贷</t>
        </is>
      </c>
      <c r="D27" s="2" t="inlineStr">
        <is>
          <t>人工</t>
        </is>
      </c>
      <c r="E27" s="2" t="inlineStr">
        <is>
          <t>赛维斯</t>
        </is>
      </c>
      <c r="F27" s="3" t="n">
        <v>203856</v>
      </c>
      <c r="G27" s="3" t="n">
        <v>3190</v>
      </c>
      <c r="H27" s="3" t="n">
        <v>112138100</v>
      </c>
      <c r="I27" s="3" t="n">
        <v>36164</v>
      </c>
      <c r="J27" s="4" t="n">
        <v>0.07000000000000001</v>
      </c>
      <c r="K27" s="3" t="n">
        <v>1.068</v>
      </c>
      <c r="L27" s="3" t="n">
        <v>520058</v>
      </c>
      <c r="M27" s="3" t="n">
        <v>453084</v>
      </c>
      <c r="N27" s="3" t="n">
        <v>51</v>
      </c>
      <c r="O27" s="5">
        <f>IF(L27&gt;0,L27-I27,"")</f>
        <v/>
      </c>
      <c r="P27" s="6">
        <f>IF(AND(M27&gt;0,L27&gt;0),M27/L27*100,"")</f>
        <v/>
      </c>
      <c r="Q27" s="7">
        <f>IF(AND(G27&gt;0,F27&gt;0),G27/F27*100,"")</f>
        <v/>
      </c>
      <c r="R27" s="5">
        <f>IF(AND(H27&gt;0,G27&gt;0),H27/G27,"")</f>
        <v/>
      </c>
      <c r="S27" s="8">
        <f>IF(AND(L27&gt;0,G27&gt;0),L27/G27,"")</f>
        <v/>
      </c>
      <c r="T27" s="8">
        <f>IF(AND(M27&gt;0,G27&gt;0),M27/G27,"")</f>
        <v/>
      </c>
      <c r="U27" s="5">
        <f>IF(AND(M27&gt;0,N27&gt;0),M27/N27,"")</f>
        <v/>
      </c>
      <c r="V27" s="6">
        <f>IF(AND(I27&gt;=0,L27&gt;0),I27/L27*100,"")</f>
        <v/>
      </c>
      <c r="W27" s="9">
        <f>IF(AND(L27&gt;0,H27&gt;0,J27&gt;0),(L27-I27)/(H27*J27),"")</f>
        <v/>
      </c>
      <c r="X27" s="5">
        <f>IF(AND(M27&gt;0,N27&gt;0),M27/N27*0.7,"")</f>
        <v/>
      </c>
    </row>
    <row r="28">
      <c r="A28" s="2" t="inlineStr">
        <is>
          <t>2025-12</t>
        </is>
      </c>
      <c r="B28" s="2" t="inlineStr">
        <is>
          <t>金条</t>
        </is>
      </c>
      <c r="C28" s="2" t="inlineStr">
        <is>
          <t>复贷</t>
        </is>
      </c>
      <c r="D28" s="2" t="inlineStr">
        <is>
          <t>人工</t>
        </is>
      </c>
      <c r="E28" s="2" t="inlineStr">
        <is>
          <t>赛维斯</t>
        </is>
      </c>
      <c r="F28" s="3" t="n">
        <v>135848</v>
      </c>
      <c r="G28" s="3" t="n">
        <v>7142</v>
      </c>
      <c r="H28" s="3" t="n">
        <v>240903300</v>
      </c>
      <c r="I28" s="3" t="n">
        <v>25715</v>
      </c>
      <c r="J28" s="4" t="n">
        <v>0.36</v>
      </c>
      <c r="K28" s="3" t="n">
        <v>1.068</v>
      </c>
      <c r="L28" s="3" t="n">
        <v>240107</v>
      </c>
      <c r="M28" s="3" t="n">
        <v>200742</v>
      </c>
      <c r="N28" s="3" t="n">
        <v>64</v>
      </c>
      <c r="O28" s="5">
        <f>IF(L28&gt;0,L28-I28,"")</f>
        <v/>
      </c>
      <c r="P28" s="6">
        <f>IF(AND(M28&gt;0,L28&gt;0),M28/L28*100,"")</f>
        <v/>
      </c>
      <c r="Q28" s="7">
        <f>IF(AND(G28&gt;0,F28&gt;0),G28/F28*100,"")</f>
        <v/>
      </c>
      <c r="R28" s="5">
        <f>IF(AND(H28&gt;0,G28&gt;0),H28/G28,"")</f>
        <v/>
      </c>
      <c r="S28" s="8">
        <f>IF(AND(L28&gt;0,G28&gt;0),L28/G28,"")</f>
        <v/>
      </c>
      <c r="T28" s="8">
        <f>IF(AND(M28&gt;0,G28&gt;0),M28/G28,"")</f>
        <v/>
      </c>
      <c r="U28" s="5">
        <f>IF(AND(M28&gt;0,N28&gt;0),M28/N28,"")</f>
        <v/>
      </c>
      <c r="V28" s="6">
        <f>IF(AND(I28&gt;=0,L28&gt;0),I28/L28*100,"")</f>
        <v/>
      </c>
      <c r="W28" s="9">
        <f>IF(AND(L28&gt;0,H28&gt;0,J28&gt;0),(L28-I28)/(H28*J28),"")</f>
        <v/>
      </c>
      <c r="X28" s="5">
        <f>IF(AND(M28&gt;0,N28&gt;0),M28/N28*0.7,"")</f>
        <v/>
      </c>
    </row>
    <row r="29">
      <c r="A29" s="2" t="inlineStr">
        <is>
          <t>2025-12</t>
        </is>
      </c>
      <c r="B29" s="2" t="inlineStr">
        <is>
          <t>金条</t>
        </is>
      </c>
      <c r="C29" s="2" t="inlineStr">
        <is>
          <t>复贷</t>
        </is>
      </c>
      <c r="D29" s="2" t="inlineStr">
        <is>
          <t>人工</t>
        </is>
      </c>
      <c r="E29" s="2" t="inlineStr">
        <is>
          <t>兴格毅</t>
        </is>
      </c>
      <c r="F29" s="3" t="n">
        <v>90649</v>
      </c>
      <c r="G29" s="3" t="n">
        <v>4725</v>
      </c>
      <c r="H29" s="3" t="n">
        <v>167128500</v>
      </c>
      <c r="I29" s="3" t="n">
        <v>13080</v>
      </c>
      <c r="J29" s="4" t="n">
        <v>0.36</v>
      </c>
      <c r="K29" s="3" t="n">
        <v>1.068</v>
      </c>
      <c r="L29" s="3" t="n">
        <v>164057</v>
      </c>
      <c r="M29" s="3" t="n">
        <v>141364</v>
      </c>
      <c r="N29" s="2" t="n"/>
      <c r="O29" s="5">
        <f>IF(L29&gt;0,L29-I29,"")</f>
        <v/>
      </c>
      <c r="P29" s="6">
        <f>IF(AND(M29&gt;0,L29&gt;0),M29/L29*100,"")</f>
        <v/>
      </c>
      <c r="Q29" s="7">
        <f>IF(AND(G29&gt;0,F29&gt;0),G29/F29*100,"")</f>
        <v/>
      </c>
      <c r="R29" s="5">
        <f>IF(AND(H29&gt;0,G29&gt;0),H29/G29,"")</f>
        <v/>
      </c>
      <c r="S29" s="8">
        <f>IF(AND(L29&gt;0,G29&gt;0),L29/G29,"")</f>
        <v/>
      </c>
      <c r="T29" s="8">
        <f>IF(AND(M29&gt;0,G29&gt;0),M29/G29,"")</f>
        <v/>
      </c>
      <c r="U29" s="5">
        <f>IF(AND(M29&gt;0,N29&gt;0),M29/N29,"")</f>
        <v/>
      </c>
      <c r="V29" s="6">
        <f>IF(AND(I29&gt;=0,L29&gt;0),I29/L29*100,"")</f>
        <v/>
      </c>
      <c r="W29" s="9">
        <f>IF(AND(L29&gt;0,H29&gt;0,J29&gt;0),(L29-I29)/(H29*J29),"")</f>
        <v/>
      </c>
      <c r="X29" s="5">
        <f>IF(AND(M29&gt;0,N29&gt;0),M29/N29*0.7,"")</f>
        <v/>
      </c>
    </row>
    <row r="30">
      <c r="A30" s="2" t="inlineStr">
        <is>
          <t>2025-12</t>
        </is>
      </c>
      <c r="B30" s="2" t="inlineStr">
        <is>
          <t>金条</t>
        </is>
      </c>
      <c r="C30" s="2" t="inlineStr">
        <is>
          <t>首贷</t>
        </is>
      </c>
      <c r="D30" s="2" t="inlineStr">
        <is>
          <t>人工</t>
        </is>
      </c>
      <c r="E30" s="2" t="inlineStr">
        <is>
          <t>宿迁兆科</t>
        </is>
      </c>
      <c r="F30" s="3" t="n">
        <v>39853</v>
      </c>
      <c r="G30" s="3" t="n">
        <v>617</v>
      </c>
      <c r="H30" s="3" t="n">
        <v>11267300</v>
      </c>
      <c r="I30" s="3" t="n">
        <v>5090</v>
      </c>
      <c r="J30" s="4" t="n">
        <v>0.07000000000000001</v>
      </c>
      <c r="K30" s="3" t="n">
        <v>1.068</v>
      </c>
      <c r="L30" s="3" t="n">
        <v>49248</v>
      </c>
      <c r="M30" s="3" t="n">
        <v>41346</v>
      </c>
      <c r="N30" s="2" t="n"/>
      <c r="O30" s="5">
        <f>IF(L30&gt;0,L30-I30,"")</f>
        <v/>
      </c>
      <c r="P30" s="6">
        <f>IF(AND(M30&gt;0,L30&gt;0),M30/L30*100,"")</f>
        <v/>
      </c>
      <c r="Q30" s="7">
        <f>IF(AND(G30&gt;0,F30&gt;0),G30/F30*100,"")</f>
        <v/>
      </c>
      <c r="R30" s="5">
        <f>IF(AND(H30&gt;0,G30&gt;0),H30/G30,"")</f>
        <v/>
      </c>
      <c r="S30" s="8">
        <f>IF(AND(L30&gt;0,G30&gt;0),L30/G30,"")</f>
        <v/>
      </c>
      <c r="T30" s="8">
        <f>IF(AND(M30&gt;0,G30&gt;0),M30/G30,"")</f>
        <v/>
      </c>
      <c r="U30" s="5">
        <f>IF(AND(M30&gt;0,N30&gt;0),M30/N30,"")</f>
        <v/>
      </c>
      <c r="V30" s="6">
        <f>IF(AND(I30&gt;=0,L30&gt;0),I30/L30*100,"")</f>
        <v/>
      </c>
      <c r="W30" s="9">
        <f>IF(AND(L30&gt;0,H30&gt;0,J30&gt;0),(L30-I30)/(H30*J30),"")</f>
        <v/>
      </c>
      <c r="X30" s="5">
        <f>IF(AND(M30&gt;0,N30&gt;0),M30/N30*0.7,"")</f>
        <v/>
      </c>
    </row>
    <row r="31">
      <c r="A31" s="2" t="inlineStr">
        <is>
          <t>2025-12</t>
        </is>
      </c>
      <c r="B31" s="2" t="inlineStr">
        <is>
          <t>金条</t>
        </is>
      </c>
      <c r="C31" s="2" t="inlineStr">
        <is>
          <t>复贷</t>
        </is>
      </c>
      <c r="D31" s="2" t="inlineStr">
        <is>
          <t>人工</t>
        </is>
      </c>
      <c r="E31" s="2" t="inlineStr">
        <is>
          <t>宿迁兆科</t>
        </is>
      </c>
      <c r="F31" s="3" t="n">
        <v>58432</v>
      </c>
      <c r="G31" s="3" t="n">
        <v>4133</v>
      </c>
      <c r="H31" s="3" t="n">
        <v>145065000</v>
      </c>
      <c r="I31" s="3" t="n">
        <v>8442</v>
      </c>
      <c r="J31" s="4" t="n">
        <v>0.36</v>
      </c>
      <c r="K31" s="3" t="n">
        <v>1.068</v>
      </c>
      <c r="L31" s="3" t="n">
        <v>147618</v>
      </c>
      <c r="M31" s="3" t="n">
        <v>130315</v>
      </c>
      <c r="N31" s="2" t="n"/>
      <c r="O31" s="5">
        <f>IF(L31&gt;0,L31-I31,"")</f>
        <v/>
      </c>
      <c r="P31" s="6">
        <f>IF(AND(M31&gt;0,L31&gt;0),M31/L31*100,"")</f>
        <v/>
      </c>
      <c r="Q31" s="7">
        <f>IF(AND(G31&gt;0,F31&gt;0),G31/F31*100,"")</f>
        <v/>
      </c>
      <c r="R31" s="5">
        <f>IF(AND(H31&gt;0,G31&gt;0),H31/G31,"")</f>
        <v/>
      </c>
      <c r="S31" s="8">
        <f>IF(AND(L31&gt;0,G31&gt;0),L31/G31,"")</f>
        <v/>
      </c>
      <c r="T31" s="8">
        <f>IF(AND(M31&gt;0,G31&gt;0),M31/G31,"")</f>
        <v/>
      </c>
      <c r="U31" s="5">
        <f>IF(AND(M31&gt;0,N31&gt;0),M31/N31,"")</f>
        <v/>
      </c>
      <c r="V31" s="6">
        <f>IF(AND(I31&gt;=0,L31&gt;0),I31/L31*100,"")</f>
        <v/>
      </c>
      <c r="W31" s="9">
        <f>IF(AND(L31&gt;0,H31&gt;0,J31&gt;0),(L31-I31)/(H31*J31),"")</f>
        <v/>
      </c>
      <c r="X31" s="5">
        <f>IF(AND(M31&gt;0,N31&gt;0),M31/N31*0.7,"")</f>
        <v/>
      </c>
    </row>
    <row r="32">
      <c r="A32" s="2" t="inlineStr">
        <is>
          <t>2025-12</t>
        </is>
      </c>
      <c r="B32" s="2" t="inlineStr">
        <is>
          <t>金条</t>
        </is>
      </c>
      <c r="C32" s="2" t="inlineStr">
        <is>
          <t>首贷</t>
        </is>
      </c>
      <c r="D32" s="2" t="inlineStr">
        <is>
          <t>人工</t>
        </is>
      </c>
      <c r="E32" s="2" t="inlineStr">
        <is>
          <t>毅航合肥</t>
        </is>
      </c>
      <c r="F32" s="3" t="n">
        <v>786515</v>
      </c>
      <c r="G32" s="3" t="n">
        <v>12669</v>
      </c>
      <c r="H32" s="3" t="n">
        <v>489557600</v>
      </c>
      <c r="I32" s="3" t="n">
        <v>129470</v>
      </c>
      <c r="J32" s="4" t="n">
        <v>0.07000000000000001</v>
      </c>
      <c r="K32" s="3" t="n">
        <v>1.068</v>
      </c>
      <c r="L32" s="3" t="n">
        <v>2174183</v>
      </c>
      <c r="M32" s="3" t="n">
        <v>1914526</v>
      </c>
      <c r="N32" s="3" t="n">
        <v>220</v>
      </c>
      <c r="O32" s="5">
        <f>IF(L32&gt;0,L32-I32,"")</f>
        <v/>
      </c>
      <c r="P32" s="6">
        <f>IF(AND(M32&gt;0,L32&gt;0),M32/L32*100,"")</f>
        <v/>
      </c>
      <c r="Q32" s="7">
        <f>IF(AND(G32&gt;0,F32&gt;0),G32/F32*100,"")</f>
        <v/>
      </c>
      <c r="R32" s="5">
        <f>IF(AND(H32&gt;0,G32&gt;0),H32/G32,"")</f>
        <v/>
      </c>
      <c r="S32" s="8">
        <f>IF(AND(L32&gt;0,G32&gt;0),L32/G32,"")</f>
        <v/>
      </c>
      <c r="T32" s="8">
        <f>IF(AND(M32&gt;0,G32&gt;0),M32/G32,"")</f>
        <v/>
      </c>
      <c r="U32" s="5">
        <f>IF(AND(M32&gt;0,N32&gt;0),M32/N32,"")</f>
        <v/>
      </c>
      <c r="V32" s="6">
        <f>IF(AND(I32&gt;=0,L32&gt;0),I32/L32*100,"")</f>
        <v/>
      </c>
      <c r="W32" s="9">
        <f>IF(AND(L32&gt;0,H32&gt;0,J32&gt;0),(L32-I32)/(H32*J32),"")</f>
        <v/>
      </c>
      <c r="X32" s="5">
        <f>IF(AND(M32&gt;0,N32&gt;0),M32/N32*0.7,"")</f>
        <v/>
      </c>
    </row>
    <row r="33">
      <c r="A33" s="2" t="inlineStr">
        <is>
          <t>2025-12</t>
        </is>
      </c>
      <c r="B33" s="2" t="inlineStr">
        <is>
          <t>金条</t>
        </is>
      </c>
      <c r="C33" s="2" t="inlineStr">
        <is>
          <t>复贷</t>
        </is>
      </c>
      <c r="D33" s="2" t="inlineStr">
        <is>
          <t>人工</t>
        </is>
      </c>
      <c r="E33" s="2" t="inlineStr">
        <is>
          <t>毅航合肥</t>
        </is>
      </c>
      <c r="F33" s="3" t="n">
        <v>444317</v>
      </c>
      <c r="G33" s="3" t="n">
        <v>21452</v>
      </c>
      <c r="H33" s="3" t="n">
        <v>822502600</v>
      </c>
      <c r="I33" s="3" t="n">
        <v>69899</v>
      </c>
      <c r="J33" s="4" t="n">
        <v>0.36</v>
      </c>
      <c r="K33" s="3" t="n">
        <v>1.068</v>
      </c>
      <c r="L33" s="3" t="n">
        <v>797874</v>
      </c>
      <c r="M33" s="3" t="n">
        <v>681624</v>
      </c>
      <c r="N33" s="3" t="n">
        <v>140</v>
      </c>
      <c r="O33" s="5">
        <f>IF(L33&gt;0,L33-I33,"")</f>
        <v/>
      </c>
      <c r="P33" s="6">
        <f>IF(AND(M33&gt;0,L33&gt;0),M33/L33*100,"")</f>
        <v/>
      </c>
      <c r="Q33" s="7">
        <f>IF(AND(G33&gt;0,F33&gt;0),G33/F33*100,"")</f>
        <v/>
      </c>
      <c r="R33" s="5">
        <f>IF(AND(H33&gt;0,G33&gt;0),H33/G33,"")</f>
        <v/>
      </c>
      <c r="S33" s="8">
        <f>IF(AND(L33&gt;0,G33&gt;0),L33/G33,"")</f>
        <v/>
      </c>
      <c r="T33" s="8">
        <f>IF(AND(M33&gt;0,G33&gt;0),M33/G33,"")</f>
        <v/>
      </c>
      <c r="U33" s="5">
        <f>IF(AND(M33&gt;0,N33&gt;0),M33/N33,"")</f>
        <v/>
      </c>
      <c r="V33" s="6">
        <f>IF(AND(I33&gt;=0,L33&gt;0),I33/L33*100,"")</f>
        <v/>
      </c>
      <c r="W33" s="9">
        <f>IF(AND(L33&gt;0,H33&gt;0,J33&gt;0),(L33-I33)/(H33*J33),"")</f>
        <v/>
      </c>
      <c r="X33" s="5">
        <f>IF(AND(M33&gt;0,N33&gt;0),M33/N33*0.7,"")</f>
        <v/>
      </c>
    </row>
    <row r="34">
      <c r="A34" s="2" t="inlineStr">
        <is>
          <t>2025-12</t>
        </is>
      </c>
      <c r="B34" s="2" t="inlineStr">
        <is>
          <t>金条</t>
        </is>
      </c>
      <c r="C34" s="2" t="inlineStr">
        <is>
          <t>首贷</t>
        </is>
      </c>
      <c r="D34" s="2" t="inlineStr">
        <is>
          <t>纯机</t>
        </is>
      </c>
      <c r="E34" s="2" t="inlineStr">
        <is>
          <t>电话邦</t>
        </is>
      </c>
      <c r="F34" s="3" t="n">
        <v>1059862</v>
      </c>
      <c r="G34" s="3" t="n">
        <v>660</v>
      </c>
      <c r="H34" s="3" t="n">
        <v>8137100</v>
      </c>
      <c r="I34" s="3" t="n">
        <v>87373</v>
      </c>
      <c r="J34" s="4" t="n">
        <v>0.07000000000000001</v>
      </c>
      <c r="K34" s="3" t="n">
        <v>1.068</v>
      </c>
      <c r="L34" s="3" t="n">
        <v>92070</v>
      </c>
      <c r="M34" s="3" t="n">
        <v>4398</v>
      </c>
      <c r="N34" s="2" t="n"/>
      <c r="O34" s="5">
        <f>IF(L34&gt;0,L34-I34,"")</f>
        <v/>
      </c>
      <c r="P34" s="6">
        <f>IF(AND(M34&gt;0,L34&gt;0),M34/L34*100,"")</f>
        <v/>
      </c>
      <c r="Q34" s="7">
        <f>IF(AND(G34&gt;0,F34&gt;0),G34/F34*100,"")</f>
        <v/>
      </c>
      <c r="R34" s="5">
        <f>IF(AND(H34&gt;0,G34&gt;0),H34/G34,"")</f>
        <v/>
      </c>
      <c r="S34" s="8">
        <f>IF(AND(L34&gt;0,G34&gt;0),L34/G34,"")</f>
        <v/>
      </c>
      <c r="T34" s="8">
        <f>IF(AND(M34&gt;0,G34&gt;0),M34/G34,"")</f>
        <v/>
      </c>
      <c r="U34" s="5">
        <f>IF(AND(M34&gt;0,N34&gt;0),M34/N34,"")</f>
        <v/>
      </c>
      <c r="V34" s="6">
        <f>IF(AND(I34&gt;=0,L34&gt;0),I34/L34*100,"")</f>
        <v/>
      </c>
      <c r="W34" s="9">
        <f>IF(AND(L34&gt;0,H34&gt;0,J34&gt;0),(L34-I34)/(H34*J34),"")</f>
        <v/>
      </c>
      <c r="X34" s="5">
        <f>IF(AND(M34&gt;0,N34&gt;0),M34/N34*0.7,"")</f>
        <v/>
      </c>
    </row>
    <row r="35">
      <c r="A35" s="2" t="inlineStr">
        <is>
          <t>2025-12</t>
        </is>
      </c>
      <c r="B35" s="2" t="inlineStr">
        <is>
          <t>金条</t>
        </is>
      </c>
      <c r="C35" s="2" t="inlineStr">
        <is>
          <t>首贷</t>
        </is>
      </c>
      <c r="D35" s="2" t="inlineStr">
        <is>
          <t>纯机</t>
        </is>
      </c>
      <c r="E35" s="2" t="inlineStr">
        <is>
          <t>九四</t>
        </is>
      </c>
      <c r="F35" s="3" t="n">
        <v>965603</v>
      </c>
      <c r="G35" s="3" t="n">
        <v>700</v>
      </c>
      <c r="H35" s="3" t="n">
        <v>9968800</v>
      </c>
      <c r="I35" s="3" t="n">
        <v>83899</v>
      </c>
      <c r="J35" s="4" t="n">
        <v>0.07000000000000001</v>
      </c>
      <c r="K35" s="3" t="n">
        <v>1.068</v>
      </c>
      <c r="L35" s="3" t="n">
        <v>97650</v>
      </c>
      <c r="M35" s="3" t="n">
        <v>12876</v>
      </c>
      <c r="N35" s="2" t="n"/>
      <c r="O35" s="5">
        <f>IF(L35&gt;0,L35-I35,"")</f>
        <v/>
      </c>
      <c r="P35" s="6">
        <f>IF(AND(M35&gt;0,L35&gt;0),M35/L35*100,"")</f>
        <v/>
      </c>
      <c r="Q35" s="7">
        <f>IF(AND(G35&gt;0,F35&gt;0),G35/F35*100,"")</f>
        <v/>
      </c>
      <c r="R35" s="5">
        <f>IF(AND(H35&gt;0,G35&gt;0),H35/G35,"")</f>
        <v/>
      </c>
      <c r="S35" s="8">
        <f>IF(AND(L35&gt;0,G35&gt;0),L35/G35,"")</f>
        <v/>
      </c>
      <c r="T35" s="8">
        <f>IF(AND(M35&gt;0,G35&gt;0),M35/G35,"")</f>
        <v/>
      </c>
      <c r="U35" s="5">
        <f>IF(AND(M35&gt;0,N35&gt;0),M35/N35,"")</f>
        <v/>
      </c>
      <c r="V35" s="6">
        <f>IF(AND(I35&gt;=0,L35&gt;0),I35/L35*100,"")</f>
        <v/>
      </c>
      <c r="W35" s="9">
        <f>IF(AND(L35&gt;0,H35&gt;0,J35&gt;0),(L35-I35)/(H35*J35),"")</f>
        <v/>
      </c>
      <c r="X35" s="5">
        <f>IF(AND(M35&gt;0,N35&gt;0),M35/N35*0.7,"")</f>
        <v/>
      </c>
    </row>
    <row r="36">
      <c r="A36" s="2" t="inlineStr">
        <is>
          <t>2025-12</t>
        </is>
      </c>
      <c r="B36" s="2" t="inlineStr">
        <is>
          <t>金条</t>
        </is>
      </c>
      <c r="C36" s="2" t="inlineStr">
        <is>
          <t>首贷</t>
        </is>
      </c>
      <c r="D36" s="2" t="inlineStr">
        <is>
          <t>纯机</t>
        </is>
      </c>
      <c r="E36" s="2" t="inlineStr">
        <is>
          <t>零犀</t>
        </is>
      </c>
      <c r="F36" s="3" t="n">
        <v>16613015</v>
      </c>
      <c r="G36" s="3" t="n">
        <v>17336</v>
      </c>
      <c r="H36" s="3" t="n">
        <v>412741500</v>
      </c>
      <c r="I36" s="3" t="n">
        <v>1383837</v>
      </c>
      <c r="J36" s="4" t="n">
        <v>0.07000000000000001</v>
      </c>
      <c r="K36" s="3" t="n">
        <v>1.068</v>
      </c>
      <c r="L36" s="3" t="n">
        <v>2418372</v>
      </c>
      <c r="M36" s="3" t="n">
        <v>968666</v>
      </c>
      <c r="N36" s="2" t="n"/>
      <c r="O36" s="5">
        <f>IF(L36&gt;0,L36-I36,"")</f>
        <v/>
      </c>
      <c r="P36" s="6">
        <f>IF(AND(M36&gt;0,L36&gt;0),M36/L36*100,"")</f>
        <v/>
      </c>
      <c r="Q36" s="7">
        <f>IF(AND(G36&gt;0,F36&gt;0),G36/F36*100,"")</f>
        <v/>
      </c>
      <c r="R36" s="5">
        <f>IF(AND(H36&gt;0,G36&gt;0),H36/G36,"")</f>
        <v/>
      </c>
      <c r="S36" s="8">
        <f>IF(AND(L36&gt;0,G36&gt;0),L36/G36,"")</f>
        <v/>
      </c>
      <c r="T36" s="8">
        <f>IF(AND(M36&gt;0,G36&gt;0),M36/G36,"")</f>
        <v/>
      </c>
      <c r="U36" s="5">
        <f>IF(AND(M36&gt;0,N36&gt;0),M36/N36,"")</f>
        <v/>
      </c>
      <c r="V36" s="6">
        <f>IF(AND(I36&gt;=0,L36&gt;0),I36/L36*100,"")</f>
        <v/>
      </c>
      <c r="W36" s="9">
        <f>IF(AND(L36&gt;0,H36&gt;0,J36&gt;0),(L36-I36)/(H36*J36),"")</f>
        <v/>
      </c>
      <c r="X36" s="5">
        <f>IF(AND(M36&gt;0,N36&gt;0),M36/N36*0.7,"")</f>
        <v/>
      </c>
    </row>
    <row r="37">
      <c r="A37" s="2" t="inlineStr">
        <is>
          <t>2025-12</t>
        </is>
      </c>
      <c r="B37" s="2" t="inlineStr">
        <is>
          <t>金条</t>
        </is>
      </c>
      <c r="C37" s="2" t="inlineStr">
        <is>
          <t>复贷</t>
        </is>
      </c>
      <c r="D37" s="2" t="inlineStr">
        <is>
          <t>纯机</t>
        </is>
      </c>
      <c r="E37" s="2" t="inlineStr">
        <is>
          <t>零犀</t>
        </is>
      </c>
      <c r="F37" s="3" t="n">
        <v>308351</v>
      </c>
      <c r="G37" s="3" t="n">
        <v>21166</v>
      </c>
      <c r="H37" s="3" t="n">
        <v>501287700</v>
      </c>
      <c r="I37" s="3" t="n">
        <v>33257</v>
      </c>
      <c r="J37" s="4" t="n">
        <v>0.36</v>
      </c>
      <c r="K37" s="3" t="n">
        <v>1.068</v>
      </c>
      <c r="L37" s="3" t="n">
        <v>76998</v>
      </c>
      <c r="M37" s="3" t="n">
        <v>40956</v>
      </c>
      <c r="N37" s="2" t="n"/>
      <c r="O37" s="5">
        <f>IF(L37&gt;0,L37-I37,"")</f>
        <v/>
      </c>
      <c r="P37" s="6">
        <f>IF(AND(M37&gt;0,L37&gt;0),M37/L37*100,"")</f>
        <v/>
      </c>
      <c r="Q37" s="7">
        <f>IF(AND(G37&gt;0,F37&gt;0),G37/F37*100,"")</f>
        <v/>
      </c>
      <c r="R37" s="5">
        <f>IF(AND(H37&gt;0,G37&gt;0),H37/G37,"")</f>
        <v/>
      </c>
      <c r="S37" s="8">
        <f>IF(AND(L37&gt;0,G37&gt;0),L37/G37,"")</f>
        <v/>
      </c>
      <c r="T37" s="8">
        <f>IF(AND(M37&gt;0,G37&gt;0),M37/G37,"")</f>
        <v/>
      </c>
      <c r="U37" s="5">
        <f>IF(AND(M37&gt;0,N37&gt;0),M37/N37,"")</f>
        <v/>
      </c>
      <c r="V37" s="6">
        <f>IF(AND(I37&gt;=0,L37&gt;0),I37/L37*100,"")</f>
        <v/>
      </c>
      <c r="W37" s="9">
        <f>IF(AND(L37&gt;0,H37&gt;0,J37&gt;0),(L37-I37)/(H37*J37),"")</f>
        <v/>
      </c>
      <c r="X37" s="5">
        <f>IF(AND(M37&gt;0,N37&gt;0),M37/N37*0.7,"")</f>
        <v/>
      </c>
    </row>
    <row r="38">
      <c r="A38" s="2" t="inlineStr">
        <is>
          <t>2025-12</t>
        </is>
      </c>
      <c r="B38" s="2" t="inlineStr">
        <is>
          <t>金条</t>
        </is>
      </c>
      <c r="C38" s="2" t="inlineStr">
        <is>
          <t>首贷</t>
        </is>
      </c>
      <c r="D38" s="2" t="inlineStr">
        <is>
          <t>纯机</t>
        </is>
      </c>
      <c r="E38" s="2" t="inlineStr">
        <is>
          <t>言犀赛夫</t>
        </is>
      </c>
      <c r="F38" s="3" t="n">
        <v>6058258</v>
      </c>
      <c r="G38" s="3" t="n">
        <v>4186</v>
      </c>
      <c r="H38" s="3" t="n">
        <v>75743800</v>
      </c>
      <c r="I38" s="3" t="n">
        <v>519620</v>
      </c>
      <c r="J38" s="4" t="n">
        <v>0.07000000000000001</v>
      </c>
      <c r="K38" s="3" t="n">
        <v>1.068</v>
      </c>
      <c r="L38" s="3" t="n">
        <v>583947</v>
      </c>
      <c r="M38" s="3" t="n">
        <v>60232</v>
      </c>
      <c r="N38" s="2" t="n"/>
      <c r="O38" s="5">
        <f>IF(L38&gt;0,L38-I38,"")</f>
        <v/>
      </c>
      <c r="P38" s="6">
        <f>IF(AND(M38&gt;0,L38&gt;0),M38/L38*100,"")</f>
        <v/>
      </c>
      <c r="Q38" s="7">
        <f>IF(AND(G38&gt;0,F38&gt;0),G38/F38*100,"")</f>
        <v/>
      </c>
      <c r="R38" s="5">
        <f>IF(AND(H38&gt;0,G38&gt;0),H38/G38,"")</f>
        <v/>
      </c>
      <c r="S38" s="8">
        <f>IF(AND(L38&gt;0,G38&gt;0),L38/G38,"")</f>
        <v/>
      </c>
      <c r="T38" s="8">
        <f>IF(AND(M38&gt;0,G38&gt;0),M38/G38,"")</f>
        <v/>
      </c>
      <c r="U38" s="5">
        <f>IF(AND(M38&gt;0,N38&gt;0),M38/N38,"")</f>
        <v/>
      </c>
      <c r="V38" s="6">
        <f>IF(AND(I38&gt;=0,L38&gt;0),I38/L38*100,"")</f>
        <v/>
      </c>
      <c r="W38" s="9">
        <f>IF(AND(L38&gt;0,H38&gt;0,J38&gt;0),(L38-I38)/(H38*J38),"")</f>
        <v/>
      </c>
      <c r="X38" s="5">
        <f>IF(AND(M38&gt;0,N38&gt;0),M38/N38*0.7,"")</f>
        <v/>
      </c>
    </row>
    <row r="39">
      <c r="A39" s="2" t="inlineStr">
        <is>
          <t>2025-12</t>
        </is>
      </c>
      <c r="B39" s="2" t="inlineStr">
        <is>
          <t>金条</t>
        </is>
      </c>
      <c r="C39" s="2" t="inlineStr">
        <is>
          <t>复贷</t>
        </is>
      </c>
      <c r="D39" s="2" t="inlineStr">
        <is>
          <t>纯机</t>
        </is>
      </c>
      <c r="E39" s="2" t="inlineStr">
        <is>
          <t>言犀赛夫</t>
        </is>
      </c>
      <c r="F39" s="3" t="n">
        <v>220889</v>
      </c>
      <c r="G39" s="3" t="n">
        <v>14071</v>
      </c>
      <c r="H39" s="3" t="n">
        <v>331601200</v>
      </c>
      <c r="I39" s="3" t="n">
        <v>24351</v>
      </c>
      <c r="J39" s="4" t="n">
        <v>0.36</v>
      </c>
      <c r="K39" s="3" t="n">
        <v>1.068</v>
      </c>
      <c r="L39" s="3" t="n">
        <v>50934</v>
      </c>
      <c r="M39" s="3" t="n">
        <v>24890</v>
      </c>
      <c r="N39" s="2" t="n"/>
      <c r="O39" s="5">
        <f>IF(L39&gt;0,L39-I39,"")</f>
        <v/>
      </c>
      <c r="P39" s="6">
        <f>IF(AND(M39&gt;0,L39&gt;0),M39/L39*100,"")</f>
        <v/>
      </c>
      <c r="Q39" s="7">
        <f>IF(AND(G39&gt;0,F39&gt;0),G39/F39*100,"")</f>
        <v/>
      </c>
      <c r="R39" s="5">
        <f>IF(AND(H39&gt;0,G39&gt;0),H39/G39,"")</f>
        <v/>
      </c>
      <c r="S39" s="8">
        <f>IF(AND(L39&gt;0,G39&gt;0),L39/G39,"")</f>
        <v/>
      </c>
      <c r="T39" s="8">
        <f>IF(AND(M39&gt;0,G39&gt;0),M39/G39,"")</f>
        <v/>
      </c>
      <c r="U39" s="5">
        <f>IF(AND(M39&gt;0,N39&gt;0),M39/N39,"")</f>
        <v/>
      </c>
      <c r="V39" s="6">
        <f>IF(AND(I39&gt;=0,L39&gt;0),I39/L39*100,"")</f>
        <v/>
      </c>
      <c r="W39" s="9">
        <f>IF(AND(L39&gt;0,H39&gt;0,J39&gt;0),(L39-I39)/(H39*J39),"")</f>
        <v/>
      </c>
      <c r="X39" s="5">
        <f>IF(AND(M39&gt;0,N39&gt;0),M39/N39*0.7,"")</f>
        <v/>
      </c>
    </row>
    <row r="40">
      <c r="A40" s="2" t="inlineStr">
        <is>
          <t>2026-01</t>
        </is>
      </c>
      <c r="B40" s="2" t="inlineStr">
        <is>
          <t>金条</t>
        </is>
      </c>
      <c r="C40" s="2" t="inlineStr">
        <is>
          <t>首贷</t>
        </is>
      </c>
      <c r="D40" s="2" t="inlineStr">
        <is>
          <t>人机</t>
        </is>
      </c>
      <c r="E40" s="2" t="inlineStr">
        <is>
          <t>零犀伽玛</t>
        </is>
      </c>
      <c r="F40" s="3" t="n">
        <v>2513420</v>
      </c>
      <c r="G40" s="3" t="n">
        <v>7945</v>
      </c>
      <c r="H40" s="3" t="n">
        <v>144302700</v>
      </c>
      <c r="I40" s="3" t="n">
        <v>271934</v>
      </c>
      <c r="J40" s="4" t="n">
        <v>0.07000000000000001</v>
      </c>
      <c r="K40" s="3" t="n">
        <v>1.068</v>
      </c>
      <c r="L40" s="3" t="n">
        <v>781279</v>
      </c>
      <c r="M40" s="3" t="n">
        <v>476915</v>
      </c>
      <c r="N40" s="3" t="n">
        <v>30</v>
      </c>
      <c r="O40" s="5">
        <f>IF(L40&gt;0,L40-I40,"")</f>
        <v/>
      </c>
      <c r="P40" s="6">
        <f>IF(AND(M40&gt;0,L40&gt;0),M40/L40*100,"")</f>
        <v/>
      </c>
      <c r="Q40" s="7">
        <f>IF(AND(G40&gt;0,F40&gt;0),G40/F40*100,"")</f>
        <v/>
      </c>
      <c r="R40" s="5">
        <f>IF(AND(H40&gt;0,G40&gt;0),H40/G40,"")</f>
        <v/>
      </c>
      <c r="S40" s="8">
        <f>IF(AND(L40&gt;0,G40&gt;0),L40/G40,"")</f>
        <v/>
      </c>
      <c r="T40" s="8">
        <f>IF(AND(M40&gt;0,G40&gt;0),M40/G40,"")</f>
        <v/>
      </c>
      <c r="U40" s="5">
        <f>IF(AND(M40&gt;0,N40&gt;0),M40/N40,"")</f>
        <v/>
      </c>
      <c r="V40" s="6">
        <f>IF(AND(I40&gt;=0,L40&gt;0),I40/L40*100,"")</f>
        <v/>
      </c>
      <c r="W40" s="9">
        <f>IF(AND(L40&gt;0,H40&gt;0,J40&gt;0),(L40-I40)/(H40*J40),"")</f>
        <v/>
      </c>
      <c r="X40" s="5">
        <f>IF(AND(M40&gt;0,N40&gt;0),M40/N40*0.7,"")</f>
        <v/>
      </c>
    </row>
    <row r="41">
      <c r="A41" s="2" t="inlineStr">
        <is>
          <t>2026-01</t>
        </is>
      </c>
      <c r="B41" s="2" t="inlineStr">
        <is>
          <t>金条</t>
        </is>
      </c>
      <c r="C41" s="2" t="inlineStr">
        <is>
          <t>首贷</t>
        </is>
      </c>
      <c r="D41" s="2" t="inlineStr">
        <is>
          <t>人机</t>
        </is>
      </c>
      <c r="E41" s="2" t="inlineStr">
        <is>
          <t>零犀</t>
        </is>
      </c>
      <c r="F41" s="3" t="n">
        <v>10262894</v>
      </c>
      <c r="G41" s="3" t="n">
        <v>34844</v>
      </c>
      <c r="H41" s="3" t="n">
        <v>768615100</v>
      </c>
      <c r="I41" s="3" t="n">
        <v>1072642</v>
      </c>
      <c r="J41" s="4" t="n">
        <v>0.07000000000000001</v>
      </c>
      <c r="K41" s="3" t="n">
        <v>1.068</v>
      </c>
      <c r="L41" s="3" t="n">
        <v>4169398</v>
      </c>
      <c r="M41" s="3" t="n">
        <v>2899584</v>
      </c>
      <c r="N41" s="3" t="n">
        <v>81</v>
      </c>
      <c r="O41" s="5">
        <f>IF(L41&gt;0,L41-I41,"")</f>
        <v/>
      </c>
      <c r="P41" s="6">
        <f>IF(AND(M41&gt;0,L41&gt;0),M41/L41*100,"")</f>
        <v/>
      </c>
      <c r="Q41" s="7">
        <f>IF(AND(G41&gt;0,F41&gt;0),G41/F41*100,"")</f>
        <v/>
      </c>
      <c r="R41" s="5">
        <f>IF(AND(H41&gt;0,G41&gt;0),H41/G41,"")</f>
        <v/>
      </c>
      <c r="S41" s="8">
        <f>IF(AND(L41&gt;0,G41&gt;0),L41/G41,"")</f>
        <v/>
      </c>
      <c r="T41" s="8">
        <f>IF(AND(M41&gt;0,G41&gt;0),M41/G41,"")</f>
        <v/>
      </c>
      <c r="U41" s="5">
        <f>IF(AND(M41&gt;0,N41&gt;0),M41/N41,"")</f>
        <v/>
      </c>
      <c r="V41" s="6">
        <f>IF(AND(I41&gt;=0,L41&gt;0),I41/L41*100,"")</f>
        <v/>
      </c>
      <c r="W41" s="9">
        <f>IF(AND(L41&gt;0,H41&gt;0,J41&gt;0),(L41-I41)/(H41*J41),"")</f>
        <v/>
      </c>
      <c r="X41" s="5">
        <f>IF(AND(M41&gt;0,N41&gt;0),M41/N41*0.7,"")</f>
        <v/>
      </c>
    </row>
    <row r="42">
      <c r="A42" s="2" t="inlineStr">
        <is>
          <t>2026-01</t>
        </is>
      </c>
      <c r="B42" s="2" t="inlineStr">
        <is>
          <t>金条</t>
        </is>
      </c>
      <c r="C42" s="2" t="inlineStr">
        <is>
          <t>复贷</t>
        </is>
      </c>
      <c r="D42" s="2" t="inlineStr">
        <is>
          <t>人机</t>
        </is>
      </c>
      <c r="E42" s="2" t="inlineStr">
        <is>
          <t>零犀</t>
        </is>
      </c>
      <c r="F42" s="3" t="n">
        <v>1917233</v>
      </c>
      <c r="G42" s="3" t="n">
        <v>13579</v>
      </c>
      <c r="H42" s="3" t="n">
        <v>669310200</v>
      </c>
      <c r="I42" s="3" t="n">
        <v>186327</v>
      </c>
      <c r="J42" s="4" t="n">
        <v>0.36</v>
      </c>
      <c r="K42" s="3" t="n">
        <v>1.068</v>
      </c>
      <c r="L42" s="3" t="n">
        <v>771045</v>
      </c>
      <c r="M42" s="3" t="n">
        <v>547490</v>
      </c>
      <c r="N42" s="3" t="n">
        <v>13</v>
      </c>
      <c r="O42" s="5">
        <f>IF(L42&gt;0,L42-I42,"")</f>
        <v/>
      </c>
      <c r="P42" s="6">
        <f>IF(AND(M42&gt;0,L42&gt;0),M42/L42*100,"")</f>
        <v/>
      </c>
      <c r="Q42" s="7">
        <f>IF(AND(G42&gt;0,F42&gt;0),G42/F42*100,"")</f>
        <v/>
      </c>
      <c r="R42" s="5">
        <f>IF(AND(H42&gt;0,G42&gt;0),H42/G42,"")</f>
        <v/>
      </c>
      <c r="S42" s="8">
        <f>IF(AND(L42&gt;0,G42&gt;0),L42/G42,"")</f>
        <v/>
      </c>
      <c r="T42" s="8">
        <f>IF(AND(M42&gt;0,G42&gt;0),M42/G42,"")</f>
        <v/>
      </c>
      <c r="U42" s="5">
        <f>IF(AND(M42&gt;0,N42&gt;0),M42/N42,"")</f>
        <v/>
      </c>
      <c r="V42" s="6">
        <f>IF(AND(I42&gt;=0,L42&gt;0),I42/L42*100,"")</f>
        <v/>
      </c>
      <c r="W42" s="9">
        <f>IF(AND(L42&gt;0,H42&gt;0,J42&gt;0),(L42-I42)/(H42*J42),"")</f>
        <v/>
      </c>
      <c r="X42" s="5">
        <f>IF(AND(M42&gt;0,N42&gt;0),M42/N42*0.7,"")</f>
        <v/>
      </c>
    </row>
    <row r="43">
      <c r="A43" s="2" t="inlineStr">
        <is>
          <t>2026-01</t>
        </is>
      </c>
      <c r="B43" s="2" t="inlineStr">
        <is>
          <t>金条</t>
        </is>
      </c>
      <c r="C43" s="2" t="inlineStr">
        <is>
          <t>首贷</t>
        </is>
      </c>
      <c r="D43" s="2" t="inlineStr">
        <is>
          <t>人机</t>
        </is>
      </c>
      <c r="E43" s="2" t="inlineStr">
        <is>
          <t>零犀毛毛虫</t>
        </is>
      </c>
      <c r="F43" s="3" t="n">
        <v>1948705</v>
      </c>
      <c r="G43" s="3" t="n">
        <v>6662</v>
      </c>
      <c r="H43" s="3" t="n">
        <v>131905400</v>
      </c>
      <c r="I43" s="3" t="n">
        <v>211660</v>
      </c>
      <c r="J43" s="4" t="n">
        <v>0.07000000000000001</v>
      </c>
      <c r="K43" s="3" t="n">
        <v>1.068</v>
      </c>
      <c r="L43" s="3" t="n">
        <v>703632</v>
      </c>
      <c r="M43" s="3" t="n">
        <v>460647</v>
      </c>
      <c r="N43" s="3" t="n">
        <v>32</v>
      </c>
      <c r="O43" s="5">
        <f>IF(L43&gt;0,L43-I43,"")</f>
        <v/>
      </c>
      <c r="P43" s="6">
        <f>IF(AND(M43&gt;0,L43&gt;0),M43/L43*100,"")</f>
        <v/>
      </c>
      <c r="Q43" s="7">
        <f>IF(AND(G43&gt;0,F43&gt;0),G43/F43*100,"")</f>
        <v/>
      </c>
      <c r="R43" s="5">
        <f>IF(AND(H43&gt;0,G43&gt;0),H43/G43,"")</f>
        <v/>
      </c>
      <c r="S43" s="8">
        <f>IF(AND(L43&gt;0,G43&gt;0),L43/G43,"")</f>
        <v/>
      </c>
      <c r="T43" s="8">
        <f>IF(AND(M43&gt;0,G43&gt;0),M43/G43,"")</f>
        <v/>
      </c>
      <c r="U43" s="5">
        <f>IF(AND(M43&gt;0,N43&gt;0),M43/N43,"")</f>
        <v/>
      </c>
      <c r="V43" s="6">
        <f>IF(AND(I43&gt;=0,L43&gt;0),I43/L43*100,"")</f>
        <v/>
      </c>
      <c r="W43" s="9">
        <f>IF(AND(L43&gt;0,H43&gt;0,J43&gt;0),(L43-I43)/(H43*J43),"")</f>
        <v/>
      </c>
      <c r="X43" s="5">
        <f>IF(AND(M43&gt;0,N43&gt;0),M43/N43*0.7,"")</f>
        <v/>
      </c>
    </row>
    <row r="44">
      <c r="A44" s="2" t="inlineStr">
        <is>
          <t>2026-01</t>
        </is>
      </c>
      <c r="B44" s="2" t="inlineStr">
        <is>
          <t>金条</t>
        </is>
      </c>
      <c r="C44" s="2" t="inlineStr">
        <is>
          <t>首贷</t>
        </is>
      </c>
      <c r="D44" s="2" t="inlineStr">
        <is>
          <t>人机</t>
        </is>
      </c>
      <c r="E44" s="2" t="inlineStr">
        <is>
          <t>零犀赛维斯</t>
        </is>
      </c>
      <c r="F44" s="3" t="n">
        <v>2011172</v>
      </c>
      <c r="G44" s="3" t="n">
        <v>6569</v>
      </c>
      <c r="H44" s="3" t="n">
        <v>120954300</v>
      </c>
      <c r="I44" s="3" t="n">
        <v>233130</v>
      </c>
      <c r="J44" s="4" t="n">
        <v>0.07000000000000001</v>
      </c>
      <c r="K44" s="3" t="n">
        <v>1.068</v>
      </c>
      <c r="L44" s="3" t="n">
        <v>646912</v>
      </c>
      <c r="M44" s="3" t="n">
        <v>387437</v>
      </c>
      <c r="N44" s="3" t="n">
        <v>23</v>
      </c>
      <c r="O44" s="5">
        <f>IF(L44&gt;0,L44-I44,"")</f>
        <v/>
      </c>
      <c r="P44" s="6">
        <f>IF(AND(M44&gt;0,L44&gt;0),M44/L44*100,"")</f>
        <v/>
      </c>
      <c r="Q44" s="7">
        <f>IF(AND(G44&gt;0,F44&gt;0),G44/F44*100,"")</f>
        <v/>
      </c>
      <c r="R44" s="5">
        <f>IF(AND(H44&gt;0,G44&gt;0),H44/G44,"")</f>
        <v/>
      </c>
      <c r="S44" s="8">
        <f>IF(AND(L44&gt;0,G44&gt;0),L44/G44,"")</f>
        <v/>
      </c>
      <c r="T44" s="8">
        <f>IF(AND(M44&gt;0,G44&gt;0),M44/G44,"")</f>
        <v/>
      </c>
      <c r="U44" s="5">
        <f>IF(AND(M44&gt;0,N44&gt;0),M44/N44,"")</f>
        <v/>
      </c>
      <c r="V44" s="6">
        <f>IF(AND(I44&gt;=0,L44&gt;0),I44/L44*100,"")</f>
        <v/>
      </c>
      <c r="W44" s="9">
        <f>IF(AND(L44&gt;0,H44&gt;0,J44&gt;0),(L44-I44)/(H44*J44),"")</f>
        <v/>
      </c>
      <c r="X44" s="5">
        <f>IF(AND(M44&gt;0,N44&gt;0),M44/N44*0.7,"")</f>
        <v/>
      </c>
    </row>
    <row r="45">
      <c r="A45" s="2" t="inlineStr">
        <is>
          <t>2026-01</t>
        </is>
      </c>
      <c r="B45" s="2" t="inlineStr">
        <is>
          <t>金条</t>
        </is>
      </c>
      <c r="C45" s="2" t="inlineStr">
        <is>
          <t>首贷</t>
        </is>
      </c>
      <c r="D45" s="2" t="inlineStr">
        <is>
          <t>人机</t>
        </is>
      </c>
      <c r="E45" s="2" t="inlineStr">
        <is>
          <t>零犀毅航</t>
        </is>
      </c>
      <c r="F45" s="3" t="n">
        <v>3781808</v>
      </c>
      <c r="G45" s="3" t="n">
        <v>12862</v>
      </c>
      <c r="H45" s="3" t="n">
        <v>262594900</v>
      </c>
      <c r="I45" s="3" t="n">
        <v>401334</v>
      </c>
      <c r="J45" s="4" t="n">
        <v>0.07000000000000001</v>
      </c>
      <c r="K45" s="3" t="n">
        <v>1.068</v>
      </c>
      <c r="L45" s="3" t="n">
        <v>1422467</v>
      </c>
      <c r="M45" s="3" t="n">
        <v>956117</v>
      </c>
      <c r="N45" s="3" t="n">
        <v>49</v>
      </c>
      <c r="O45" s="5">
        <f>IF(L45&gt;0,L45-I45,"")</f>
        <v/>
      </c>
      <c r="P45" s="6">
        <f>IF(AND(M45&gt;0,L45&gt;0),M45/L45*100,"")</f>
        <v/>
      </c>
      <c r="Q45" s="7">
        <f>IF(AND(G45&gt;0,F45&gt;0),G45/F45*100,"")</f>
        <v/>
      </c>
      <c r="R45" s="5">
        <f>IF(AND(H45&gt;0,G45&gt;0),H45/G45,"")</f>
        <v/>
      </c>
      <c r="S45" s="8">
        <f>IF(AND(L45&gt;0,G45&gt;0),L45/G45,"")</f>
        <v/>
      </c>
      <c r="T45" s="8">
        <f>IF(AND(M45&gt;0,G45&gt;0),M45/G45,"")</f>
        <v/>
      </c>
      <c r="U45" s="5">
        <f>IF(AND(M45&gt;0,N45&gt;0),M45/N45,"")</f>
        <v/>
      </c>
      <c r="V45" s="6">
        <f>IF(AND(I45&gt;=0,L45&gt;0),I45/L45*100,"")</f>
        <v/>
      </c>
      <c r="W45" s="9">
        <f>IF(AND(L45&gt;0,H45&gt;0,J45&gt;0),(L45-I45)/(H45*J45),"")</f>
        <v/>
      </c>
      <c r="X45" s="5">
        <f>IF(AND(M45&gt;0,N45&gt;0),M45/N45*0.7,"")</f>
        <v/>
      </c>
    </row>
    <row r="46">
      <c r="A46" s="2" t="inlineStr">
        <is>
          <t>2026-01</t>
        </is>
      </c>
      <c r="B46" s="2" t="inlineStr">
        <is>
          <t>金条</t>
        </is>
      </c>
      <c r="C46" s="2" t="inlineStr">
        <is>
          <t>复贷</t>
        </is>
      </c>
      <c r="D46" s="2" t="inlineStr">
        <is>
          <t>人机</t>
        </is>
      </c>
      <c r="E46" s="2" t="inlineStr">
        <is>
          <t>毛毛虫</t>
        </is>
      </c>
      <c r="F46" s="3" t="n">
        <v>133138</v>
      </c>
      <c r="G46" s="3" t="n">
        <v>2032</v>
      </c>
      <c r="H46" s="3" t="n">
        <v>81377200</v>
      </c>
      <c r="I46" s="3" t="n">
        <v>15711</v>
      </c>
      <c r="J46" s="4" t="n">
        <v>0.36</v>
      </c>
      <c r="K46" s="3" t="n">
        <v>1.068</v>
      </c>
      <c r="L46" s="3" t="n">
        <v>93747</v>
      </c>
      <c r="M46" s="3" t="n">
        <v>73067</v>
      </c>
      <c r="N46" s="2" t="n"/>
      <c r="O46" s="5">
        <f>IF(L46&gt;0,L46-I46,"")</f>
        <v/>
      </c>
      <c r="P46" s="6">
        <f>IF(AND(M46&gt;0,L46&gt;0),M46/L46*100,"")</f>
        <v/>
      </c>
      <c r="Q46" s="7">
        <f>IF(AND(G46&gt;0,F46&gt;0),G46/F46*100,"")</f>
        <v/>
      </c>
      <c r="R46" s="5">
        <f>IF(AND(H46&gt;0,G46&gt;0),H46/G46,"")</f>
        <v/>
      </c>
      <c r="S46" s="8">
        <f>IF(AND(L46&gt;0,G46&gt;0),L46/G46,"")</f>
        <v/>
      </c>
      <c r="T46" s="8">
        <f>IF(AND(M46&gt;0,G46&gt;0),M46/G46,"")</f>
        <v/>
      </c>
      <c r="U46" s="5">
        <f>IF(AND(M46&gt;0,N46&gt;0),M46/N46,"")</f>
        <v/>
      </c>
      <c r="V46" s="6">
        <f>IF(AND(I46&gt;=0,L46&gt;0),I46/L46*100,"")</f>
        <v/>
      </c>
      <c r="W46" s="9">
        <f>IF(AND(L46&gt;0,H46&gt;0,J46&gt;0),(L46-I46)/(H46*J46),"")</f>
        <v/>
      </c>
      <c r="X46" s="5">
        <f>IF(AND(M46&gt;0,N46&gt;0),M46/N46*0.7,"")</f>
        <v/>
      </c>
    </row>
    <row r="47">
      <c r="A47" s="2" t="inlineStr">
        <is>
          <t>2026-01</t>
        </is>
      </c>
      <c r="B47" s="2" t="inlineStr">
        <is>
          <t>金条</t>
        </is>
      </c>
      <c r="C47" s="2" t="inlineStr">
        <is>
          <t>首贷</t>
        </is>
      </c>
      <c r="D47" s="2" t="inlineStr">
        <is>
          <t>人机</t>
        </is>
      </c>
      <c r="E47" s="2" t="inlineStr">
        <is>
          <t>赛维斯</t>
        </is>
      </c>
      <c r="F47" s="3" t="n">
        <v>2278892</v>
      </c>
      <c r="G47" s="3" t="n">
        <v>6405</v>
      </c>
      <c r="H47" s="3" t="n">
        <v>107764500</v>
      </c>
      <c r="I47" s="3" t="n">
        <v>261155</v>
      </c>
      <c r="J47" s="4" t="n">
        <v>0.07000000000000001</v>
      </c>
      <c r="K47" s="3" t="n">
        <v>1.068</v>
      </c>
      <c r="L47" s="3" t="n">
        <v>581592</v>
      </c>
      <c r="M47" s="3" t="n">
        <v>300035</v>
      </c>
      <c r="N47" s="3" t="n">
        <v>26</v>
      </c>
      <c r="O47" s="5">
        <f>IF(L47&gt;0,L47-I47,"")</f>
        <v/>
      </c>
      <c r="P47" s="6">
        <f>IF(AND(M47&gt;0,L47&gt;0),M47/L47*100,"")</f>
        <v/>
      </c>
      <c r="Q47" s="7">
        <f>IF(AND(G47&gt;0,F47&gt;0),G47/F47*100,"")</f>
        <v/>
      </c>
      <c r="R47" s="5">
        <f>IF(AND(H47&gt;0,G47&gt;0),H47/G47,"")</f>
        <v/>
      </c>
      <c r="S47" s="8">
        <f>IF(AND(L47&gt;0,G47&gt;0),L47/G47,"")</f>
        <v/>
      </c>
      <c r="T47" s="8">
        <f>IF(AND(M47&gt;0,G47&gt;0),M47/G47,"")</f>
        <v/>
      </c>
      <c r="U47" s="5">
        <f>IF(AND(M47&gt;0,N47&gt;0),M47/N47,"")</f>
        <v/>
      </c>
      <c r="V47" s="6">
        <f>IF(AND(I47&gt;=0,L47&gt;0),I47/L47*100,"")</f>
        <v/>
      </c>
      <c r="W47" s="9">
        <f>IF(AND(L47&gt;0,H47&gt;0,J47&gt;0),(L47-I47)/(H47*J47),"")</f>
        <v/>
      </c>
      <c r="X47" s="5">
        <f>IF(AND(M47&gt;0,N47&gt;0),M47/N47*0.7,"")</f>
        <v/>
      </c>
    </row>
    <row r="48">
      <c r="A48" s="2" t="inlineStr">
        <is>
          <t>2026-01</t>
        </is>
      </c>
      <c r="B48" s="2" t="inlineStr">
        <is>
          <t>金条</t>
        </is>
      </c>
      <c r="C48" s="2" t="inlineStr">
        <is>
          <t>复贷</t>
        </is>
      </c>
      <c r="D48" s="2" t="inlineStr">
        <is>
          <t>人机</t>
        </is>
      </c>
      <c r="E48" s="2" t="inlineStr">
        <is>
          <t>赛维斯</t>
        </is>
      </c>
      <c r="F48" s="3" t="n">
        <v>1226730</v>
      </c>
      <c r="G48" s="3" t="n">
        <v>6912</v>
      </c>
      <c r="H48" s="3" t="n">
        <v>325158800</v>
      </c>
      <c r="I48" s="3" t="n">
        <v>149137</v>
      </c>
      <c r="J48" s="4" t="n">
        <v>0.36</v>
      </c>
      <c r="K48" s="3" t="n">
        <v>1.068</v>
      </c>
      <c r="L48" s="3" t="n">
        <v>374583</v>
      </c>
      <c r="M48" s="3" t="n">
        <v>211092</v>
      </c>
      <c r="N48" s="3" t="n">
        <v>12</v>
      </c>
      <c r="O48" s="5">
        <f>IF(L48&gt;0,L48-I48,"")</f>
        <v/>
      </c>
      <c r="P48" s="6">
        <f>IF(AND(M48&gt;0,L48&gt;0),M48/L48*100,"")</f>
        <v/>
      </c>
      <c r="Q48" s="7">
        <f>IF(AND(G48&gt;0,F48&gt;0),G48/F48*100,"")</f>
        <v/>
      </c>
      <c r="R48" s="5">
        <f>IF(AND(H48&gt;0,G48&gt;0),H48/G48,"")</f>
        <v/>
      </c>
      <c r="S48" s="8">
        <f>IF(AND(L48&gt;0,G48&gt;0),L48/G48,"")</f>
        <v/>
      </c>
      <c r="T48" s="8">
        <f>IF(AND(M48&gt;0,G48&gt;0),M48/G48,"")</f>
        <v/>
      </c>
      <c r="U48" s="5">
        <f>IF(AND(M48&gt;0,N48&gt;0),M48/N48,"")</f>
        <v/>
      </c>
      <c r="V48" s="6">
        <f>IF(AND(I48&gt;=0,L48&gt;0),I48/L48*100,"")</f>
        <v/>
      </c>
      <c r="W48" s="9">
        <f>IF(AND(L48&gt;0,H48&gt;0,J48&gt;0),(L48-I48)/(H48*J48),"")</f>
        <v/>
      </c>
      <c r="X48" s="5">
        <f>IF(AND(M48&gt;0,N48&gt;0),M48/N48*0.7,"")</f>
        <v/>
      </c>
    </row>
    <row r="49">
      <c r="A49" s="2" t="inlineStr">
        <is>
          <t>2026-01</t>
        </is>
      </c>
      <c r="B49" s="2" t="inlineStr">
        <is>
          <t>金条</t>
        </is>
      </c>
      <c r="C49" s="2" t="inlineStr">
        <is>
          <t>首贷</t>
        </is>
      </c>
      <c r="D49" s="2" t="inlineStr">
        <is>
          <t>人工</t>
        </is>
      </c>
      <c r="E49" s="2" t="inlineStr">
        <is>
          <t>博岳石家庄</t>
        </is>
      </c>
      <c r="F49" s="3" t="n">
        <v>190826</v>
      </c>
      <c r="G49" s="3" t="n">
        <v>2644</v>
      </c>
      <c r="H49" s="3" t="n">
        <v>91967400</v>
      </c>
      <c r="I49" s="3" t="n">
        <v>31035</v>
      </c>
      <c r="J49" s="4" t="n">
        <v>0.07000000000000001</v>
      </c>
      <c r="K49" s="3" t="n">
        <v>1.068</v>
      </c>
      <c r="L49" s="3" t="n">
        <v>435205</v>
      </c>
      <c r="M49" s="3" t="n">
        <v>378437</v>
      </c>
      <c r="N49" s="3" t="n">
        <v>42</v>
      </c>
      <c r="O49" s="5">
        <f>IF(L49&gt;0,L49-I49,"")</f>
        <v/>
      </c>
      <c r="P49" s="6">
        <f>IF(AND(M49&gt;0,L49&gt;0),M49/L49*100,"")</f>
        <v/>
      </c>
      <c r="Q49" s="7">
        <f>IF(AND(G49&gt;0,F49&gt;0),G49/F49*100,"")</f>
        <v/>
      </c>
      <c r="R49" s="5">
        <f>IF(AND(H49&gt;0,G49&gt;0),H49/G49,"")</f>
        <v/>
      </c>
      <c r="S49" s="8">
        <f>IF(AND(L49&gt;0,G49&gt;0),L49/G49,"")</f>
        <v/>
      </c>
      <c r="T49" s="8">
        <f>IF(AND(M49&gt;0,G49&gt;0),M49/G49,"")</f>
        <v/>
      </c>
      <c r="U49" s="5">
        <f>IF(AND(M49&gt;0,N49&gt;0),M49/N49,"")</f>
        <v/>
      </c>
      <c r="V49" s="6">
        <f>IF(AND(I49&gt;=0,L49&gt;0),I49/L49*100,"")</f>
        <v/>
      </c>
      <c r="W49" s="9">
        <f>IF(AND(L49&gt;0,H49&gt;0,J49&gt;0),(L49-I49)/(H49*J49),"")</f>
        <v/>
      </c>
      <c r="X49" s="5">
        <f>IF(AND(M49&gt;0,N49&gt;0),M49/N49*0.7,"")</f>
        <v/>
      </c>
    </row>
    <row r="50">
      <c r="A50" s="2" t="inlineStr">
        <is>
          <t>2026-01</t>
        </is>
      </c>
      <c r="B50" s="2" t="inlineStr">
        <is>
          <t>金条</t>
        </is>
      </c>
      <c r="C50" s="2" t="inlineStr">
        <is>
          <t>复贷</t>
        </is>
      </c>
      <c r="D50" s="2" t="inlineStr">
        <is>
          <t>人工</t>
        </is>
      </c>
      <c r="E50" s="2" t="inlineStr">
        <is>
          <t>博岳石家庄</t>
        </is>
      </c>
      <c r="F50" s="3" t="n">
        <v>207434</v>
      </c>
      <c r="G50" s="3" t="n">
        <v>9102</v>
      </c>
      <c r="H50" s="3" t="n">
        <v>313022300</v>
      </c>
      <c r="I50" s="3" t="n">
        <v>28856</v>
      </c>
      <c r="J50" s="4" t="n">
        <v>0.36</v>
      </c>
      <c r="K50" s="3" t="n">
        <v>1.068</v>
      </c>
      <c r="L50" s="3" t="n">
        <v>365311</v>
      </c>
      <c r="M50" s="3" t="n">
        <v>315033</v>
      </c>
      <c r="N50" s="3" t="n">
        <v>54</v>
      </c>
      <c r="O50" s="5">
        <f>IF(L50&gt;0,L50-I50,"")</f>
        <v/>
      </c>
      <c r="P50" s="6">
        <f>IF(AND(M50&gt;0,L50&gt;0),M50/L50*100,"")</f>
        <v/>
      </c>
      <c r="Q50" s="7">
        <f>IF(AND(G50&gt;0,F50&gt;0),G50/F50*100,"")</f>
        <v/>
      </c>
      <c r="R50" s="5">
        <f>IF(AND(H50&gt;0,G50&gt;0),H50/G50,"")</f>
        <v/>
      </c>
      <c r="S50" s="8">
        <f>IF(AND(L50&gt;0,G50&gt;0),L50/G50,"")</f>
        <v/>
      </c>
      <c r="T50" s="8">
        <f>IF(AND(M50&gt;0,G50&gt;0),M50/G50,"")</f>
        <v/>
      </c>
      <c r="U50" s="5">
        <f>IF(AND(M50&gt;0,N50&gt;0),M50/N50,"")</f>
        <v/>
      </c>
      <c r="V50" s="6">
        <f>IF(AND(I50&gt;=0,L50&gt;0),I50/L50*100,"")</f>
        <v/>
      </c>
      <c r="W50" s="9">
        <f>IF(AND(L50&gt;0,H50&gt;0,J50&gt;0),(L50-I50)/(H50*J50),"")</f>
        <v/>
      </c>
      <c r="X50" s="5">
        <f>IF(AND(M50&gt;0,N50&gt;0),M50/N50*0.7,"")</f>
        <v/>
      </c>
    </row>
    <row r="51">
      <c r="A51" s="2" t="inlineStr">
        <is>
          <t>2026-01</t>
        </is>
      </c>
      <c r="B51" s="2" t="inlineStr">
        <is>
          <t>金条</t>
        </is>
      </c>
      <c r="C51" s="2" t="inlineStr">
        <is>
          <t>首贷</t>
        </is>
      </c>
      <c r="D51" s="2" t="inlineStr">
        <is>
          <t>人工</t>
        </is>
      </c>
      <c r="E51" s="2" t="inlineStr">
        <is>
          <t>伽玛</t>
        </is>
      </c>
      <c r="F51" s="3" t="n">
        <v>314648</v>
      </c>
      <c r="G51" s="3" t="n">
        <v>4019</v>
      </c>
      <c r="H51" s="3" t="n">
        <v>151152200</v>
      </c>
      <c r="I51" s="3" t="n">
        <v>57039</v>
      </c>
      <c r="J51" s="4" t="n">
        <v>0.07000000000000001</v>
      </c>
      <c r="K51" s="3" t="n">
        <v>1.068</v>
      </c>
      <c r="L51" s="3" t="n">
        <v>721083</v>
      </c>
      <c r="M51" s="3" t="n">
        <v>621764</v>
      </c>
      <c r="N51" s="3" t="n">
        <v>76</v>
      </c>
      <c r="O51" s="5">
        <f>IF(L51&gt;0,L51-I51,"")</f>
        <v/>
      </c>
      <c r="P51" s="6">
        <f>IF(AND(M51&gt;0,L51&gt;0),M51/L51*100,"")</f>
        <v/>
      </c>
      <c r="Q51" s="7">
        <f>IF(AND(G51&gt;0,F51&gt;0),G51/F51*100,"")</f>
        <v/>
      </c>
      <c r="R51" s="5">
        <f>IF(AND(H51&gt;0,G51&gt;0),H51/G51,"")</f>
        <v/>
      </c>
      <c r="S51" s="8">
        <f>IF(AND(L51&gt;0,G51&gt;0),L51/G51,"")</f>
        <v/>
      </c>
      <c r="T51" s="8">
        <f>IF(AND(M51&gt;0,G51&gt;0),M51/G51,"")</f>
        <v/>
      </c>
      <c r="U51" s="5">
        <f>IF(AND(M51&gt;0,N51&gt;0),M51/N51,"")</f>
        <v/>
      </c>
      <c r="V51" s="6">
        <f>IF(AND(I51&gt;=0,L51&gt;0),I51/L51*100,"")</f>
        <v/>
      </c>
      <c r="W51" s="9">
        <f>IF(AND(L51&gt;0,H51&gt;0,J51&gt;0),(L51-I51)/(H51*J51),"")</f>
        <v/>
      </c>
      <c r="X51" s="5">
        <f>IF(AND(M51&gt;0,N51&gt;0),M51/N51*0.7,"")</f>
        <v/>
      </c>
    </row>
    <row r="52">
      <c r="A52" s="2" t="inlineStr">
        <is>
          <t>2026-01</t>
        </is>
      </c>
      <c r="B52" s="2" t="inlineStr">
        <is>
          <t>金条</t>
        </is>
      </c>
      <c r="C52" s="2" t="inlineStr">
        <is>
          <t>复贷</t>
        </is>
      </c>
      <c r="D52" s="2" t="inlineStr">
        <is>
          <t>人工</t>
        </is>
      </c>
      <c r="E52" s="2" t="inlineStr">
        <is>
          <t>伽玛</t>
        </is>
      </c>
      <c r="F52" s="3" t="n">
        <v>363077</v>
      </c>
      <c r="G52" s="3" t="n">
        <v>18592</v>
      </c>
      <c r="H52" s="3" t="n">
        <v>667288400</v>
      </c>
      <c r="I52" s="3" t="n">
        <v>66093</v>
      </c>
      <c r="J52" s="4" t="n">
        <v>0.36</v>
      </c>
      <c r="K52" s="3" t="n">
        <v>1.068</v>
      </c>
      <c r="L52" s="3" t="n">
        <v>782084</v>
      </c>
      <c r="M52" s="3" t="n">
        <v>670404</v>
      </c>
      <c r="N52" s="3" t="n">
        <v>88</v>
      </c>
      <c r="O52" s="5">
        <f>IF(L52&gt;0,L52-I52,"")</f>
        <v/>
      </c>
      <c r="P52" s="6">
        <f>IF(AND(M52&gt;0,L52&gt;0),M52/L52*100,"")</f>
        <v/>
      </c>
      <c r="Q52" s="7">
        <f>IF(AND(G52&gt;0,F52&gt;0),G52/F52*100,"")</f>
        <v/>
      </c>
      <c r="R52" s="5">
        <f>IF(AND(H52&gt;0,G52&gt;0),H52/G52,"")</f>
        <v/>
      </c>
      <c r="S52" s="8">
        <f>IF(AND(L52&gt;0,G52&gt;0),L52/G52,"")</f>
        <v/>
      </c>
      <c r="T52" s="8">
        <f>IF(AND(M52&gt;0,G52&gt;0),M52/G52,"")</f>
        <v/>
      </c>
      <c r="U52" s="5">
        <f>IF(AND(M52&gt;0,N52&gt;0),M52/N52,"")</f>
        <v/>
      </c>
      <c r="V52" s="6">
        <f>IF(AND(I52&gt;=0,L52&gt;0),I52/L52*100,"")</f>
        <v/>
      </c>
      <c r="W52" s="9">
        <f>IF(AND(L52&gt;0,H52&gt;0,J52&gt;0),(L52-I52)/(H52*J52),"")</f>
        <v/>
      </c>
      <c r="X52" s="5">
        <f>IF(AND(M52&gt;0,N52&gt;0),M52/N52*0.7,"")</f>
        <v/>
      </c>
    </row>
    <row r="53">
      <c r="A53" s="2" t="inlineStr">
        <is>
          <t>2026-01</t>
        </is>
      </c>
      <c r="B53" s="2" t="inlineStr">
        <is>
          <t>金条</t>
        </is>
      </c>
      <c r="C53" s="2" t="inlineStr">
        <is>
          <t>首贷</t>
        </is>
      </c>
      <c r="D53" s="2" t="inlineStr">
        <is>
          <t>人工</t>
        </is>
      </c>
      <c r="E53" s="2" t="inlineStr">
        <is>
          <t>广达陕西</t>
        </is>
      </c>
      <c r="F53" s="3" t="n">
        <v>113936</v>
      </c>
      <c r="G53" s="3" t="n">
        <v>1509</v>
      </c>
      <c r="H53" s="3" t="n">
        <v>51517100</v>
      </c>
      <c r="I53" s="3" t="n">
        <v>19622</v>
      </c>
      <c r="J53" s="4" t="n">
        <v>0.07000000000000001</v>
      </c>
      <c r="K53" s="3" t="n">
        <v>1.068</v>
      </c>
      <c r="L53" s="3" t="n">
        <v>240877</v>
      </c>
      <c r="M53" s="3" t="n">
        <v>207167</v>
      </c>
      <c r="N53" s="3" t="n">
        <v>28</v>
      </c>
      <c r="O53" s="5">
        <f>IF(L53&gt;0,L53-I53,"")</f>
        <v/>
      </c>
      <c r="P53" s="6">
        <f>IF(AND(M53&gt;0,L53&gt;0),M53/L53*100,"")</f>
        <v/>
      </c>
      <c r="Q53" s="7">
        <f>IF(AND(G53&gt;0,F53&gt;0),G53/F53*100,"")</f>
        <v/>
      </c>
      <c r="R53" s="5">
        <f>IF(AND(H53&gt;0,G53&gt;0),H53/G53,"")</f>
        <v/>
      </c>
      <c r="S53" s="8">
        <f>IF(AND(L53&gt;0,G53&gt;0),L53/G53,"")</f>
        <v/>
      </c>
      <c r="T53" s="8">
        <f>IF(AND(M53&gt;0,G53&gt;0),M53/G53,"")</f>
        <v/>
      </c>
      <c r="U53" s="5">
        <f>IF(AND(M53&gt;0,N53&gt;0),M53/N53,"")</f>
        <v/>
      </c>
      <c r="V53" s="6">
        <f>IF(AND(I53&gt;=0,L53&gt;0),I53/L53*100,"")</f>
        <v/>
      </c>
      <c r="W53" s="9">
        <f>IF(AND(L53&gt;0,H53&gt;0,J53&gt;0),(L53-I53)/(H53*J53),"")</f>
        <v/>
      </c>
      <c r="X53" s="5">
        <f>IF(AND(M53&gt;0,N53&gt;0),M53/N53*0.7,"")</f>
        <v/>
      </c>
    </row>
    <row r="54">
      <c r="A54" s="2" t="inlineStr">
        <is>
          <t>2026-01</t>
        </is>
      </c>
      <c r="B54" s="2" t="inlineStr">
        <is>
          <t>金条</t>
        </is>
      </c>
      <c r="C54" s="2" t="inlineStr">
        <is>
          <t>复贷</t>
        </is>
      </c>
      <c r="D54" s="2" t="inlineStr">
        <is>
          <t>人工</t>
        </is>
      </c>
      <c r="E54" s="2" t="inlineStr">
        <is>
          <t>广达陕西</t>
        </is>
      </c>
      <c r="F54" s="3" t="n">
        <v>124093</v>
      </c>
      <c r="G54" s="3" t="n">
        <v>5579</v>
      </c>
      <c r="H54" s="3" t="n">
        <v>175772500</v>
      </c>
      <c r="I54" s="3" t="n">
        <v>20883</v>
      </c>
      <c r="J54" s="4" t="n">
        <v>0.36</v>
      </c>
      <c r="K54" s="3" t="n">
        <v>1.068</v>
      </c>
      <c r="L54" s="3" t="n">
        <v>205139</v>
      </c>
      <c r="M54" s="3" t="n">
        <v>172525</v>
      </c>
      <c r="N54" s="3" t="n">
        <v>34</v>
      </c>
      <c r="O54" s="5">
        <f>IF(L54&gt;0,L54-I54,"")</f>
        <v/>
      </c>
      <c r="P54" s="6">
        <f>IF(AND(M54&gt;0,L54&gt;0),M54/L54*100,"")</f>
        <v/>
      </c>
      <c r="Q54" s="7">
        <f>IF(AND(G54&gt;0,F54&gt;0),G54/F54*100,"")</f>
        <v/>
      </c>
      <c r="R54" s="5">
        <f>IF(AND(H54&gt;0,G54&gt;0),H54/G54,"")</f>
        <v/>
      </c>
      <c r="S54" s="8">
        <f>IF(AND(L54&gt;0,G54&gt;0),L54/G54,"")</f>
        <v/>
      </c>
      <c r="T54" s="8">
        <f>IF(AND(M54&gt;0,G54&gt;0),M54/G54,"")</f>
        <v/>
      </c>
      <c r="U54" s="5">
        <f>IF(AND(M54&gt;0,N54&gt;0),M54/N54,"")</f>
        <v/>
      </c>
      <c r="V54" s="6">
        <f>IF(AND(I54&gt;=0,L54&gt;0),I54/L54*100,"")</f>
        <v/>
      </c>
      <c r="W54" s="9">
        <f>IF(AND(L54&gt;0,H54&gt;0,J54&gt;0),(L54-I54)/(H54*J54),"")</f>
        <v/>
      </c>
      <c r="X54" s="5">
        <f>IF(AND(M54&gt;0,N54&gt;0),M54/N54*0.7,"")</f>
        <v/>
      </c>
    </row>
    <row r="55">
      <c r="A55" s="2" t="inlineStr">
        <is>
          <t>2026-01</t>
        </is>
      </c>
      <c r="B55" s="2" t="inlineStr">
        <is>
          <t>金条</t>
        </is>
      </c>
      <c r="C55" s="2" t="inlineStr">
        <is>
          <t>首贷</t>
        </is>
      </c>
      <c r="D55" s="2" t="inlineStr">
        <is>
          <t>人工</t>
        </is>
      </c>
      <c r="E55" s="2" t="inlineStr">
        <is>
          <t>翰锐曲靖</t>
        </is>
      </c>
      <c r="F55" s="3" t="n">
        <v>87126</v>
      </c>
      <c r="G55" s="3" t="n">
        <v>1115</v>
      </c>
      <c r="H55" s="3" t="n">
        <v>40989000</v>
      </c>
      <c r="I55" s="3" t="n">
        <v>14063</v>
      </c>
      <c r="J55" s="4" t="n">
        <v>0.07000000000000001</v>
      </c>
      <c r="K55" s="3" t="n">
        <v>1.068</v>
      </c>
      <c r="L55" s="3" t="n">
        <v>198414</v>
      </c>
      <c r="M55" s="3" t="n">
        <v>172613</v>
      </c>
      <c r="N55" s="3" t="n">
        <v>21</v>
      </c>
      <c r="O55" s="5">
        <f>IF(L55&gt;0,L55-I55,"")</f>
        <v/>
      </c>
      <c r="P55" s="6">
        <f>IF(AND(M55&gt;0,L55&gt;0),M55/L55*100,"")</f>
        <v/>
      </c>
      <c r="Q55" s="7">
        <f>IF(AND(G55&gt;0,F55&gt;0),G55/F55*100,"")</f>
        <v/>
      </c>
      <c r="R55" s="5">
        <f>IF(AND(H55&gt;0,G55&gt;0),H55/G55,"")</f>
        <v/>
      </c>
      <c r="S55" s="8">
        <f>IF(AND(L55&gt;0,G55&gt;0),L55/G55,"")</f>
        <v/>
      </c>
      <c r="T55" s="8">
        <f>IF(AND(M55&gt;0,G55&gt;0),M55/G55,"")</f>
        <v/>
      </c>
      <c r="U55" s="5">
        <f>IF(AND(M55&gt;0,N55&gt;0),M55/N55,"")</f>
        <v/>
      </c>
      <c r="V55" s="6">
        <f>IF(AND(I55&gt;=0,L55&gt;0),I55/L55*100,"")</f>
        <v/>
      </c>
      <c r="W55" s="9">
        <f>IF(AND(L55&gt;0,H55&gt;0,J55&gt;0),(L55-I55)/(H55*J55),"")</f>
        <v/>
      </c>
      <c r="X55" s="5">
        <f>IF(AND(M55&gt;0,N55&gt;0),M55/N55*0.7,"")</f>
        <v/>
      </c>
    </row>
    <row r="56">
      <c r="A56" s="2" t="inlineStr">
        <is>
          <t>2026-01</t>
        </is>
      </c>
      <c r="B56" s="2" t="inlineStr">
        <is>
          <t>金条</t>
        </is>
      </c>
      <c r="C56" s="2" t="inlineStr">
        <is>
          <t>复贷</t>
        </is>
      </c>
      <c r="D56" s="2" t="inlineStr">
        <is>
          <t>人工</t>
        </is>
      </c>
      <c r="E56" s="2" t="inlineStr">
        <is>
          <t>翰锐曲靖</t>
        </is>
      </c>
      <c r="F56" s="3" t="n">
        <v>287899</v>
      </c>
      <c r="G56" s="3" t="n">
        <v>16427</v>
      </c>
      <c r="H56" s="3" t="n">
        <v>558833600</v>
      </c>
      <c r="I56" s="3" t="n">
        <v>47589</v>
      </c>
      <c r="J56" s="4" t="n">
        <v>0.36</v>
      </c>
      <c r="K56" s="3" t="n">
        <v>1.068</v>
      </c>
      <c r="L56" s="3" t="n">
        <v>650004</v>
      </c>
      <c r="M56" s="3" t="n">
        <v>564059</v>
      </c>
      <c r="N56" s="3" t="n">
        <v>66</v>
      </c>
      <c r="O56" s="5">
        <f>IF(L56&gt;0,L56-I56,"")</f>
        <v/>
      </c>
      <c r="P56" s="6">
        <f>IF(AND(M56&gt;0,L56&gt;0),M56/L56*100,"")</f>
        <v/>
      </c>
      <c r="Q56" s="7">
        <f>IF(AND(G56&gt;0,F56&gt;0),G56/F56*100,"")</f>
        <v/>
      </c>
      <c r="R56" s="5">
        <f>IF(AND(H56&gt;0,G56&gt;0),H56/G56,"")</f>
        <v/>
      </c>
      <c r="S56" s="8">
        <f>IF(AND(L56&gt;0,G56&gt;0),L56/G56,"")</f>
        <v/>
      </c>
      <c r="T56" s="8">
        <f>IF(AND(M56&gt;0,G56&gt;0),M56/G56,"")</f>
        <v/>
      </c>
      <c r="U56" s="5">
        <f>IF(AND(M56&gt;0,N56&gt;0),M56/N56,"")</f>
        <v/>
      </c>
      <c r="V56" s="6">
        <f>IF(AND(I56&gt;=0,L56&gt;0),I56/L56*100,"")</f>
        <v/>
      </c>
      <c r="W56" s="9">
        <f>IF(AND(L56&gt;0,H56&gt;0,J56&gt;0),(L56-I56)/(H56*J56),"")</f>
        <v/>
      </c>
      <c r="X56" s="5">
        <f>IF(AND(M56&gt;0,N56&gt;0),M56/N56*0.7,"")</f>
        <v/>
      </c>
    </row>
    <row r="57">
      <c r="A57" s="2" t="inlineStr">
        <is>
          <t>2026-01</t>
        </is>
      </c>
      <c r="B57" s="2" t="inlineStr">
        <is>
          <t>金条</t>
        </is>
      </c>
      <c r="C57" s="2" t="inlineStr">
        <is>
          <t>首贷</t>
        </is>
      </c>
      <c r="D57" s="2" t="inlineStr">
        <is>
          <t>人工</t>
        </is>
      </c>
      <c r="E57" s="2" t="inlineStr">
        <is>
          <t>华啸</t>
        </is>
      </c>
      <c r="F57" s="3" t="n">
        <v>20629</v>
      </c>
      <c r="G57" s="3" t="n">
        <v>186</v>
      </c>
      <c r="H57" s="3" t="n">
        <v>4205300</v>
      </c>
      <c r="I57" s="3" t="n">
        <v>2716</v>
      </c>
      <c r="J57" s="4" t="n">
        <v>0.07000000000000001</v>
      </c>
      <c r="K57" s="3" t="n">
        <v>1.068</v>
      </c>
      <c r="L57" s="3" t="n">
        <v>19276</v>
      </c>
      <c r="M57" s="3" t="n">
        <v>15506</v>
      </c>
      <c r="N57" s="3" t="n">
        <v>10</v>
      </c>
      <c r="O57" s="5">
        <f>IF(L57&gt;0,L57-I57,"")</f>
        <v/>
      </c>
      <c r="P57" s="6">
        <f>IF(AND(M57&gt;0,L57&gt;0),M57/L57*100,"")</f>
        <v/>
      </c>
      <c r="Q57" s="7">
        <f>IF(AND(G57&gt;0,F57&gt;0),G57/F57*100,"")</f>
        <v/>
      </c>
      <c r="R57" s="5">
        <f>IF(AND(H57&gt;0,G57&gt;0),H57/G57,"")</f>
        <v/>
      </c>
      <c r="S57" s="8">
        <f>IF(AND(L57&gt;0,G57&gt;0),L57/G57,"")</f>
        <v/>
      </c>
      <c r="T57" s="8">
        <f>IF(AND(M57&gt;0,G57&gt;0),M57/G57,"")</f>
        <v/>
      </c>
      <c r="U57" s="5">
        <f>IF(AND(M57&gt;0,N57&gt;0),M57/N57,"")</f>
        <v/>
      </c>
      <c r="V57" s="6">
        <f>IF(AND(I57&gt;=0,L57&gt;0),I57/L57*100,"")</f>
        <v/>
      </c>
      <c r="W57" s="9">
        <f>IF(AND(L57&gt;0,H57&gt;0,J57&gt;0),(L57-I57)/(H57*J57),"")</f>
        <v/>
      </c>
      <c r="X57" s="5">
        <f>IF(AND(M57&gt;0,N57&gt;0),M57/N57*0.7,"")</f>
        <v/>
      </c>
    </row>
    <row r="58">
      <c r="A58" s="2" t="inlineStr">
        <is>
          <t>2026-01</t>
        </is>
      </c>
      <c r="B58" s="2" t="inlineStr">
        <is>
          <t>金条</t>
        </is>
      </c>
      <c r="C58" s="2" t="inlineStr">
        <is>
          <t>复贷</t>
        </is>
      </c>
      <c r="D58" s="2" t="inlineStr">
        <is>
          <t>人工</t>
        </is>
      </c>
      <c r="E58" s="2" t="inlineStr">
        <is>
          <t>华啸</t>
        </is>
      </c>
      <c r="F58" s="3" t="n">
        <v>212920</v>
      </c>
      <c r="G58" s="3" t="n">
        <v>11634</v>
      </c>
      <c r="H58" s="3" t="n">
        <v>408171700</v>
      </c>
      <c r="I58" s="3" t="n">
        <v>38787</v>
      </c>
      <c r="J58" s="4" t="n">
        <v>0.36</v>
      </c>
      <c r="K58" s="3" t="n">
        <v>1.068</v>
      </c>
      <c r="L58" s="3" t="n">
        <v>477296</v>
      </c>
      <c r="M58" s="3" t="n">
        <v>410589</v>
      </c>
      <c r="N58" s="3" t="n">
        <v>50</v>
      </c>
      <c r="O58" s="5">
        <f>IF(L58&gt;0,L58-I58,"")</f>
        <v/>
      </c>
      <c r="P58" s="6">
        <f>IF(AND(M58&gt;0,L58&gt;0),M58/L58*100,"")</f>
        <v/>
      </c>
      <c r="Q58" s="7">
        <f>IF(AND(G58&gt;0,F58&gt;0),G58/F58*100,"")</f>
        <v/>
      </c>
      <c r="R58" s="5">
        <f>IF(AND(H58&gt;0,G58&gt;0),H58/G58,"")</f>
        <v/>
      </c>
      <c r="S58" s="8">
        <f>IF(AND(L58&gt;0,G58&gt;0),L58/G58,"")</f>
        <v/>
      </c>
      <c r="T58" s="8">
        <f>IF(AND(M58&gt;0,G58&gt;0),M58/G58,"")</f>
        <v/>
      </c>
      <c r="U58" s="5">
        <f>IF(AND(M58&gt;0,N58&gt;0),M58/N58,"")</f>
        <v/>
      </c>
      <c r="V58" s="6">
        <f>IF(AND(I58&gt;=0,L58&gt;0),I58/L58*100,"")</f>
        <v/>
      </c>
      <c r="W58" s="9">
        <f>IF(AND(L58&gt;0,H58&gt;0,J58&gt;0),(L58-I58)/(H58*J58),"")</f>
        <v/>
      </c>
      <c r="X58" s="5">
        <f>IF(AND(M58&gt;0,N58&gt;0),M58/N58*0.7,"")</f>
        <v/>
      </c>
    </row>
    <row r="59">
      <c r="A59" s="2" t="inlineStr">
        <is>
          <t>2026-01</t>
        </is>
      </c>
      <c r="B59" s="2" t="inlineStr">
        <is>
          <t>金条</t>
        </is>
      </c>
      <c r="C59" s="2" t="inlineStr">
        <is>
          <t>首贷</t>
        </is>
      </c>
      <c r="D59" s="2" t="inlineStr">
        <is>
          <t>人工</t>
        </is>
      </c>
      <c r="E59" s="2" t="inlineStr">
        <is>
          <t>汇讯</t>
        </is>
      </c>
      <c r="F59" s="3" t="n">
        <v>305662</v>
      </c>
      <c r="G59" s="3" t="n">
        <v>3875</v>
      </c>
      <c r="H59" s="3" t="n">
        <v>153910800</v>
      </c>
      <c r="I59" s="3" t="n">
        <v>50636</v>
      </c>
      <c r="J59" s="4" t="n">
        <v>0.07000000000000001</v>
      </c>
      <c r="K59" s="3" t="n">
        <v>1.068</v>
      </c>
      <c r="L59" s="3" t="n">
        <v>726945</v>
      </c>
      <c r="M59" s="3" t="n">
        <v>633248</v>
      </c>
      <c r="N59" s="3" t="n">
        <v>74</v>
      </c>
      <c r="O59" s="5">
        <f>IF(L59&gt;0,L59-I59,"")</f>
        <v/>
      </c>
      <c r="P59" s="6">
        <f>IF(AND(M59&gt;0,L59&gt;0),M59/L59*100,"")</f>
        <v/>
      </c>
      <c r="Q59" s="7">
        <f>IF(AND(G59&gt;0,F59&gt;0),G59/F59*100,"")</f>
        <v/>
      </c>
      <c r="R59" s="5">
        <f>IF(AND(H59&gt;0,G59&gt;0),H59/G59,"")</f>
        <v/>
      </c>
      <c r="S59" s="8">
        <f>IF(AND(L59&gt;0,G59&gt;0),L59/G59,"")</f>
        <v/>
      </c>
      <c r="T59" s="8">
        <f>IF(AND(M59&gt;0,G59&gt;0),M59/G59,"")</f>
        <v/>
      </c>
      <c r="U59" s="5">
        <f>IF(AND(M59&gt;0,N59&gt;0),M59/N59,"")</f>
        <v/>
      </c>
      <c r="V59" s="6">
        <f>IF(AND(I59&gt;=0,L59&gt;0),I59/L59*100,"")</f>
        <v/>
      </c>
      <c r="W59" s="9">
        <f>IF(AND(L59&gt;0,H59&gt;0,J59&gt;0),(L59-I59)/(H59*J59),"")</f>
        <v/>
      </c>
      <c r="X59" s="5">
        <f>IF(AND(M59&gt;0,N59&gt;0),M59/N59*0.7,"")</f>
        <v/>
      </c>
    </row>
    <row r="60">
      <c r="A60" s="2" t="inlineStr">
        <is>
          <t>2026-01</t>
        </is>
      </c>
      <c r="B60" s="2" t="inlineStr">
        <is>
          <t>金条</t>
        </is>
      </c>
      <c r="C60" s="2" t="inlineStr">
        <is>
          <t>复贷</t>
        </is>
      </c>
      <c r="D60" s="2" t="inlineStr">
        <is>
          <t>人工</t>
        </is>
      </c>
      <c r="E60" s="2" t="inlineStr">
        <is>
          <t>汇讯</t>
        </is>
      </c>
      <c r="F60" s="3" t="n">
        <v>175185</v>
      </c>
      <c r="G60" s="3" t="n">
        <v>9391</v>
      </c>
      <c r="H60" s="3" t="n">
        <v>311380200</v>
      </c>
      <c r="I60" s="3" t="n">
        <v>27275</v>
      </c>
      <c r="J60" s="4" t="n">
        <v>0.36</v>
      </c>
      <c r="K60" s="3" t="n">
        <v>1.068</v>
      </c>
      <c r="L60" s="3" t="n">
        <v>364843</v>
      </c>
      <c r="M60" s="3" t="n">
        <v>316075</v>
      </c>
      <c r="N60" s="3" t="n">
        <v>42</v>
      </c>
      <c r="O60" s="5">
        <f>IF(L60&gt;0,L60-I60,"")</f>
        <v/>
      </c>
      <c r="P60" s="6">
        <f>IF(AND(M60&gt;0,L60&gt;0),M60/L60*100,"")</f>
        <v/>
      </c>
      <c r="Q60" s="7">
        <f>IF(AND(G60&gt;0,F60&gt;0),G60/F60*100,"")</f>
        <v/>
      </c>
      <c r="R60" s="5">
        <f>IF(AND(H60&gt;0,G60&gt;0),H60/G60,"")</f>
        <v/>
      </c>
      <c r="S60" s="8">
        <f>IF(AND(L60&gt;0,G60&gt;0),L60/G60,"")</f>
        <v/>
      </c>
      <c r="T60" s="8">
        <f>IF(AND(M60&gt;0,G60&gt;0),M60/G60,"")</f>
        <v/>
      </c>
      <c r="U60" s="5">
        <f>IF(AND(M60&gt;0,N60&gt;0),M60/N60,"")</f>
        <v/>
      </c>
      <c r="V60" s="6">
        <f>IF(AND(I60&gt;=0,L60&gt;0),I60/L60*100,"")</f>
        <v/>
      </c>
      <c r="W60" s="9">
        <f>IF(AND(L60&gt;0,H60&gt;0,J60&gt;0),(L60-I60)/(H60*J60),"")</f>
        <v/>
      </c>
      <c r="X60" s="5">
        <f>IF(AND(M60&gt;0,N60&gt;0),M60/N60*0.7,"")</f>
        <v/>
      </c>
    </row>
    <row r="61">
      <c r="A61" s="2" t="inlineStr">
        <is>
          <t>2026-01</t>
        </is>
      </c>
      <c r="B61" s="2" t="inlineStr">
        <is>
          <t>金条</t>
        </is>
      </c>
      <c r="C61" s="2" t="inlineStr">
        <is>
          <t>首贷</t>
        </is>
      </c>
      <c r="D61" s="2" t="inlineStr">
        <is>
          <t>人工</t>
        </is>
      </c>
      <c r="E61" s="2" t="inlineStr">
        <is>
          <t>毛毛虫</t>
        </is>
      </c>
      <c r="F61" s="3" t="n">
        <v>715721</v>
      </c>
      <c r="G61" s="3" t="n">
        <v>10025</v>
      </c>
      <c r="H61" s="3" t="n">
        <v>407192300</v>
      </c>
      <c r="I61" s="3" t="n">
        <v>107958</v>
      </c>
      <c r="J61" s="4" t="n">
        <v>0.07000000000000001</v>
      </c>
      <c r="K61" s="3" t="n">
        <v>1.068</v>
      </c>
      <c r="L61" s="3" t="n">
        <v>1873901</v>
      </c>
      <c r="M61" s="3" t="n">
        <v>1653505</v>
      </c>
      <c r="N61" s="3" t="n">
        <v>161</v>
      </c>
      <c r="O61" s="5">
        <f>IF(L61&gt;0,L61-I61,"")</f>
        <v/>
      </c>
      <c r="P61" s="6">
        <f>IF(AND(M61&gt;0,L61&gt;0),M61/L61*100,"")</f>
        <v/>
      </c>
      <c r="Q61" s="7">
        <f>IF(AND(G61&gt;0,F61&gt;0),G61/F61*100,"")</f>
        <v/>
      </c>
      <c r="R61" s="5">
        <f>IF(AND(H61&gt;0,G61&gt;0),H61/G61,"")</f>
        <v/>
      </c>
      <c r="S61" s="8">
        <f>IF(AND(L61&gt;0,G61&gt;0),L61/G61,"")</f>
        <v/>
      </c>
      <c r="T61" s="8">
        <f>IF(AND(M61&gt;0,G61&gt;0),M61/G61,"")</f>
        <v/>
      </c>
      <c r="U61" s="5">
        <f>IF(AND(M61&gt;0,N61&gt;0),M61/N61,"")</f>
        <v/>
      </c>
      <c r="V61" s="6">
        <f>IF(AND(I61&gt;=0,L61&gt;0),I61/L61*100,"")</f>
        <v/>
      </c>
      <c r="W61" s="9">
        <f>IF(AND(L61&gt;0,H61&gt;0,J61&gt;0),(L61-I61)/(H61*J61),"")</f>
        <v/>
      </c>
      <c r="X61" s="5">
        <f>IF(AND(M61&gt;0,N61&gt;0),M61/N61*0.7,"")</f>
        <v/>
      </c>
    </row>
    <row r="62">
      <c r="A62" s="2" t="inlineStr">
        <is>
          <t>2026-01</t>
        </is>
      </c>
      <c r="B62" s="2" t="inlineStr">
        <is>
          <t>金条</t>
        </is>
      </c>
      <c r="C62" s="2" t="inlineStr">
        <is>
          <t>复贷</t>
        </is>
      </c>
      <c r="D62" s="2" t="inlineStr">
        <is>
          <t>人工</t>
        </is>
      </c>
      <c r="E62" s="2" t="inlineStr">
        <is>
          <t>毛毛虫</t>
        </is>
      </c>
      <c r="F62" s="3" t="n">
        <v>338053</v>
      </c>
      <c r="G62" s="3" t="n">
        <v>16876</v>
      </c>
      <c r="H62" s="3" t="n">
        <v>598294200</v>
      </c>
      <c r="I62" s="3" t="n">
        <v>54068</v>
      </c>
      <c r="J62" s="4" t="n">
        <v>0.36</v>
      </c>
      <c r="K62" s="3" t="n">
        <v>1.068</v>
      </c>
      <c r="L62" s="3" t="n">
        <v>702710</v>
      </c>
      <c r="M62" s="3" t="n">
        <v>607343</v>
      </c>
      <c r="N62" s="3" t="n">
        <v>80</v>
      </c>
      <c r="O62" s="5">
        <f>IF(L62&gt;0,L62-I62,"")</f>
        <v/>
      </c>
      <c r="P62" s="6">
        <f>IF(AND(M62&gt;0,L62&gt;0),M62/L62*100,"")</f>
        <v/>
      </c>
      <c r="Q62" s="7">
        <f>IF(AND(G62&gt;0,F62&gt;0),G62/F62*100,"")</f>
        <v/>
      </c>
      <c r="R62" s="5">
        <f>IF(AND(H62&gt;0,G62&gt;0),H62/G62,"")</f>
        <v/>
      </c>
      <c r="S62" s="8">
        <f>IF(AND(L62&gt;0,G62&gt;0),L62/G62,"")</f>
        <v/>
      </c>
      <c r="T62" s="8">
        <f>IF(AND(M62&gt;0,G62&gt;0),M62/G62,"")</f>
        <v/>
      </c>
      <c r="U62" s="5">
        <f>IF(AND(M62&gt;0,N62&gt;0),M62/N62,"")</f>
        <v/>
      </c>
      <c r="V62" s="6">
        <f>IF(AND(I62&gt;=0,L62&gt;0),I62/L62*100,"")</f>
        <v/>
      </c>
      <c r="W62" s="9">
        <f>IF(AND(L62&gt;0,H62&gt;0,J62&gt;0),(L62-I62)/(H62*J62),"")</f>
        <v/>
      </c>
      <c r="X62" s="5">
        <f>IF(AND(M62&gt;0,N62&gt;0),M62/N62*0.7,"")</f>
        <v/>
      </c>
    </row>
    <row r="63">
      <c r="A63" s="2" t="inlineStr">
        <is>
          <t>2026-01</t>
        </is>
      </c>
      <c r="B63" s="2" t="inlineStr">
        <is>
          <t>金条</t>
        </is>
      </c>
      <c r="C63" s="2" t="inlineStr">
        <is>
          <t>首贷</t>
        </is>
      </c>
      <c r="D63" s="2" t="inlineStr">
        <is>
          <t>人工</t>
        </is>
      </c>
      <c r="E63" s="2" t="inlineStr">
        <is>
          <t>岐力</t>
        </is>
      </c>
      <c r="F63" s="3" t="n">
        <v>23860</v>
      </c>
      <c r="G63" s="3" t="n">
        <v>222</v>
      </c>
      <c r="H63" s="3" t="n">
        <v>6300400</v>
      </c>
      <c r="I63" s="3" t="n">
        <v>3233</v>
      </c>
      <c r="J63" s="4" t="n">
        <v>0.07000000000000001</v>
      </c>
      <c r="K63" s="3" t="n">
        <v>1.068</v>
      </c>
      <c r="L63" s="3" t="n">
        <v>27213</v>
      </c>
      <c r="M63" s="3" t="n">
        <v>22453</v>
      </c>
      <c r="N63" s="3" t="n">
        <v>11</v>
      </c>
      <c r="O63" s="5">
        <f>IF(L63&gt;0,L63-I63,"")</f>
        <v/>
      </c>
      <c r="P63" s="6">
        <f>IF(AND(M63&gt;0,L63&gt;0),M63/L63*100,"")</f>
        <v/>
      </c>
      <c r="Q63" s="7">
        <f>IF(AND(G63&gt;0,F63&gt;0),G63/F63*100,"")</f>
        <v/>
      </c>
      <c r="R63" s="5">
        <f>IF(AND(H63&gt;0,G63&gt;0),H63/G63,"")</f>
        <v/>
      </c>
      <c r="S63" s="8">
        <f>IF(AND(L63&gt;0,G63&gt;0),L63/G63,"")</f>
        <v/>
      </c>
      <c r="T63" s="8">
        <f>IF(AND(M63&gt;0,G63&gt;0),M63/G63,"")</f>
        <v/>
      </c>
      <c r="U63" s="5">
        <f>IF(AND(M63&gt;0,N63&gt;0),M63/N63,"")</f>
        <v/>
      </c>
      <c r="V63" s="6">
        <f>IF(AND(I63&gt;=0,L63&gt;0),I63/L63*100,"")</f>
        <v/>
      </c>
      <c r="W63" s="9">
        <f>IF(AND(L63&gt;0,H63&gt;0,J63&gt;0),(L63-I63)/(H63*J63),"")</f>
        <v/>
      </c>
      <c r="X63" s="5">
        <f>IF(AND(M63&gt;0,N63&gt;0),M63/N63*0.7,"")</f>
        <v/>
      </c>
    </row>
    <row r="64">
      <c r="A64" s="2" t="inlineStr">
        <is>
          <t>2026-01</t>
        </is>
      </c>
      <c r="B64" s="2" t="inlineStr">
        <is>
          <t>金条</t>
        </is>
      </c>
      <c r="C64" s="2" t="inlineStr">
        <is>
          <t>复贷</t>
        </is>
      </c>
      <c r="D64" s="2" t="inlineStr">
        <is>
          <t>人工</t>
        </is>
      </c>
      <c r="E64" s="2" t="inlineStr">
        <is>
          <t>岐力</t>
        </is>
      </c>
      <c r="F64" s="3" t="n">
        <v>257879</v>
      </c>
      <c r="G64" s="3" t="n">
        <v>12669</v>
      </c>
      <c r="H64" s="3" t="n">
        <v>531813400</v>
      </c>
      <c r="I64" s="3" t="n">
        <v>44672</v>
      </c>
      <c r="J64" s="4" t="n">
        <v>0.36</v>
      </c>
      <c r="K64" s="3" t="n">
        <v>1.068</v>
      </c>
      <c r="L64" s="3" t="n">
        <v>621988</v>
      </c>
      <c r="M64" s="3" t="n">
        <v>540558</v>
      </c>
      <c r="N64" s="3" t="n">
        <v>69</v>
      </c>
      <c r="O64" s="5">
        <f>IF(L64&gt;0,L64-I64,"")</f>
        <v/>
      </c>
      <c r="P64" s="6">
        <f>IF(AND(M64&gt;0,L64&gt;0),M64/L64*100,"")</f>
        <v/>
      </c>
      <c r="Q64" s="7">
        <f>IF(AND(G64&gt;0,F64&gt;0),G64/F64*100,"")</f>
        <v/>
      </c>
      <c r="R64" s="5">
        <f>IF(AND(H64&gt;0,G64&gt;0),H64/G64,"")</f>
        <v/>
      </c>
      <c r="S64" s="8">
        <f>IF(AND(L64&gt;0,G64&gt;0),L64/G64,"")</f>
        <v/>
      </c>
      <c r="T64" s="8">
        <f>IF(AND(M64&gt;0,G64&gt;0),M64/G64,"")</f>
        <v/>
      </c>
      <c r="U64" s="5">
        <f>IF(AND(M64&gt;0,N64&gt;0),M64/N64,"")</f>
        <v/>
      </c>
      <c r="V64" s="6">
        <f>IF(AND(I64&gt;=0,L64&gt;0),I64/L64*100,"")</f>
        <v/>
      </c>
      <c r="W64" s="9">
        <f>IF(AND(L64&gt;0,H64&gt;0,J64&gt;0),(L64-I64)/(H64*J64),"")</f>
        <v/>
      </c>
      <c r="X64" s="5">
        <f>IF(AND(M64&gt;0,N64&gt;0),M64/N64*0.7,"")</f>
        <v/>
      </c>
    </row>
    <row r="65">
      <c r="A65" s="2" t="inlineStr">
        <is>
          <t>2026-01</t>
        </is>
      </c>
      <c r="B65" s="2" t="inlineStr">
        <is>
          <t>金条</t>
        </is>
      </c>
      <c r="C65" s="2" t="inlineStr">
        <is>
          <t>首贷</t>
        </is>
      </c>
      <c r="D65" s="2" t="inlineStr">
        <is>
          <t>人工</t>
        </is>
      </c>
      <c r="E65" s="2" t="inlineStr">
        <is>
          <t>人和</t>
        </is>
      </c>
      <c r="F65" s="3" t="n">
        <v>92095</v>
      </c>
      <c r="G65" s="3" t="n">
        <v>1063</v>
      </c>
      <c r="H65" s="3" t="n">
        <v>35575200</v>
      </c>
      <c r="I65" s="3" t="n">
        <v>15420</v>
      </c>
      <c r="J65" s="4" t="n">
        <v>0.07000000000000001</v>
      </c>
      <c r="K65" s="3" t="n">
        <v>1.068</v>
      </c>
      <c r="L65" s="3" t="n">
        <v>167036</v>
      </c>
      <c r="M65" s="3" t="n">
        <v>141963</v>
      </c>
      <c r="N65" s="3" t="n">
        <v>22</v>
      </c>
      <c r="O65" s="5">
        <f>IF(L65&gt;0,L65-I65,"")</f>
        <v/>
      </c>
      <c r="P65" s="6">
        <f>IF(AND(M65&gt;0,L65&gt;0),M65/L65*100,"")</f>
        <v/>
      </c>
      <c r="Q65" s="7">
        <f>IF(AND(G65&gt;0,F65&gt;0),G65/F65*100,"")</f>
        <v/>
      </c>
      <c r="R65" s="5">
        <f>IF(AND(H65&gt;0,G65&gt;0),H65/G65,"")</f>
        <v/>
      </c>
      <c r="S65" s="8">
        <f>IF(AND(L65&gt;0,G65&gt;0),L65/G65,"")</f>
        <v/>
      </c>
      <c r="T65" s="8">
        <f>IF(AND(M65&gt;0,G65&gt;0),M65/G65,"")</f>
        <v/>
      </c>
      <c r="U65" s="5">
        <f>IF(AND(M65&gt;0,N65&gt;0),M65/N65,"")</f>
        <v/>
      </c>
      <c r="V65" s="6">
        <f>IF(AND(I65&gt;=0,L65&gt;0),I65/L65*100,"")</f>
        <v/>
      </c>
      <c r="W65" s="9">
        <f>IF(AND(L65&gt;0,H65&gt;0,J65&gt;0),(L65-I65)/(H65*J65),"")</f>
        <v/>
      </c>
      <c r="X65" s="5">
        <f>IF(AND(M65&gt;0,N65&gt;0),M65/N65*0.7,"")</f>
        <v/>
      </c>
    </row>
    <row r="66">
      <c r="A66" s="2" t="inlineStr">
        <is>
          <t>2026-01</t>
        </is>
      </c>
      <c r="B66" s="2" t="inlineStr">
        <is>
          <t>金条</t>
        </is>
      </c>
      <c r="C66" s="2" t="inlineStr">
        <is>
          <t>复贷</t>
        </is>
      </c>
      <c r="D66" s="2" t="inlineStr">
        <is>
          <t>人工</t>
        </is>
      </c>
      <c r="E66" s="2" t="inlineStr">
        <is>
          <t>人和</t>
        </is>
      </c>
      <c r="F66" s="3" t="n">
        <v>123409</v>
      </c>
      <c r="G66" s="3" t="n">
        <v>4867</v>
      </c>
      <c r="H66" s="3" t="n">
        <v>185808000</v>
      </c>
      <c r="I66" s="3" t="n">
        <v>19256</v>
      </c>
      <c r="J66" s="4" t="n">
        <v>0.36</v>
      </c>
      <c r="K66" s="3" t="n">
        <v>1.068</v>
      </c>
      <c r="L66" s="3" t="n">
        <v>217573</v>
      </c>
      <c r="M66" s="3" t="n">
        <v>185690</v>
      </c>
      <c r="N66" s="3" t="n">
        <v>35</v>
      </c>
      <c r="O66" s="5">
        <f>IF(L66&gt;0,L66-I66,"")</f>
        <v/>
      </c>
      <c r="P66" s="6">
        <f>IF(AND(M66&gt;0,L66&gt;0),M66/L66*100,"")</f>
        <v/>
      </c>
      <c r="Q66" s="7">
        <f>IF(AND(G66&gt;0,F66&gt;0),G66/F66*100,"")</f>
        <v/>
      </c>
      <c r="R66" s="5">
        <f>IF(AND(H66&gt;0,G66&gt;0),H66/G66,"")</f>
        <v/>
      </c>
      <c r="S66" s="8">
        <f>IF(AND(L66&gt;0,G66&gt;0),L66/G66,"")</f>
        <v/>
      </c>
      <c r="T66" s="8">
        <f>IF(AND(M66&gt;0,G66&gt;0),M66/G66,"")</f>
        <v/>
      </c>
      <c r="U66" s="5">
        <f>IF(AND(M66&gt;0,N66&gt;0),M66/N66,"")</f>
        <v/>
      </c>
      <c r="V66" s="6">
        <f>IF(AND(I66&gt;=0,L66&gt;0),I66/L66*100,"")</f>
        <v/>
      </c>
      <c r="W66" s="9">
        <f>IF(AND(L66&gt;0,H66&gt;0,J66&gt;0),(L66-I66)/(H66*J66),"")</f>
        <v/>
      </c>
      <c r="X66" s="5">
        <f>IF(AND(M66&gt;0,N66&gt;0),M66/N66*0.7,"")</f>
        <v/>
      </c>
    </row>
    <row r="67">
      <c r="A67" s="2" t="inlineStr">
        <is>
          <t>2026-01</t>
        </is>
      </c>
      <c r="B67" s="2" t="inlineStr">
        <is>
          <t>金条</t>
        </is>
      </c>
      <c r="C67" s="2" t="inlineStr">
        <is>
          <t>首贷</t>
        </is>
      </c>
      <c r="D67" s="2" t="inlineStr">
        <is>
          <t>人工</t>
        </is>
      </c>
      <c r="E67" s="2" t="inlineStr">
        <is>
          <t>赛维斯</t>
        </is>
      </c>
      <c r="F67" s="3" t="n">
        <v>229189</v>
      </c>
      <c r="G67" s="3" t="n">
        <v>3036</v>
      </c>
      <c r="H67" s="3" t="n">
        <v>116749900</v>
      </c>
      <c r="I67" s="3" t="n">
        <v>37950</v>
      </c>
      <c r="J67" s="4" t="n">
        <v>0.07000000000000001</v>
      </c>
      <c r="K67" s="3" t="n">
        <v>1.068</v>
      </c>
      <c r="L67" s="3" t="n">
        <v>553320</v>
      </c>
      <c r="M67" s="3" t="n">
        <v>482556</v>
      </c>
      <c r="N67" s="3" t="n">
        <v>51</v>
      </c>
      <c r="O67" s="5">
        <f>IF(L67&gt;0,L67-I67,"")</f>
        <v/>
      </c>
      <c r="P67" s="6">
        <f>IF(AND(M67&gt;0,L67&gt;0),M67/L67*100,"")</f>
        <v/>
      </c>
      <c r="Q67" s="7">
        <f>IF(AND(G67&gt;0,F67&gt;0),G67/F67*100,"")</f>
        <v/>
      </c>
      <c r="R67" s="5">
        <f>IF(AND(H67&gt;0,G67&gt;0),H67/G67,"")</f>
        <v/>
      </c>
      <c r="S67" s="8">
        <f>IF(AND(L67&gt;0,G67&gt;0),L67/G67,"")</f>
        <v/>
      </c>
      <c r="T67" s="8">
        <f>IF(AND(M67&gt;0,G67&gt;0),M67/G67,"")</f>
        <v/>
      </c>
      <c r="U67" s="5">
        <f>IF(AND(M67&gt;0,N67&gt;0),M67/N67,"")</f>
        <v/>
      </c>
      <c r="V67" s="6">
        <f>IF(AND(I67&gt;=0,L67&gt;0),I67/L67*100,"")</f>
        <v/>
      </c>
      <c r="W67" s="9">
        <f>IF(AND(L67&gt;0,H67&gt;0,J67&gt;0),(L67-I67)/(H67*J67),"")</f>
        <v/>
      </c>
      <c r="X67" s="5">
        <f>IF(AND(M67&gt;0,N67&gt;0),M67/N67*0.7,"")</f>
        <v/>
      </c>
    </row>
    <row r="68">
      <c r="A68" s="2" t="inlineStr">
        <is>
          <t>2026-01</t>
        </is>
      </c>
      <c r="B68" s="2" t="inlineStr">
        <is>
          <t>金条</t>
        </is>
      </c>
      <c r="C68" s="2" t="inlineStr">
        <is>
          <t>复贷</t>
        </is>
      </c>
      <c r="D68" s="2" t="inlineStr">
        <is>
          <t>人工</t>
        </is>
      </c>
      <c r="E68" s="2" t="inlineStr">
        <is>
          <t>赛维斯</t>
        </is>
      </c>
      <c r="F68" s="3" t="n">
        <v>242316</v>
      </c>
      <c r="G68" s="3" t="n">
        <v>12098</v>
      </c>
      <c r="H68" s="3" t="n">
        <v>437334800</v>
      </c>
      <c r="I68" s="3" t="n">
        <v>38736</v>
      </c>
      <c r="J68" s="4" t="n">
        <v>0.36</v>
      </c>
      <c r="K68" s="3" t="n">
        <v>1.068</v>
      </c>
      <c r="L68" s="3" t="n">
        <v>527506</v>
      </c>
      <c r="M68" s="3" t="n">
        <v>457650</v>
      </c>
      <c r="N68" s="3" t="n">
        <v>64</v>
      </c>
      <c r="O68" s="5">
        <f>IF(L68&gt;0,L68-I68,"")</f>
        <v/>
      </c>
      <c r="P68" s="6">
        <f>IF(AND(M68&gt;0,L68&gt;0),M68/L68*100,"")</f>
        <v/>
      </c>
      <c r="Q68" s="7">
        <f>IF(AND(G68&gt;0,F68&gt;0),G68/F68*100,"")</f>
        <v/>
      </c>
      <c r="R68" s="5">
        <f>IF(AND(H68&gt;0,G68&gt;0),H68/G68,"")</f>
        <v/>
      </c>
      <c r="S68" s="8">
        <f>IF(AND(L68&gt;0,G68&gt;0),L68/G68,"")</f>
        <v/>
      </c>
      <c r="T68" s="8">
        <f>IF(AND(M68&gt;0,G68&gt;0),M68/G68,"")</f>
        <v/>
      </c>
      <c r="U68" s="5">
        <f>IF(AND(M68&gt;0,N68&gt;0),M68/N68,"")</f>
        <v/>
      </c>
      <c r="V68" s="6">
        <f>IF(AND(I68&gt;=0,L68&gt;0),I68/L68*100,"")</f>
        <v/>
      </c>
      <c r="W68" s="9">
        <f>IF(AND(L68&gt;0,H68&gt;0,J68&gt;0),(L68-I68)/(H68*J68),"")</f>
        <v/>
      </c>
      <c r="X68" s="5">
        <f>IF(AND(M68&gt;0,N68&gt;0),M68/N68*0.7,"")</f>
        <v/>
      </c>
    </row>
    <row r="69">
      <c r="A69" s="2" t="inlineStr">
        <is>
          <t>2026-01</t>
        </is>
      </c>
      <c r="B69" s="2" t="inlineStr">
        <is>
          <t>金条</t>
        </is>
      </c>
      <c r="C69" s="2" t="inlineStr">
        <is>
          <t>首贷</t>
        </is>
      </c>
      <c r="D69" s="2" t="inlineStr">
        <is>
          <t>人工</t>
        </is>
      </c>
      <c r="E69" s="2" t="inlineStr">
        <is>
          <t>宿迁兆科</t>
        </is>
      </c>
      <c r="F69" s="3" t="n">
        <v>41052</v>
      </c>
      <c r="G69" s="3" t="n">
        <v>685</v>
      </c>
      <c r="H69" s="3" t="n">
        <v>16765900</v>
      </c>
      <c r="I69" s="3" t="n">
        <v>7924</v>
      </c>
      <c r="J69" s="4" t="n">
        <v>0.07000000000000001</v>
      </c>
      <c r="K69" s="3" t="n">
        <v>1.068</v>
      </c>
      <c r="L69" s="3" t="n">
        <v>82134</v>
      </c>
      <c r="M69" s="3" t="n">
        <v>69484</v>
      </c>
      <c r="N69" s="2" t="n"/>
      <c r="O69" s="5">
        <f>IF(L69&gt;0,L69-I69,"")</f>
        <v/>
      </c>
      <c r="P69" s="6">
        <f>IF(AND(M69&gt;0,L69&gt;0),M69/L69*100,"")</f>
        <v/>
      </c>
      <c r="Q69" s="7">
        <f>IF(AND(G69&gt;0,F69&gt;0),G69/F69*100,"")</f>
        <v/>
      </c>
      <c r="R69" s="5">
        <f>IF(AND(H69&gt;0,G69&gt;0),H69/G69,"")</f>
        <v/>
      </c>
      <c r="S69" s="8">
        <f>IF(AND(L69&gt;0,G69&gt;0),L69/G69,"")</f>
        <v/>
      </c>
      <c r="T69" s="8">
        <f>IF(AND(M69&gt;0,G69&gt;0),M69/G69,"")</f>
        <v/>
      </c>
      <c r="U69" s="5">
        <f>IF(AND(M69&gt;0,N69&gt;0),M69/N69,"")</f>
        <v/>
      </c>
      <c r="V69" s="6">
        <f>IF(AND(I69&gt;=0,L69&gt;0),I69/L69*100,"")</f>
        <v/>
      </c>
      <c r="W69" s="9">
        <f>IF(AND(L69&gt;0,H69&gt;0,J69&gt;0),(L69-I69)/(H69*J69),"")</f>
        <v/>
      </c>
      <c r="X69" s="5">
        <f>IF(AND(M69&gt;0,N69&gt;0),M69/N69*0.7,"")</f>
        <v/>
      </c>
    </row>
    <row r="70">
      <c r="A70" s="2" t="inlineStr">
        <is>
          <t>2026-01</t>
        </is>
      </c>
      <c r="B70" s="2" t="inlineStr">
        <is>
          <t>金条</t>
        </is>
      </c>
      <c r="C70" s="2" t="inlineStr">
        <is>
          <t>复贷</t>
        </is>
      </c>
      <c r="D70" s="2" t="inlineStr">
        <is>
          <t>人工</t>
        </is>
      </c>
      <c r="E70" s="2" t="inlineStr">
        <is>
          <t>宿迁兆科</t>
        </is>
      </c>
      <c r="F70" s="3" t="n">
        <v>50956</v>
      </c>
      <c r="G70" s="3" t="n">
        <v>3650</v>
      </c>
      <c r="H70" s="3" t="n">
        <v>142522400</v>
      </c>
      <c r="I70" s="3" t="n">
        <v>9010</v>
      </c>
      <c r="J70" s="4" t="n">
        <v>0.36</v>
      </c>
      <c r="K70" s="3" t="n">
        <v>1.068</v>
      </c>
      <c r="L70" s="3" t="n">
        <v>165556</v>
      </c>
      <c r="M70" s="3" t="n">
        <v>146579</v>
      </c>
      <c r="N70" s="2" t="n"/>
      <c r="O70" s="5">
        <f>IF(L70&gt;0,L70-I70,"")</f>
        <v/>
      </c>
      <c r="P70" s="6">
        <f>IF(AND(M70&gt;0,L70&gt;0),M70/L70*100,"")</f>
        <v/>
      </c>
      <c r="Q70" s="7">
        <f>IF(AND(G70&gt;0,F70&gt;0),G70/F70*100,"")</f>
        <v/>
      </c>
      <c r="R70" s="5">
        <f>IF(AND(H70&gt;0,G70&gt;0),H70/G70,"")</f>
        <v/>
      </c>
      <c r="S70" s="8">
        <f>IF(AND(L70&gt;0,G70&gt;0),L70/G70,"")</f>
        <v/>
      </c>
      <c r="T70" s="8">
        <f>IF(AND(M70&gt;0,G70&gt;0),M70/G70,"")</f>
        <v/>
      </c>
      <c r="U70" s="5">
        <f>IF(AND(M70&gt;0,N70&gt;0),M70/N70,"")</f>
        <v/>
      </c>
      <c r="V70" s="6">
        <f>IF(AND(I70&gt;=0,L70&gt;0),I70/L70*100,"")</f>
        <v/>
      </c>
      <c r="W70" s="9">
        <f>IF(AND(L70&gt;0,H70&gt;0,J70&gt;0),(L70-I70)/(H70*J70),"")</f>
        <v/>
      </c>
      <c r="X70" s="5">
        <f>IF(AND(M70&gt;0,N70&gt;0),M70/N70*0.7,"")</f>
        <v/>
      </c>
    </row>
    <row r="71">
      <c r="A71" s="2" t="inlineStr">
        <is>
          <t>2026-01</t>
        </is>
      </c>
      <c r="B71" s="2" t="inlineStr">
        <is>
          <t>金条</t>
        </is>
      </c>
      <c r="C71" s="2" t="inlineStr">
        <is>
          <t>首贷</t>
        </is>
      </c>
      <c r="D71" s="2" t="inlineStr">
        <is>
          <t>人工</t>
        </is>
      </c>
      <c r="E71" s="2" t="inlineStr">
        <is>
          <t>毅航合肥</t>
        </is>
      </c>
      <c r="F71" s="3" t="n">
        <v>986604</v>
      </c>
      <c r="G71" s="3" t="n">
        <v>13379</v>
      </c>
      <c r="H71" s="3" t="n">
        <v>569556800</v>
      </c>
      <c r="I71" s="3" t="n">
        <v>156090</v>
      </c>
      <c r="J71" s="4" t="n">
        <v>0.07000000000000001</v>
      </c>
      <c r="K71" s="3" t="n">
        <v>1.068</v>
      </c>
      <c r="L71" s="3" t="n">
        <v>2596220</v>
      </c>
      <c r="M71" s="3" t="n">
        <v>2284766</v>
      </c>
      <c r="N71" s="3" t="n">
        <v>220</v>
      </c>
      <c r="O71" s="5">
        <f>IF(L71&gt;0,L71-I71,"")</f>
        <v/>
      </c>
      <c r="P71" s="6">
        <f>IF(AND(M71&gt;0,L71&gt;0),M71/L71*100,"")</f>
        <v/>
      </c>
      <c r="Q71" s="7">
        <f>IF(AND(G71&gt;0,F71&gt;0),G71/F71*100,"")</f>
        <v/>
      </c>
      <c r="R71" s="5">
        <f>IF(AND(H71&gt;0,G71&gt;0),H71/G71,"")</f>
        <v/>
      </c>
      <c r="S71" s="8">
        <f>IF(AND(L71&gt;0,G71&gt;0),L71/G71,"")</f>
        <v/>
      </c>
      <c r="T71" s="8">
        <f>IF(AND(M71&gt;0,G71&gt;0),M71/G71,"")</f>
        <v/>
      </c>
      <c r="U71" s="5">
        <f>IF(AND(M71&gt;0,N71&gt;0),M71/N71,"")</f>
        <v/>
      </c>
      <c r="V71" s="6">
        <f>IF(AND(I71&gt;=0,L71&gt;0),I71/L71*100,"")</f>
        <v/>
      </c>
      <c r="W71" s="9">
        <f>IF(AND(L71&gt;0,H71&gt;0,J71&gt;0),(L71-I71)/(H71*J71),"")</f>
        <v/>
      </c>
      <c r="X71" s="5">
        <f>IF(AND(M71&gt;0,N71&gt;0),M71/N71*0.7,"")</f>
        <v/>
      </c>
    </row>
    <row r="72">
      <c r="A72" s="2" t="inlineStr">
        <is>
          <t>2026-01</t>
        </is>
      </c>
      <c r="B72" s="2" t="inlineStr">
        <is>
          <t>金条</t>
        </is>
      </c>
      <c r="C72" s="2" t="inlineStr">
        <is>
          <t>复贷</t>
        </is>
      </c>
      <c r="D72" s="2" t="inlineStr">
        <is>
          <t>人工</t>
        </is>
      </c>
      <c r="E72" s="2" t="inlineStr">
        <is>
          <t>毅航合肥</t>
        </is>
      </c>
      <c r="F72" s="3" t="n">
        <v>668038</v>
      </c>
      <c r="G72" s="3" t="n">
        <v>36025</v>
      </c>
      <c r="H72" s="3" t="n">
        <v>1443946600</v>
      </c>
      <c r="I72" s="3" t="n">
        <v>106584</v>
      </c>
      <c r="J72" s="4" t="n">
        <v>0.36</v>
      </c>
      <c r="K72" s="3" t="n">
        <v>1.068</v>
      </c>
      <c r="L72" s="3" t="n">
        <v>1736541</v>
      </c>
      <c r="M72" s="3" t="n">
        <v>1526177</v>
      </c>
      <c r="N72" s="3" t="n">
        <v>140</v>
      </c>
      <c r="O72" s="5">
        <f>IF(L72&gt;0,L72-I72,"")</f>
        <v/>
      </c>
      <c r="P72" s="6">
        <f>IF(AND(M72&gt;0,L72&gt;0),M72/L72*100,"")</f>
        <v/>
      </c>
      <c r="Q72" s="7">
        <f>IF(AND(G72&gt;0,F72&gt;0),G72/F72*100,"")</f>
        <v/>
      </c>
      <c r="R72" s="5">
        <f>IF(AND(H72&gt;0,G72&gt;0),H72/G72,"")</f>
        <v/>
      </c>
      <c r="S72" s="8">
        <f>IF(AND(L72&gt;0,G72&gt;0),L72/G72,"")</f>
        <v/>
      </c>
      <c r="T72" s="8">
        <f>IF(AND(M72&gt;0,G72&gt;0),M72/G72,"")</f>
        <v/>
      </c>
      <c r="U72" s="5">
        <f>IF(AND(M72&gt;0,N72&gt;0),M72/N72,"")</f>
        <v/>
      </c>
      <c r="V72" s="6">
        <f>IF(AND(I72&gt;=0,L72&gt;0),I72/L72*100,"")</f>
        <v/>
      </c>
      <c r="W72" s="9">
        <f>IF(AND(L72&gt;0,H72&gt;0,J72&gt;0),(L72-I72)/(H72*J72),"")</f>
        <v/>
      </c>
      <c r="X72" s="5">
        <f>IF(AND(M72&gt;0,N72&gt;0),M72/N72*0.7,"")</f>
        <v/>
      </c>
    </row>
    <row r="73">
      <c r="A73" s="2" t="inlineStr">
        <is>
          <t>2026-01</t>
        </is>
      </c>
      <c r="B73" s="2" t="inlineStr">
        <is>
          <t>金条</t>
        </is>
      </c>
      <c r="C73" s="2" t="inlineStr">
        <is>
          <t>首贷</t>
        </is>
      </c>
      <c r="D73" s="2" t="inlineStr">
        <is>
          <t>纯机</t>
        </is>
      </c>
      <c r="E73" s="2" t="inlineStr">
        <is>
          <t>电话邦</t>
        </is>
      </c>
      <c r="F73" s="3" t="n">
        <v>1026258</v>
      </c>
      <c r="G73" s="3" t="n">
        <v>769</v>
      </c>
      <c r="H73" s="3" t="n">
        <v>9663500</v>
      </c>
      <c r="I73" s="3" t="n">
        <v>95564</v>
      </c>
      <c r="J73" s="4" t="n">
        <v>0.07000000000000001</v>
      </c>
      <c r="K73" s="3" t="n">
        <v>1.068</v>
      </c>
      <c r="L73" s="3" t="n">
        <v>107276</v>
      </c>
      <c r="M73" s="3" t="n">
        <v>10966</v>
      </c>
      <c r="N73" s="2" t="n"/>
      <c r="O73" s="5">
        <f>IF(L73&gt;0,L73-I73,"")</f>
        <v/>
      </c>
      <c r="P73" s="6">
        <f>IF(AND(M73&gt;0,L73&gt;0),M73/L73*100,"")</f>
        <v/>
      </c>
      <c r="Q73" s="7">
        <f>IF(AND(G73&gt;0,F73&gt;0),G73/F73*100,"")</f>
        <v/>
      </c>
      <c r="R73" s="5">
        <f>IF(AND(H73&gt;0,G73&gt;0),H73/G73,"")</f>
        <v/>
      </c>
      <c r="S73" s="8">
        <f>IF(AND(L73&gt;0,G73&gt;0),L73/G73,"")</f>
        <v/>
      </c>
      <c r="T73" s="8">
        <f>IF(AND(M73&gt;0,G73&gt;0),M73/G73,"")</f>
        <v/>
      </c>
      <c r="U73" s="5">
        <f>IF(AND(M73&gt;0,N73&gt;0),M73/N73,"")</f>
        <v/>
      </c>
      <c r="V73" s="6">
        <f>IF(AND(I73&gt;=0,L73&gt;0),I73/L73*100,"")</f>
        <v/>
      </c>
      <c r="W73" s="9">
        <f>IF(AND(L73&gt;0,H73&gt;0,J73&gt;0),(L73-I73)/(H73*J73),"")</f>
        <v/>
      </c>
      <c r="X73" s="5">
        <f>IF(AND(M73&gt;0,N73&gt;0),M73/N73*0.7,"")</f>
        <v/>
      </c>
    </row>
    <row r="74">
      <c r="A74" s="2" t="inlineStr">
        <is>
          <t>2026-01</t>
        </is>
      </c>
      <c r="B74" s="2" t="inlineStr">
        <is>
          <t>金条</t>
        </is>
      </c>
      <c r="C74" s="2" t="inlineStr">
        <is>
          <t>首贷</t>
        </is>
      </c>
      <c r="D74" s="2" t="inlineStr">
        <is>
          <t>纯机</t>
        </is>
      </c>
      <c r="E74" s="2" t="inlineStr">
        <is>
          <t>九四</t>
        </is>
      </c>
      <c r="F74" s="3" t="n">
        <v>935002</v>
      </c>
      <c r="G74" s="3" t="n">
        <v>788</v>
      </c>
      <c r="H74" s="3" t="n">
        <v>10265000</v>
      </c>
      <c r="I74" s="3" t="n">
        <v>83835</v>
      </c>
      <c r="J74" s="4" t="n">
        <v>0.07000000000000001</v>
      </c>
      <c r="K74" s="3" t="n">
        <v>1.068</v>
      </c>
      <c r="L74" s="3" t="n">
        <v>109926</v>
      </c>
      <c r="M74" s="3" t="n">
        <v>24429</v>
      </c>
      <c r="N74" s="2" t="n"/>
      <c r="O74" s="5">
        <f>IF(L74&gt;0,L74-I74,"")</f>
        <v/>
      </c>
      <c r="P74" s="6">
        <f>IF(AND(M74&gt;0,L74&gt;0),M74/L74*100,"")</f>
        <v/>
      </c>
      <c r="Q74" s="7">
        <f>IF(AND(G74&gt;0,F74&gt;0),G74/F74*100,"")</f>
        <v/>
      </c>
      <c r="R74" s="5">
        <f>IF(AND(H74&gt;0,G74&gt;0),H74/G74,"")</f>
        <v/>
      </c>
      <c r="S74" s="8">
        <f>IF(AND(L74&gt;0,G74&gt;0),L74/G74,"")</f>
        <v/>
      </c>
      <c r="T74" s="8">
        <f>IF(AND(M74&gt;0,G74&gt;0),M74/G74,"")</f>
        <v/>
      </c>
      <c r="U74" s="5">
        <f>IF(AND(M74&gt;0,N74&gt;0),M74/N74,"")</f>
        <v/>
      </c>
      <c r="V74" s="6">
        <f>IF(AND(I74&gt;=0,L74&gt;0),I74/L74*100,"")</f>
        <v/>
      </c>
      <c r="W74" s="9">
        <f>IF(AND(L74&gt;0,H74&gt;0,J74&gt;0),(L74-I74)/(H74*J74),"")</f>
        <v/>
      </c>
      <c r="X74" s="5">
        <f>IF(AND(M74&gt;0,N74&gt;0),M74/N74*0.7,"")</f>
        <v/>
      </c>
    </row>
    <row r="75">
      <c r="A75" s="2" t="inlineStr">
        <is>
          <t>2026-01</t>
        </is>
      </c>
      <c r="B75" s="2" t="inlineStr">
        <is>
          <t>金条</t>
        </is>
      </c>
      <c r="C75" s="2" t="inlineStr">
        <is>
          <t>首贷</t>
        </is>
      </c>
      <c r="D75" s="2" t="inlineStr">
        <is>
          <t>纯机</t>
        </is>
      </c>
      <c r="E75" s="2" t="inlineStr">
        <is>
          <t>零犀</t>
        </is>
      </c>
      <c r="F75" s="3" t="n">
        <v>15800865</v>
      </c>
      <c r="G75" s="3" t="n">
        <v>17745</v>
      </c>
      <c r="H75" s="3" t="n">
        <v>392797900</v>
      </c>
      <c r="I75" s="3" t="n">
        <v>1455996</v>
      </c>
      <c r="J75" s="4" t="n">
        <v>0.07000000000000001</v>
      </c>
      <c r="K75" s="3" t="n">
        <v>1.068</v>
      </c>
      <c r="L75" s="3" t="n">
        <v>2475428</v>
      </c>
      <c r="M75" s="3" t="n">
        <v>954524</v>
      </c>
      <c r="N75" s="2" t="n"/>
      <c r="O75" s="5">
        <f>IF(L75&gt;0,L75-I75,"")</f>
        <v/>
      </c>
      <c r="P75" s="6">
        <f>IF(AND(M75&gt;0,L75&gt;0),M75/L75*100,"")</f>
        <v/>
      </c>
      <c r="Q75" s="7">
        <f>IF(AND(G75&gt;0,F75&gt;0),G75/F75*100,"")</f>
        <v/>
      </c>
      <c r="R75" s="5">
        <f>IF(AND(H75&gt;0,G75&gt;0),H75/G75,"")</f>
        <v/>
      </c>
      <c r="S75" s="8">
        <f>IF(AND(L75&gt;0,G75&gt;0),L75/G75,"")</f>
        <v/>
      </c>
      <c r="T75" s="8">
        <f>IF(AND(M75&gt;0,G75&gt;0),M75/G75,"")</f>
        <v/>
      </c>
      <c r="U75" s="5">
        <f>IF(AND(M75&gt;0,N75&gt;0),M75/N75,"")</f>
        <v/>
      </c>
      <c r="V75" s="6">
        <f>IF(AND(I75&gt;=0,L75&gt;0),I75/L75*100,"")</f>
        <v/>
      </c>
      <c r="W75" s="9">
        <f>IF(AND(L75&gt;0,H75&gt;0,J75&gt;0),(L75-I75)/(H75*J75),"")</f>
        <v/>
      </c>
      <c r="X75" s="5">
        <f>IF(AND(M75&gt;0,N75&gt;0),M75/N75*0.7,"")</f>
        <v/>
      </c>
    </row>
    <row r="76">
      <c r="A76" s="2" t="inlineStr">
        <is>
          <t>2026-01</t>
        </is>
      </c>
      <c r="B76" s="2" t="inlineStr">
        <is>
          <t>金条</t>
        </is>
      </c>
      <c r="C76" s="2" t="inlineStr">
        <is>
          <t>复贷</t>
        </is>
      </c>
      <c r="D76" s="2" t="inlineStr">
        <is>
          <t>纯机</t>
        </is>
      </c>
      <c r="E76" s="2" t="inlineStr">
        <is>
          <t>零犀</t>
        </is>
      </c>
      <c r="F76" s="3" t="n">
        <v>570744</v>
      </c>
      <c r="G76" s="3" t="n">
        <v>38787</v>
      </c>
      <c r="H76" s="3" t="n">
        <v>1036391900</v>
      </c>
      <c r="I76" s="3" t="n">
        <v>76207</v>
      </c>
      <c r="J76" s="4" t="n">
        <v>0.36</v>
      </c>
      <c r="K76" s="3" t="n">
        <v>1.068</v>
      </c>
      <c r="L76" s="3" t="n">
        <v>159190</v>
      </c>
      <c r="M76" s="3" t="n">
        <v>77699</v>
      </c>
      <c r="N76" s="2" t="n"/>
      <c r="O76" s="5">
        <f>IF(L76&gt;0,L76-I76,"")</f>
        <v/>
      </c>
      <c r="P76" s="6">
        <f>IF(AND(M76&gt;0,L76&gt;0),M76/L76*100,"")</f>
        <v/>
      </c>
      <c r="Q76" s="7">
        <f>IF(AND(G76&gt;0,F76&gt;0),G76/F76*100,"")</f>
        <v/>
      </c>
      <c r="R76" s="5">
        <f>IF(AND(H76&gt;0,G76&gt;0),H76/G76,"")</f>
        <v/>
      </c>
      <c r="S76" s="8">
        <f>IF(AND(L76&gt;0,G76&gt;0),L76/G76,"")</f>
        <v/>
      </c>
      <c r="T76" s="8">
        <f>IF(AND(M76&gt;0,G76&gt;0),M76/G76,"")</f>
        <v/>
      </c>
      <c r="U76" s="5">
        <f>IF(AND(M76&gt;0,N76&gt;0),M76/N76,"")</f>
        <v/>
      </c>
      <c r="V76" s="6">
        <f>IF(AND(I76&gt;=0,L76&gt;0),I76/L76*100,"")</f>
        <v/>
      </c>
      <c r="W76" s="9">
        <f>IF(AND(L76&gt;0,H76&gt;0,J76&gt;0),(L76-I76)/(H76*J76),"")</f>
        <v/>
      </c>
      <c r="X76" s="5">
        <f>IF(AND(M76&gt;0,N76&gt;0),M76/N76*0.7,"")</f>
        <v/>
      </c>
    </row>
    <row r="77">
      <c r="A77" s="2" t="inlineStr">
        <is>
          <t>2026-01</t>
        </is>
      </c>
      <c r="B77" s="2" t="inlineStr">
        <is>
          <t>金条</t>
        </is>
      </c>
      <c r="C77" s="2" t="inlineStr">
        <is>
          <t>首贷</t>
        </is>
      </c>
      <c r="D77" s="2" t="inlineStr">
        <is>
          <t>纯机</t>
        </is>
      </c>
      <c r="E77" s="2" t="inlineStr">
        <is>
          <t>言犀赛夫</t>
        </is>
      </c>
      <c r="F77" s="3" t="n">
        <v>6250302</v>
      </c>
      <c r="G77" s="3" t="n">
        <v>6240</v>
      </c>
      <c r="H77" s="3" t="n">
        <v>111146600</v>
      </c>
      <c r="I77" s="3" t="n">
        <v>574540</v>
      </c>
      <c r="J77" s="4" t="n">
        <v>0.07000000000000001</v>
      </c>
      <c r="K77" s="3" t="n">
        <v>1.068</v>
      </c>
      <c r="L77" s="3" t="n">
        <v>870480</v>
      </c>
      <c r="M77" s="3" t="n">
        <v>277097</v>
      </c>
      <c r="N77" s="2" t="n"/>
      <c r="O77" s="5">
        <f>IF(L77&gt;0,L77-I77,"")</f>
        <v/>
      </c>
      <c r="P77" s="6">
        <f>IF(AND(M77&gt;0,L77&gt;0),M77/L77*100,"")</f>
        <v/>
      </c>
      <c r="Q77" s="7">
        <f>IF(AND(G77&gt;0,F77&gt;0),G77/F77*100,"")</f>
        <v/>
      </c>
      <c r="R77" s="5">
        <f>IF(AND(H77&gt;0,G77&gt;0),H77/G77,"")</f>
        <v/>
      </c>
      <c r="S77" s="8">
        <f>IF(AND(L77&gt;0,G77&gt;0),L77/G77,"")</f>
        <v/>
      </c>
      <c r="T77" s="8">
        <f>IF(AND(M77&gt;0,G77&gt;0),M77/G77,"")</f>
        <v/>
      </c>
      <c r="U77" s="5">
        <f>IF(AND(M77&gt;0,N77&gt;0),M77/N77,"")</f>
        <v/>
      </c>
      <c r="V77" s="6">
        <f>IF(AND(I77&gt;=0,L77&gt;0),I77/L77*100,"")</f>
        <v/>
      </c>
      <c r="W77" s="9">
        <f>IF(AND(L77&gt;0,H77&gt;0,J77&gt;0),(L77-I77)/(H77*J77),"")</f>
        <v/>
      </c>
      <c r="X77" s="5">
        <f>IF(AND(M77&gt;0,N77&gt;0),M77/N77*0.7,"")</f>
        <v/>
      </c>
    </row>
    <row r="78">
      <c r="A78" s="2" t="inlineStr">
        <is>
          <t>2026-01</t>
        </is>
      </c>
      <c r="B78" s="2" t="inlineStr">
        <is>
          <t>金条</t>
        </is>
      </c>
      <c r="C78" s="2" t="inlineStr">
        <is>
          <t>复贷</t>
        </is>
      </c>
      <c r="D78" s="2" t="inlineStr">
        <is>
          <t>纯机</t>
        </is>
      </c>
      <c r="E78" s="2" t="inlineStr">
        <is>
          <t>言犀赛夫</t>
        </is>
      </c>
      <c r="F78" s="3" t="n">
        <v>356573</v>
      </c>
      <c r="G78" s="3" t="n">
        <v>24815</v>
      </c>
      <c r="H78" s="3" t="n">
        <v>688121700</v>
      </c>
      <c r="I78" s="3" t="n">
        <v>47871</v>
      </c>
      <c r="J78" s="4" t="n">
        <v>0.36</v>
      </c>
      <c r="K78" s="3" t="n">
        <v>1.068</v>
      </c>
      <c r="L78" s="3" t="n">
        <v>105695</v>
      </c>
      <c r="M78" s="3" t="n">
        <v>54143</v>
      </c>
      <c r="N78" s="2" t="n"/>
      <c r="O78" s="5">
        <f>IF(L78&gt;0,L78-I78,"")</f>
        <v/>
      </c>
      <c r="P78" s="6">
        <f>IF(AND(M78&gt;0,L78&gt;0),M78/L78*100,"")</f>
        <v/>
      </c>
      <c r="Q78" s="7">
        <f>IF(AND(G78&gt;0,F78&gt;0),G78/F78*100,"")</f>
        <v/>
      </c>
      <c r="R78" s="5">
        <f>IF(AND(H78&gt;0,G78&gt;0),H78/G78,"")</f>
        <v/>
      </c>
      <c r="S78" s="8">
        <f>IF(AND(L78&gt;0,G78&gt;0),L78/G78,"")</f>
        <v/>
      </c>
      <c r="T78" s="8">
        <f>IF(AND(M78&gt;0,G78&gt;0),M78/G78,"")</f>
        <v/>
      </c>
      <c r="U78" s="5">
        <f>IF(AND(M78&gt;0,N78&gt;0),M78/N78,"")</f>
        <v/>
      </c>
      <c r="V78" s="6">
        <f>IF(AND(I78&gt;=0,L78&gt;0),I78/L78*100,"")</f>
        <v/>
      </c>
      <c r="W78" s="9">
        <f>IF(AND(L78&gt;0,H78&gt;0,J78&gt;0),(L78-I78)/(H78*J78),"")</f>
        <v/>
      </c>
      <c r="X78" s="5">
        <f>IF(AND(M78&gt;0,N78&gt;0),M78/N78*0.7,"")</f>
        <v/>
      </c>
    </row>
    <row r="79">
      <c r="A79" s="2" t="inlineStr">
        <is>
          <t>2026-02</t>
        </is>
      </c>
      <c r="B79" s="2" t="inlineStr">
        <is>
          <t>金条</t>
        </is>
      </c>
      <c r="C79" s="2" t="inlineStr">
        <is>
          <t>首贷</t>
        </is>
      </c>
      <c r="D79" s="2" t="inlineStr">
        <is>
          <t>人机</t>
        </is>
      </c>
      <c r="E79" s="2" t="inlineStr">
        <is>
          <t>零犀伽玛</t>
        </is>
      </c>
      <c r="F79" s="3" t="n">
        <v>1707961</v>
      </c>
      <c r="G79" s="3" t="n">
        <v>5415</v>
      </c>
      <c r="H79" s="3" t="n">
        <v>85660400</v>
      </c>
      <c r="I79" s="3" t="n">
        <v>192263</v>
      </c>
      <c r="J79" s="4" t="n">
        <v>0.07000000000000001</v>
      </c>
      <c r="K79" s="3" t="n">
        <v>1.068</v>
      </c>
      <c r="L79" s="3" t="n">
        <v>461873</v>
      </c>
      <c r="M79" s="3" t="n">
        <v>252444</v>
      </c>
      <c r="N79" s="3" t="n">
        <v>34</v>
      </c>
      <c r="O79" s="5">
        <f>IF(L79&gt;0,L79-I79,"")</f>
        <v/>
      </c>
      <c r="P79" s="6">
        <f>IF(AND(M79&gt;0,L79&gt;0),M79/L79*100,"")</f>
        <v/>
      </c>
      <c r="Q79" s="7">
        <f>IF(AND(G79&gt;0,F79&gt;0),G79/F79*100,"")</f>
        <v/>
      </c>
      <c r="R79" s="5">
        <f>IF(AND(H79&gt;0,G79&gt;0),H79/G79,"")</f>
        <v/>
      </c>
      <c r="S79" s="8">
        <f>IF(AND(L79&gt;0,G79&gt;0),L79/G79,"")</f>
        <v/>
      </c>
      <c r="T79" s="8">
        <f>IF(AND(M79&gt;0,G79&gt;0),M79/G79,"")</f>
        <v/>
      </c>
      <c r="U79" s="5">
        <f>IF(AND(M79&gt;0,N79&gt;0),M79/N79,"")</f>
        <v/>
      </c>
      <c r="V79" s="6">
        <f>IF(AND(I79&gt;=0,L79&gt;0),I79/L79*100,"")</f>
        <v/>
      </c>
      <c r="W79" s="9">
        <f>IF(AND(L79&gt;0,H79&gt;0,J79&gt;0),(L79-I79)/(H79*J79),"")</f>
        <v/>
      </c>
      <c r="X79" s="5">
        <f>IF(AND(M79&gt;0,N79&gt;0),M79/N79*0.7,"")</f>
        <v/>
      </c>
    </row>
    <row r="80">
      <c r="A80" s="2" t="inlineStr">
        <is>
          <t>2026-02</t>
        </is>
      </c>
      <c r="B80" s="2" t="inlineStr">
        <is>
          <t>金条</t>
        </is>
      </c>
      <c r="C80" s="2" t="inlineStr">
        <is>
          <t>首贷</t>
        </is>
      </c>
      <c r="D80" s="2" t="inlineStr">
        <is>
          <t>人机</t>
        </is>
      </c>
      <c r="E80" s="2" t="inlineStr">
        <is>
          <t>零犀</t>
        </is>
      </c>
      <c r="F80" s="3" t="n">
        <v>7609280</v>
      </c>
      <c r="G80" s="3" t="n">
        <v>26505</v>
      </c>
      <c r="H80" s="3" t="n">
        <v>486979600</v>
      </c>
      <c r="I80" s="3" t="n">
        <v>812497</v>
      </c>
      <c r="J80" s="4" t="n">
        <v>0.07000000000000001</v>
      </c>
      <c r="K80" s="3" t="n">
        <v>1.068</v>
      </c>
      <c r="L80" s="3" t="n">
        <v>2636880</v>
      </c>
      <c r="M80" s="3" t="n">
        <v>1708224</v>
      </c>
      <c r="N80" s="3" t="n">
        <v>83</v>
      </c>
      <c r="O80" s="5">
        <f>IF(L80&gt;0,L80-I80,"")</f>
        <v/>
      </c>
      <c r="P80" s="6">
        <f>IF(AND(M80&gt;0,L80&gt;0),M80/L80*100,"")</f>
        <v/>
      </c>
      <c r="Q80" s="7">
        <f>IF(AND(G80&gt;0,F80&gt;0),G80/F80*100,"")</f>
        <v/>
      </c>
      <c r="R80" s="5">
        <f>IF(AND(H80&gt;0,G80&gt;0),H80/G80,"")</f>
        <v/>
      </c>
      <c r="S80" s="8">
        <f>IF(AND(L80&gt;0,G80&gt;0),L80/G80,"")</f>
        <v/>
      </c>
      <c r="T80" s="8">
        <f>IF(AND(M80&gt;0,G80&gt;0),M80/G80,"")</f>
        <v/>
      </c>
      <c r="U80" s="5">
        <f>IF(AND(M80&gt;0,N80&gt;0),M80/N80,"")</f>
        <v/>
      </c>
      <c r="V80" s="6">
        <f>IF(AND(I80&gt;=0,L80&gt;0),I80/L80*100,"")</f>
        <v/>
      </c>
      <c r="W80" s="9">
        <f>IF(AND(L80&gt;0,H80&gt;0,J80&gt;0),(L80-I80)/(H80*J80),"")</f>
        <v/>
      </c>
      <c r="X80" s="5">
        <f>IF(AND(M80&gt;0,N80&gt;0),M80/N80*0.7,"")</f>
        <v/>
      </c>
    </row>
    <row r="81">
      <c r="A81" s="2" t="inlineStr">
        <is>
          <t>2026-02</t>
        </is>
      </c>
      <c r="B81" s="2" t="inlineStr">
        <is>
          <t>金条</t>
        </is>
      </c>
      <c r="C81" s="2" t="inlineStr">
        <is>
          <t>复贷</t>
        </is>
      </c>
      <c r="D81" s="2" t="inlineStr">
        <is>
          <t>人机</t>
        </is>
      </c>
      <c r="E81" s="2" t="inlineStr">
        <is>
          <t>零犀</t>
        </is>
      </c>
      <c r="F81" s="3" t="n">
        <v>1141113</v>
      </c>
      <c r="G81" s="3" t="n">
        <v>7859</v>
      </c>
      <c r="H81" s="3" t="n">
        <v>452672200</v>
      </c>
      <c r="I81" s="3" t="n">
        <v>110634</v>
      </c>
      <c r="J81" s="4" t="n">
        <v>0.36</v>
      </c>
      <c r="K81" s="3" t="n">
        <v>1.068</v>
      </c>
      <c r="L81" s="3" t="n">
        <v>521478</v>
      </c>
      <c r="M81" s="3" t="n">
        <v>384686</v>
      </c>
      <c r="N81" s="3" t="n">
        <v>13</v>
      </c>
      <c r="O81" s="5">
        <f>IF(L81&gt;0,L81-I81,"")</f>
        <v/>
      </c>
      <c r="P81" s="6">
        <f>IF(AND(M81&gt;0,L81&gt;0),M81/L81*100,"")</f>
        <v/>
      </c>
      <c r="Q81" s="7">
        <f>IF(AND(G81&gt;0,F81&gt;0),G81/F81*100,"")</f>
        <v/>
      </c>
      <c r="R81" s="5">
        <f>IF(AND(H81&gt;0,G81&gt;0),H81/G81,"")</f>
        <v/>
      </c>
      <c r="S81" s="8">
        <f>IF(AND(L81&gt;0,G81&gt;0),L81/G81,"")</f>
        <v/>
      </c>
      <c r="T81" s="8">
        <f>IF(AND(M81&gt;0,G81&gt;0),M81/G81,"")</f>
        <v/>
      </c>
      <c r="U81" s="5">
        <f>IF(AND(M81&gt;0,N81&gt;0),M81/N81,"")</f>
        <v/>
      </c>
      <c r="V81" s="6">
        <f>IF(AND(I81&gt;=0,L81&gt;0),I81/L81*100,"")</f>
        <v/>
      </c>
      <c r="W81" s="9">
        <f>IF(AND(L81&gt;0,H81&gt;0,J81&gt;0),(L81-I81)/(H81*J81),"")</f>
        <v/>
      </c>
      <c r="X81" s="5">
        <f>IF(AND(M81&gt;0,N81&gt;0),M81/N81*0.7,"")</f>
        <v/>
      </c>
    </row>
    <row r="82">
      <c r="A82" s="2" t="inlineStr">
        <is>
          <t>2026-02</t>
        </is>
      </c>
      <c r="B82" s="2" t="inlineStr">
        <is>
          <t>金条</t>
        </is>
      </c>
      <c r="C82" s="2" t="inlineStr">
        <is>
          <t>首贷</t>
        </is>
      </c>
      <c r="D82" s="2" t="inlineStr">
        <is>
          <t>人机</t>
        </is>
      </c>
      <c r="E82" s="2" t="inlineStr">
        <is>
          <t>零犀毛毛虫</t>
        </is>
      </c>
      <c r="F82" s="3" t="n">
        <v>1629177</v>
      </c>
      <c r="G82" s="3" t="n">
        <v>5382</v>
      </c>
      <c r="H82" s="3" t="n">
        <v>94785000</v>
      </c>
      <c r="I82" s="3" t="n">
        <v>177917</v>
      </c>
      <c r="J82" s="4" t="n">
        <v>0.07000000000000001</v>
      </c>
      <c r="K82" s="3" t="n">
        <v>1.068</v>
      </c>
      <c r="L82" s="3" t="n">
        <v>514619</v>
      </c>
      <c r="M82" s="3" t="n">
        <v>315264</v>
      </c>
      <c r="N82" s="3" t="n">
        <v>29</v>
      </c>
      <c r="O82" s="5">
        <f>IF(L82&gt;0,L82-I82,"")</f>
        <v/>
      </c>
      <c r="P82" s="6">
        <f>IF(AND(M82&gt;0,L82&gt;0),M82/L82*100,"")</f>
        <v/>
      </c>
      <c r="Q82" s="7">
        <f>IF(AND(G82&gt;0,F82&gt;0),G82/F82*100,"")</f>
        <v/>
      </c>
      <c r="R82" s="5">
        <f>IF(AND(H82&gt;0,G82&gt;0),H82/G82,"")</f>
        <v/>
      </c>
      <c r="S82" s="8">
        <f>IF(AND(L82&gt;0,G82&gt;0),L82/G82,"")</f>
        <v/>
      </c>
      <c r="T82" s="8">
        <f>IF(AND(M82&gt;0,G82&gt;0),M82/G82,"")</f>
        <v/>
      </c>
      <c r="U82" s="5">
        <f>IF(AND(M82&gt;0,N82&gt;0),M82/N82,"")</f>
        <v/>
      </c>
      <c r="V82" s="6">
        <f>IF(AND(I82&gt;=0,L82&gt;0),I82/L82*100,"")</f>
        <v/>
      </c>
      <c r="W82" s="9">
        <f>IF(AND(L82&gt;0,H82&gt;0,J82&gt;0),(L82-I82)/(H82*J82),"")</f>
        <v/>
      </c>
      <c r="X82" s="5">
        <f>IF(AND(M82&gt;0,N82&gt;0),M82/N82*0.7,"")</f>
        <v/>
      </c>
    </row>
    <row r="83">
      <c r="A83" s="2" t="inlineStr">
        <is>
          <t>2026-02</t>
        </is>
      </c>
      <c r="B83" s="2" t="inlineStr">
        <is>
          <t>金条</t>
        </is>
      </c>
      <c r="C83" s="2" t="inlineStr">
        <is>
          <t>首贷</t>
        </is>
      </c>
      <c r="D83" s="2" t="inlineStr">
        <is>
          <t>人机</t>
        </is>
      </c>
      <c r="E83" s="2" t="inlineStr">
        <is>
          <t>零犀赛维斯</t>
        </is>
      </c>
      <c r="F83" s="3" t="n">
        <v>1460836</v>
      </c>
      <c r="G83" s="3" t="n">
        <v>4708</v>
      </c>
      <c r="H83" s="3" t="n">
        <v>80363800</v>
      </c>
      <c r="I83" s="3" t="n">
        <v>173852</v>
      </c>
      <c r="J83" s="4" t="n">
        <v>0.07000000000000001</v>
      </c>
      <c r="K83" s="3" t="n">
        <v>1.068</v>
      </c>
      <c r="L83" s="3" t="n">
        <v>440231</v>
      </c>
      <c r="M83" s="3" t="n">
        <v>249418</v>
      </c>
      <c r="N83" s="3" t="n">
        <v>29</v>
      </c>
      <c r="O83" s="5">
        <f>IF(L83&gt;0,L83-I83,"")</f>
        <v/>
      </c>
      <c r="P83" s="6">
        <f>IF(AND(M83&gt;0,L83&gt;0),M83/L83*100,"")</f>
        <v/>
      </c>
      <c r="Q83" s="7">
        <f>IF(AND(G83&gt;0,F83&gt;0),G83/F83*100,"")</f>
        <v/>
      </c>
      <c r="R83" s="5">
        <f>IF(AND(H83&gt;0,G83&gt;0),H83/G83,"")</f>
        <v/>
      </c>
      <c r="S83" s="8">
        <f>IF(AND(L83&gt;0,G83&gt;0),L83/G83,"")</f>
        <v/>
      </c>
      <c r="T83" s="8">
        <f>IF(AND(M83&gt;0,G83&gt;0),M83/G83,"")</f>
        <v/>
      </c>
      <c r="U83" s="5">
        <f>IF(AND(M83&gt;0,N83&gt;0),M83/N83,"")</f>
        <v/>
      </c>
      <c r="V83" s="6">
        <f>IF(AND(I83&gt;=0,L83&gt;0),I83/L83*100,"")</f>
        <v/>
      </c>
      <c r="W83" s="9">
        <f>IF(AND(L83&gt;0,H83&gt;0,J83&gt;0),(L83-I83)/(H83*J83),"")</f>
        <v/>
      </c>
      <c r="X83" s="5">
        <f>IF(AND(M83&gt;0,N83&gt;0),M83/N83*0.7,"")</f>
        <v/>
      </c>
    </row>
    <row r="84">
      <c r="A84" s="2" t="inlineStr">
        <is>
          <t>2026-02</t>
        </is>
      </c>
      <c r="B84" s="2" t="inlineStr">
        <is>
          <t>金条</t>
        </is>
      </c>
      <c r="C84" s="2" t="inlineStr">
        <is>
          <t>首贷</t>
        </is>
      </c>
      <c r="D84" s="2" t="inlineStr">
        <is>
          <t>人机</t>
        </is>
      </c>
      <c r="E84" s="2" t="inlineStr">
        <is>
          <t>零犀毅航</t>
        </is>
      </c>
      <c r="F84" s="3" t="n">
        <v>2805719</v>
      </c>
      <c r="G84" s="3" t="n">
        <v>9502</v>
      </c>
      <c r="H84" s="3" t="n">
        <v>163371200</v>
      </c>
      <c r="I84" s="3" t="n">
        <v>333082</v>
      </c>
      <c r="J84" s="4" t="n">
        <v>0.07000000000000001</v>
      </c>
      <c r="K84" s="3" t="n">
        <v>1.068</v>
      </c>
      <c r="L84" s="3" t="n">
        <v>899327</v>
      </c>
      <c r="M84" s="3" t="n">
        <v>530192</v>
      </c>
      <c r="N84" s="3" t="n">
        <v>49</v>
      </c>
      <c r="O84" s="5">
        <f>IF(L84&gt;0,L84-I84,"")</f>
        <v/>
      </c>
      <c r="P84" s="6">
        <f>IF(AND(M84&gt;0,L84&gt;0),M84/L84*100,"")</f>
        <v/>
      </c>
      <c r="Q84" s="7">
        <f>IF(AND(G84&gt;0,F84&gt;0),G84/F84*100,"")</f>
        <v/>
      </c>
      <c r="R84" s="5">
        <f>IF(AND(H84&gt;0,G84&gt;0),H84/G84,"")</f>
        <v/>
      </c>
      <c r="S84" s="8">
        <f>IF(AND(L84&gt;0,G84&gt;0),L84/G84,"")</f>
        <v/>
      </c>
      <c r="T84" s="8">
        <f>IF(AND(M84&gt;0,G84&gt;0),M84/G84,"")</f>
        <v/>
      </c>
      <c r="U84" s="5">
        <f>IF(AND(M84&gt;0,N84&gt;0),M84/N84,"")</f>
        <v/>
      </c>
      <c r="V84" s="6">
        <f>IF(AND(I84&gt;=0,L84&gt;0),I84/L84*100,"")</f>
        <v/>
      </c>
      <c r="W84" s="9">
        <f>IF(AND(L84&gt;0,H84&gt;0,J84&gt;0),(L84-I84)/(H84*J84),"")</f>
        <v/>
      </c>
      <c r="X84" s="5">
        <f>IF(AND(M84&gt;0,N84&gt;0),M84/N84*0.7,"")</f>
        <v/>
      </c>
    </row>
    <row r="85">
      <c r="A85" s="2" t="inlineStr">
        <is>
          <t>2026-02</t>
        </is>
      </c>
      <c r="B85" s="2" t="inlineStr">
        <is>
          <t>金条</t>
        </is>
      </c>
      <c r="C85" s="2" t="inlineStr">
        <is>
          <t>首贷</t>
        </is>
      </c>
      <c r="D85" s="2" t="inlineStr">
        <is>
          <t>人机</t>
        </is>
      </c>
      <c r="E85" s="2" t="inlineStr">
        <is>
          <t>赛维斯</t>
        </is>
      </c>
      <c r="F85" s="3" t="n">
        <v>1689656</v>
      </c>
      <c r="G85" s="3" t="n">
        <v>5046</v>
      </c>
      <c r="H85" s="3" t="n">
        <v>86820600</v>
      </c>
      <c r="I85" s="3" t="n">
        <v>210074</v>
      </c>
      <c r="J85" s="4" t="n">
        <v>0.07000000000000001</v>
      </c>
      <c r="K85" s="3" t="n">
        <v>1.068</v>
      </c>
      <c r="L85" s="3" t="n">
        <v>474192</v>
      </c>
      <c r="M85" s="3" t="n">
        <v>247302</v>
      </c>
      <c r="N85" s="3" t="n">
        <v>26</v>
      </c>
      <c r="O85" s="5">
        <f>IF(L85&gt;0,L85-I85,"")</f>
        <v/>
      </c>
      <c r="P85" s="6">
        <f>IF(AND(M85&gt;0,L85&gt;0),M85/L85*100,"")</f>
        <v/>
      </c>
      <c r="Q85" s="7">
        <f>IF(AND(G85&gt;0,F85&gt;0),G85/F85*100,"")</f>
        <v/>
      </c>
      <c r="R85" s="5">
        <f>IF(AND(H85&gt;0,G85&gt;0),H85/G85,"")</f>
        <v/>
      </c>
      <c r="S85" s="8">
        <f>IF(AND(L85&gt;0,G85&gt;0),L85/G85,"")</f>
        <v/>
      </c>
      <c r="T85" s="8">
        <f>IF(AND(M85&gt;0,G85&gt;0),M85/G85,"")</f>
        <v/>
      </c>
      <c r="U85" s="5">
        <f>IF(AND(M85&gt;0,N85&gt;0),M85/N85,"")</f>
        <v/>
      </c>
      <c r="V85" s="6">
        <f>IF(AND(I85&gt;=0,L85&gt;0),I85/L85*100,"")</f>
        <v/>
      </c>
      <c r="W85" s="9">
        <f>IF(AND(L85&gt;0,H85&gt;0,J85&gt;0),(L85-I85)/(H85*J85),"")</f>
        <v/>
      </c>
      <c r="X85" s="5">
        <f>IF(AND(M85&gt;0,N85&gt;0),M85/N85*0.7,"")</f>
        <v/>
      </c>
    </row>
    <row r="86">
      <c r="A86" s="2" t="inlineStr">
        <is>
          <t>2026-02</t>
        </is>
      </c>
      <c r="B86" s="2" t="inlineStr">
        <is>
          <t>金条</t>
        </is>
      </c>
      <c r="C86" s="2" t="inlineStr">
        <is>
          <t>复贷</t>
        </is>
      </c>
      <c r="D86" s="2" t="inlineStr">
        <is>
          <t>人机</t>
        </is>
      </c>
      <c r="E86" s="2" t="inlineStr">
        <is>
          <t>赛维斯</t>
        </is>
      </c>
      <c r="F86" s="3" t="n">
        <v>1041307</v>
      </c>
      <c r="G86" s="3" t="n">
        <v>6409</v>
      </c>
      <c r="H86" s="3" t="n">
        <v>351528700</v>
      </c>
      <c r="I86" s="3" t="n">
        <v>122268</v>
      </c>
      <c r="J86" s="4" t="n">
        <v>0.36</v>
      </c>
      <c r="K86" s="3" t="n">
        <v>1.068</v>
      </c>
      <c r="L86" s="3" t="n">
        <v>404961</v>
      </c>
      <c r="M86" s="3" t="n">
        <v>264694</v>
      </c>
      <c r="N86" s="3" t="n">
        <v>12</v>
      </c>
      <c r="O86" s="5">
        <f>IF(L86&gt;0,L86-I86,"")</f>
        <v/>
      </c>
      <c r="P86" s="6">
        <f>IF(AND(M86&gt;0,L86&gt;0),M86/L86*100,"")</f>
        <v/>
      </c>
      <c r="Q86" s="7">
        <f>IF(AND(G86&gt;0,F86&gt;0),G86/F86*100,"")</f>
        <v/>
      </c>
      <c r="R86" s="5">
        <f>IF(AND(H86&gt;0,G86&gt;0),H86/G86,"")</f>
        <v/>
      </c>
      <c r="S86" s="8">
        <f>IF(AND(L86&gt;0,G86&gt;0),L86/G86,"")</f>
        <v/>
      </c>
      <c r="T86" s="8">
        <f>IF(AND(M86&gt;0,G86&gt;0),M86/G86,"")</f>
        <v/>
      </c>
      <c r="U86" s="5">
        <f>IF(AND(M86&gt;0,N86&gt;0),M86/N86,"")</f>
        <v/>
      </c>
      <c r="V86" s="6">
        <f>IF(AND(I86&gt;=0,L86&gt;0),I86/L86*100,"")</f>
        <v/>
      </c>
      <c r="W86" s="9">
        <f>IF(AND(L86&gt;0,H86&gt;0,J86&gt;0),(L86-I86)/(H86*J86),"")</f>
        <v/>
      </c>
      <c r="X86" s="5">
        <f>IF(AND(M86&gt;0,N86&gt;0),M86/N86*0.7,"")</f>
        <v/>
      </c>
    </row>
    <row r="87">
      <c r="A87" s="2" t="inlineStr">
        <is>
          <t>2026-02</t>
        </is>
      </c>
      <c r="B87" s="2" t="inlineStr">
        <is>
          <t>金条</t>
        </is>
      </c>
      <c r="C87" s="2" t="inlineStr">
        <is>
          <t>首贷</t>
        </is>
      </c>
      <c r="D87" s="2" t="inlineStr">
        <is>
          <t>人工</t>
        </is>
      </c>
      <c r="E87" s="2" t="inlineStr">
        <is>
          <t>博岳石家庄</t>
        </is>
      </c>
      <c r="F87" s="3" t="n">
        <v>129632</v>
      </c>
      <c r="G87" s="3" t="n">
        <v>1517</v>
      </c>
      <c r="H87" s="3" t="n">
        <v>61036500</v>
      </c>
      <c r="I87" s="3" t="n">
        <v>19063</v>
      </c>
      <c r="J87" s="4" t="n">
        <v>0.07000000000000001</v>
      </c>
      <c r="K87" s="3" t="n">
        <v>1.068</v>
      </c>
      <c r="L87" s="3" t="n">
        <v>295577</v>
      </c>
      <c r="M87" s="3" t="n">
        <v>258908</v>
      </c>
      <c r="N87" s="3" t="n">
        <v>43</v>
      </c>
      <c r="O87" s="5">
        <f>IF(L87&gt;0,L87-I87,"")</f>
        <v/>
      </c>
      <c r="P87" s="6">
        <f>IF(AND(M87&gt;0,L87&gt;0),M87/L87*100,"")</f>
        <v/>
      </c>
      <c r="Q87" s="7">
        <f>IF(AND(G87&gt;0,F87&gt;0),G87/F87*100,"")</f>
        <v/>
      </c>
      <c r="R87" s="5">
        <f>IF(AND(H87&gt;0,G87&gt;0),H87/G87,"")</f>
        <v/>
      </c>
      <c r="S87" s="8">
        <f>IF(AND(L87&gt;0,G87&gt;0),L87/G87,"")</f>
        <v/>
      </c>
      <c r="T87" s="8">
        <f>IF(AND(M87&gt;0,G87&gt;0),M87/G87,"")</f>
        <v/>
      </c>
      <c r="U87" s="5">
        <f>IF(AND(M87&gt;0,N87&gt;0),M87/N87,"")</f>
        <v/>
      </c>
      <c r="V87" s="6">
        <f>IF(AND(I87&gt;=0,L87&gt;0),I87/L87*100,"")</f>
        <v/>
      </c>
      <c r="W87" s="9">
        <f>IF(AND(L87&gt;0,H87&gt;0,J87&gt;0),(L87-I87)/(H87*J87),"")</f>
        <v/>
      </c>
      <c r="X87" s="5">
        <f>IF(AND(M87&gt;0,N87&gt;0),M87/N87*0.7,"")</f>
        <v/>
      </c>
    </row>
    <row r="88">
      <c r="A88" s="2" t="inlineStr">
        <is>
          <t>2026-02</t>
        </is>
      </c>
      <c r="B88" s="2" t="inlineStr">
        <is>
          <t>金条</t>
        </is>
      </c>
      <c r="C88" s="2" t="inlineStr">
        <is>
          <t>复贷</t>
        </is>
      </c>
      <c r="D88" s="2" t="inlineStr">
        <is>
          <t>人工</t>
        </is>
      </c>
      <c r="E88" s="2" t="inlineStr">
        <is>
          <t>博岳石家庄</t>
        </is>
      </c>
      <c r="F88" s="3" t="n">
        <v>164577</v>
      </c>
      <c r="G88" s="3" t="n">
        <v>7878</v>
      </c>
      <c r="H88" s="3" t="n">
        <v>249006400</v>
      </c>
      <c r="I88" s="3" t="n">
        <v>24334</v>
      </c>
      <c r="J88" s="4" t="n">
        <v>0.36</v>
      </c>
      <c r="K88" s="3" t="n">
        <v>1.068</v>
      </c>
      <c r="L88" s="3" t="n">
        <v>290370</v>
      </c>
      <c r="M88" s="3" t="n">
        <v>249097</v>
      </c>
      <c r="N88" s="3" t="n">
        <v>50</v>
      </c>
      <c r="O88" s="5">
        <f>IF(L88&gt;0,L88-I88,"")</f>
        <v/>
      </c>
      <c r="P88" s="6">
        <f>IF(AND(M88&gt;0,L88&gt;0),M88/L88*100,"")</f>
        <v/>
      </c>
      <c r="Q88" s="7">
        <f>IF(AND(G88&gt;0,F88&gt;0),G88/F88*100,"")</f>
        <v/>
      </c>
      <c r="R88" s="5">
        <f>IF(AND(H88&gt;0,G88&gt;0),H88/G88,"")</f>
        <v/>
      </c>
      <c r="S88" s="8">
        <f>IF(AND(L88&gt;0,G88&gt;0),L88/G88,"")</f>
        <v/>
      </c>
      <c r="T88" s="8">
        <f>IF(AND(M88&gt;0,G88&gt;0),M88/G88,"")</f>
        <v/>
      </c>
      <c r="U88" s="5">
        <f>IF(AND(M88&gt;0,N88&gt;0),M88/N88,"")</f>
        <v/>
      </c>
      <c r="V88" s="6">
        <f>IF(AND(I88&gt;=0,L88&gt;0),I88/L88*100,"")</f>
        <v/>
      </c>
      <c r="W88" s="9">
        <f>IF(AND(L88&gt;0,H88&gt;0,J88&gt;0),(L88-I88)/(H88*J88),"")</f>
        <v/>
      </c>
      <c r="X88" s="5">
        <f>IF(AND(M88&gt;0,N88&gt;0),M88/N88*0.7,"")</f>
        <v/>
      </c>
    </row>
    <row r="89">
      <c r="A89" s="2" t="inlineStr">
        <is>
          <t>2026-02</t>
        </is>
      </c>
      <c r="B89" s="2" t="inlineStr">
        <is>
          <t>金条</t>
        </is>
      </c>
      <c r="C89" s="2" t="inlineStr">
        <is>
          <t>首贷</t>
        </is>
      </c>
      <c r="D89" s="2" t="inlineStr">
        <is>
          <t>人工</t>
        </is>
      </c>
      <c r="E89" s="2" t="inlineStr">
        <is>
          <t>伽玛</t>
        </is>
      </c>
      <c r="F89" s="3" t="n">
        <v>216432</v>
      </c>
      <c r="G89" s="3" t="n">
        <v>2273</v>
      </c>
      <c r="H89" s="3" t="n">
        <v>75351900</v>
      </c>
      <c r="I89" s="3" t="n">
        <v>35774</v>
      </c>
      <c r="J89" s="4" t="n">
        <v>0.07000000000000001</v>
      </c>
      <c r="K89" s="3" t="n">
        <v>1.068</v>
      </c>
      <c r="L89" s="3" t="n">
        <v>355049</v>
      </c>
      <c r="M89" s="3" t="n">
        <v>298947</v>
      </c>
      <c r="N89" s="3" t="n">
        <v>70</v>
      </c>
      <c r="O89" s="5">
        <f>IF(L89&gt;0,L89-I89,"")</f>
        <v/>
      </c>
      <c r="P89" s="6">
        <f>IF(AND(M89&gt;0,L89&gt;0),M89/L89*100,"")</f>
        <v/>
      </c>
      <c r="Q89" s="7">
        <f>IF(AND(G89&gt;0,F89&gt;0),G89/F89*100,"")</f>
        <v/>
      </c>
      <c r="R89" s="5">
        <f>IF(AND(H89&gt;0,G89&gt;0),H89/G89,"")</f>
        <v/>
      </c>
      <c r="S89" s="8">
        <f>IF(AND(L89&gt;0,G89&gt;0),L89/G89,"")</f>
        <v/>
      </c>
      <c r="T89" s="8">
        <f>IF(AND(M89&gt;0,G89&gt;0),M89/G89,"")</f>
        <v/>
      </c>
      <c r="U89" s="5">
        <f>IF(AND(M89&gt;0,N89&gt;0),M89/N89,"")</f>
        <v/>
      </c>
      <c r="V89" s="6">
        <f>IF(AND(I89&gt;=0,L89&gt;0),I89/L89*100,"")</f>
        <v/>
      </c>
      <c r="W89" s="9">
        <f>IF(AND(L89&gt;0,H89&gt;0,J89&gt;0),(L89-I89)/(H89*J89),"")</f>
        <v/>
      </c>
      <c r="X89" s="5">
        <f>IF(AND(M89&gt;0,N89&gt;0),M89/N89*0.7,"")</f>
        <v/>
      </c>
    </row>
    <row r="90">
      <c r="A90" s="2" t="inlineStr">
        <is>
          <t>2026-02</t>
        </is>
      </c>
      <c r="B90" s="2" t="inlineStr">
        <is>
          <t>金条</t>
        </is>
      </c>
      <c r="C90" s="2" t="inlineStr">
        <is>
          <t>复贷</t>
        </is>
      </c>
      <c r="D90" s="2" t="inlineStr">
        <is>
          <t>人工</t>
        </is>
      </c>
      <c r="E90" s="2" t="inlineStr">
        <is>
          <t>伽玛</t>
        </is>
      </c>
      <c r="F90" s="3" t="n">
        <v>265200</v>
      </c>
      <c r="G90" s="3" t="n">
        <v>13609</v>
      </c>
      <c r="H90" s="3" t="n">
        <v>503449100</v>
      </c>
      <c r="I90" s="3" t="n">
        <v>46785</v>
      </c>
      <c r="J90" s="4" t="n">
        <v>0.36</v>
      </c>
      <c r="K90" s="3" t="n">
        <v>1.068</v>
      </c>
      <c r="L90" s="3" t="n">
        <v>589173</v>
      </c>
      <c r="M90" s="3" t="n">
        <v>507854</v>
      </c>
      <c r="N90" s="3" t="n">
        <v>81</v>
      </c>
      <c r="O90" s="5">
        <f>IF(L90&gt;0,L90-I90,"")</f>
        <v/>
      </c>
      <c r="P90" s="6">
        <f>IF(AND(M90&gt;0,L90&gt;0),M90/L90*100,"")</f>
        <v/>
      </c>
      <c r="Q90" s="7">
        <f>IF(AND(G90&gt;0,F90&gt;0),G90/F90*100,"")</f>
        <v/>
      </c>
      <c r="R90" s="5">
        <f>IF(AND(H90&gt;0,G90&gt;0),H90/G90,"")</f>
        <v/>
      </c>
      <c r="S90" s="8">
        <f>IF(AND(L90&gt;0,G90&gt;0),L90/G90,"")</f>
        <v/>
      </c>
      <c r="T90" s="8">
        <f>IF(AND(M90&gt;0,G90&gt;0),M90/G90,"")</f>
        <v/>
      </c>
      <c r="U90" s="5">
        <f>IF(AND(M90&gt;0,N90&gt;0),M90/N90,"")</f>
        <v/>
      </c>
      <c r="V90" s="6">
        <f>IF(AND(I90&gt;=0,L90&gt;0),I90/L90*100,"")</f>
        <v/>
      </c>
      <c r="W90" s="9">
        <f>IF(AND(L90&gt;0,H90&gt;0,J90&gt;0),(L90-I90)/(H90*J90),"")</f>
        <v/>
      </c>
      <c r="X90" s="5">
        <f>IF(AND(M90&gt;0,N90&gt;0),M90/N90*0.7,"")</f>
        <v/>
      </c>
    </row>
    <row r="91">
      <c r="A91" s="2" t="inlineStr">
        <is>
          <t>2026-02</t>
        </is>
      </c>
      <c r="B91" s="2" t="inlineStr">
        <is>
          <t>金条</t>
        </is>
      </c>
      <c r="C91" s="2" t="inlineStr">
        <is>
          <t>首贷</t>
        </is>
      </c>
      <c r="D91" s="2" t="inlineStr">
        <is>
          <t>人工</t>
        </is>
      </c>
      <c r="E91" s="2" t="inlineStr">
        <is>
          <t>广达陕西</t>
        </is>
      </c>
      <c r="F91" s="3" t="n">
        <v>70020</v>
      </c>
      <c r="G91" s="3" t="n">
        <v>772</v>
      </c>
      <c r="H91" s="3" t="n">
        <v>25156500</v>
      </c>
      <c r="I91" s="3" t="n">
        <v>10746</v>
      </c>
      <c r="J91" s="4" t="n">
        <v>0.07000000000000001</v>
      </c>
      <c r="K91" s="3" t="n">
        <v>1.068</v>
      </c>
      <c r="L91" s="3" t="n">
        <v>116505</v>
      </c>
      <c r="M91" s="3" t="n">
        <v>99025</v>
      </c>
      <c r="N91" s="3" t="n">
        <v>22</v>
      </c>
      <c r="O91" s="5">
        <f>IF(L91&gt;0,L91-I91,"")</f>
        <v/>
      </c>
      <c r="P91" s="6">
        <f>IF(AND(M91&gt;0,L91&gt;0),M91/L91*100,"")</f>
        <v/>
      </c>
      <c r="Q91" s="7">
        <f>IF(AND(G91&gt;0,F91&gt;0),G91/F91*100,"")</f>
        <v/>
      </c>
      <c r="R91" s="5">
        <f>IF(AND(H91&gt;0,G91&gt;0),H91/G91,"")</f>
        <v/>
      </c>
      <c r="S91" s="8">
        <f>IF(AND(L91&gt;0,G91&gt;0),L91/G91,"")</f>
        <v/>
      </c>
      <c r="T91" s="8">
        <f>IF(AND(M91&gt;0,G91&gt;0),M91/G91,"")</f>
        <v/>
      </c>
      <c r="U91" s="5">
        <f>IF(AND(M91&gt;0,N91&gt;0),M91/N91,"")</f>
        <v/>
      </c>
      <c r="V91" s="6">
        <f>IF(AND(I91&gt;=0,L91&gt;0),I91/L91*100,"")</f>
        <v/>
      </c>
      <c r="W91" s="9">
        <f>IF(AND(L91&gt;0,H91&gt;0,J91&gt;0),(L91-I91)/(H91*J91),"")</f>
        <v/>
      </c>
      <c r="X91" s="5">
        <f>IF(AND(M91&gt;0,N91&gt;0),M91/N91*0.7,"")</f>
        <v/>
      </c>
    </row>
    <row r="92">
      <c r="A92" s="2" t="inlineStr">
        <is>
          <t>2026-02</t>
        </is>
      </c>
      <c r="B92" s="2" t="inlineStr">
        <is>
          <t>金条</t>
        </is>
      </c>
      <c r="C92" s="2" t="inlineStr">
        <is>
          <t>复贷</t>
        </is>
      </c>
      <c r="D92" s="2" t="inlineStr">
        <is>
          <t>人工</t>
        </is>
      </c>
      <c r="E92" s="2" t="inlineStr">
        <is>
          <t>广达陕西</t>
        </is>
      </c>
      <c r="F92" s="3" t="n">
        <v>113948</v>
      </c>
      <c r="G92" s="3" t="n">
        <v>4993</v>
      </c>
      <c r="H92" s="3" t="n">
        <v>155478300</v>
      </c>
      <c r="I92" s="3" t="n">
        <v>15643</v>
      </c>
      <c r="J92" s="4" t="n">
        <v>0.36</v>
      </c>
      <c r="K92" s="3" t="n">
        <v>1.068</v>
      </c>
      <c r="L92" s="3" t="n">
        <v>186406</v>
      </c>
      <c r="M92" s="3" t="n">
        <v>159891</v>
      </c>
      <c r="N92" s="3" t="n">
        <v>35</v>
      </c>
      <c r="O92" s="5">
        <f>IF(L92&gt;0,L92-I92,"")</f>
        <v/>
      </c>
      <c r="P92" s="6">
        <f>IF(AND(M92&gt;0,L92&gt;0),M92/L92*100,"")</f>
        <v/>
      </c>
      <c r="Q92" s="7">
        <f>IF(AND(G92&gt;0,F92&gt;0),G92/F92*100,"")</f>
        <v/>
      </c>
      <c r="R92" s="5">
        <f>IF(AND(H92&gt;0,G92&gt;0),H92/G92,"")</f>
        <v/>
      </c>
      <c r="S92" s="8">
        <f>IF(AND(L92&gt;0,G92&gt;0),L92/G92,"")</f>
        <v/>
      </c>
      <c r="T92" s="8">
        <f>IF(AND(M92&gt;0,G92&gt;0),M92/G92,"")</f>
        <v/>
      </c>
      <c r="U92" s="5">
        <f>IF(AND(M92&gt;0,N92&gt;0),M92/N92,"")</f>
        <v/>
      </c>
      <c r="V92" s="6">
        <f>IF(AND(I92&gt;=0,L92&gt;0),I92/L92*100,"")</f>
        <v/>
      </c>
      <c r="W92" s="9">
        <f>IF(AND(L92&gt;0,H92&gt;0,J92&gt;0),(L92-I92)/(H92*J92),"")</f>
        <v/>
      </c>
      <c r="X92" s="5">
        <f>IF(AND(M92&gt;0,N92&gt;0),M92/N92*0.7,"")</f>
        <v/>
      </c>
    </row>
    <row r="93">
      <c r="A93" s="2" t="inlineStr">
        <is>
          <t>2026-02</t>
        </is>
      </c>
      <c r="B93" s="2" t="inlineStr">
        <is>
          <t>金条</t>
        </is>
      </c>
      <c r="C93" s="2" t="inlineStr">
        <is>
          <t>首贷</t>
        </is>
      </c>
      <c r="D93" s="2" t="inlineStr">
        <is>
          <t>人工</t>
        </is>
      </c>
      <c r="E93" s="2" t="inlineStr">
        <is>
          <t>翰锐曲靖</t>
        </is>
      </c>
      <c r="F93" s="3" t="n">
        <v>54037</v>
      </c>
      <c r="G93" s="3" t="n">
        <v>598</v>
      </c>
      <c r="H93" s="3" t="n">
        <v>21911600</v>
      </c>
      <c r="I93" s="3" t="n">
        <v>8260</v>
      </c>
      <c r="J93" s="4" t="n">
        <v>0.07000000000000001</v>
      </c>
      <c r="K93" s="3" t="n">
        <v>1.068</v>
      </c>
      <c r="L93" s="3" t="n">
        <v>103976</v>
      </c>
      <c r="M93" s="3" t="n">
        <v>89622</v>
      </c>
      <c r="N93" s="3" t="n">
        <v>17</v>
      </c>
      <c r="O93" s="5">
        <f>IF(L93&gt;0,L93-I93,"")</f>
        <v/>
      </c>
      <c r="P93" s="6">
        <f>IF(AND(M93&gt;0,L93&gt;0),M93/L93*100,"")</f>
        <v/>
      </c>
      <c r="Q93" s="7">
        <f>IF(AND(G93&gt;0,F93&gt;0),G93/F93*100,"")</f>
        <v/>
      </c>
      <c r="R93" s="5">
        <f>IF(AND(H93&gt;0,G93&gt;0),H93/G93,"")</f>
        <v/>
      </c>
      <c r="S93" s="8">
        <f>IF(AND(L93&gt;0,G93&gt;0),L93/G93,"")</f>
        <v/>
      </c>
      <c r="T93" s="8">
        <f>IF(AND(M93&gt;0,G93&gt;0),M93/G93,"")</f>
        <v/>
      </c>
      <c r="U93" s="5">
        <f>IF(AND(M93&gt;0,N93&gt;0),M93/N93,"")</f>
        <v/>
      </c>
      <c r="V93" s="6">
        <f>IF(AND(I93&gt;=0,L93&gt;0),I93/L93*100,"")</f>
        <v/>
      </c>
      <c r="W93" s="9">
        <f>IF(AND(L93&gt;0,H93&gt;0,J93&gt;0),(L93-I93)/(H93*J93),"")</f>
        <v/>
      </c>
      <c r="X93" s="5">
        <f>IF(AND(M93&gt;0,N93&gt;0),M93/N93*0.7,"")</f>
        <v/>
      </c>
    </row>
    <row r="94">
      <c r="A94" s="2" t="inlineStr">
        <is>
          <t>2026-02</t>
        </is>
      </c>
      <c r="B94" s="2" t="inlineStr">
        <is>
          <t>金条</t>
        </is>
      </c>
      <c r="C94" s="2" t="inlineStr">
        <is>
          <t>复贷</t>
        </is>
      </c>
      <c r="D94" s="2" t="inlineStr">
        <is>
          <t>人工</t>
        </is>
      </c>
      <c r="E94" s="2" t="inlineStr">
        <is>
          <t>翰锐曲靖</t>
        </is>
      </c>
      <c r="F94" s="3" t="n">
        <v>208249</v>
      </c>
      <c r="G94" s="3" t="n">
        <v>10501</v>
      </c>
      <c r="H94" s="3" t="n">
        <v>331631400</v>
      </c>
      <c r="I94" s="3" t="n">
        <v>30583</v>
      </c>
      <c r="J94" s="4" t="n">
        <v>0.36</v>
      </c>
      <c r="K94" s="3" t="n">
        <v>1.068</v>
      </c>
      <c r="L94" s="3" t="n">
        <v>392887</v>
      </c>
      <c r="M94" s="3" t="n">
        <v>339236</v>
      </c>
      <c r="N94" s="3" t="n">
        <v>64</v>
      </c>
      <c r="O94" s="5">
        <f>IF(L94&gt;0,L94-I94,"")</f>
        <v/>
      </c>
      <c r="P94" s="6">
        <f>IF(AND(M94&gt;0,L94&gt;0),M94/L94*100,"")</f>
        <v/>
      </c>
      <c r="Q94" s="7">
        <f>IF(AND(G94&gt;0,F94&gt;0),G94/F94*100,"")</f>
        <v/>
      </c>
      <c r="R94" s="5">
        <f>IF(AND(H94&gt;0,G94&gt;0),H94/G94,"")</f>
        <v/>
      </c>
      <c r="S94" s="8">
        <f>IF(AND(L94&gt;0,G94&gt;0),L94/G94,"")</f>
        <v/>
      </c>
      <c r="T94" s="8">
        <f>IF(AND(M94&gt;0,G94&gt;0),M94/G94,"")</f>
        <v/>
      </c>
      <c r="U94" s="5">
        <f>IF(AND(M94&gt;0,N94&gt;0),M94/N94,"")</f>
        <v/>
      </c>
      <c r="V94" s="6">
        <f>IF(AND(I94&gt;=0,L94&gt;0),I94/L94*100,"")</f>
        <v/>
      </c>
      <c r="W94" s="9">
        <f>IF(AND(L94&gt;0,H94&gt;0,J94&gt;0),(L94-I94)/(H94*J94),"")</f>
        <v/>
      </c>
      <c r="X94" s="5">
        <f>IF(AND(M94&gt;0,N94&gt;0),M94/N94*0.7,"")</f>
        <v/>
      </c>
    </row>
    <row r="95">
      <c r="A95" s="2" t="inlineStr">
        <is>
          <t>2026-02</t>
        </is>
      </c>
      <c r="B95" s="2" t="inlineStr">
        <is>
          <t>金条</t>
        </is>
      </c>
      <c r="C95" s="2" t="inlineStr">
        <is>
          <t>首贷</t>
        </is>
      </c>
      <c r="D95" s="2" t="inlineStr">
        <is>
          <t>人工</t>
        </is>
      </c>
      <c r="E95" s="2" t="inlineStr">
        <is>
          <t>华啸</t>
        </is>
      </c>
      <c r="F95" s="3" t="n">
        <v>28350</v>
      </c>
      <c r="G95" s="3" t="n">
        <v>275</v>
      </c>
      <c r="H95" s="3" t="n">
        <v>6761000</v>
      </c>
      <c r="I95" s="3" t="n">
        <v>3704</v>
      </c>
      <c r="J95" s="4" t="n">
        <v>0.07000000000000001</v>
      </c>
      <c r="K95" s="3" t="n">
        <v>1.068</v>
      </c>
      <c r="L95" s="3" t="n">
        <v>30992</v>
      </c>
      <c r="M95" s="3" t="n">
        <v>25550</v>
      </c>
      <c r="N95" s="3" t="n">
        <v>10</v>
      </c>
      <c r="O95" s="5">
        <f>IF(L95&gt;0,L95-I95,"")</f>
        <v/>
      </c>
      <c r="P95" s="6">
        <f>IF(AND(M95&gt;0,L95&gt;0),M95/L95*100,"")</f>
        <v/>
      </c>
      <c r="Q95" s="7">
        <f>IF(AND(G95&gt;0,F95&gt;0),G95/F95*100,"")</f>
        <v/>
      </c>
      <c r="R95" s="5">
        <f>IF(AND(H95&gt;0,G95&gt;0),H95/G95,"")</f>
        <v/>
      </c>
      <c r="S95" s="8">
        <f>IF(AND(L95&gt;0,G95&gt;0),L95/G95,"")</f>
        <v/>
      </c>
      <c r="T95" s="8">
        <f>IF(AND(M95&gt;0,G95&gt;0),M95/G95,"")</f>
        <v/>
      </c>
      <c r="U95" s="5">
        <f>IF(AND(M95&gt;0,N95&gt;0),M95/N95,"")</f>
        <v/>
      </c>
      <c r="V95" s="6">
        <f>IF(AND(I95&gt;=0,L95&gt;0),I95/L95*100,"")</f>
        <v/>
      </c>
      <c r="W95" s="9">
        <f>IF(AND(L95&gt;0,H95&gt;0,J95&gt;0),(L95-I95)/(H95*J95),"")</f>
        <v/>
      </c>
      <c r="X95" s="5">
        <f>IF(AND(M95&gt;0,N95&gt;0),M95/N95*0.7,"")</f>
        <v/>
      </c>
    </row>
    <row r="96">
      <c r="A96" s="2" t="inlineStr">
        <is>
          <t>2026-02</t>
        </is>
      </c>
      <c r="B96" s="2" t="inlineStr">
        <is>
          <t>金条</t>
        </is>
      </c>
      <c r="C96" s="2" t="inlineStr">
        <is>
          <t>复贷</t>
        </is>
      </c>
      <c r="D96" s="2" t="inlineStr">
        <is>
          <t>人工</t>
        </is>
      </c>
      <c r="E96" s="2" t="inlineStr">
        <is>
          <t>华啸</t>
        </is>
      </c>
      <c r="F96" s="3" t="n">
        <v>123869</v>
      </c>
      <c r="G96" s="3" t="n">
        <v>6585</v>
      </c>
      <c r="H96" s="3" t="n">
        <v>196069600</v>
      </c>
      <c r="I96" s="3" t="n">
        <v>16900</v>
      </c>
      <c r="J96" s="4" t="n">
        <v>0.36</v>
      </c>
      <c r="K96" s="3" t="n">
        <v>1.068</v>
      </c>
      <c r="L96" s="3" t="n">
        <v>229181</v>
      </c>
      <c r="M96" s="3" t="n">
        <v>198765</v>
      </c>
      <c r="N96" s="3" t="n">
        <v>36</v>
      </c>
      <c r="O96" s="5">
        <f>IF(L96&gt;0,L96-I96,"")</f>
        <v/>
      </c>
      <c r="P96" s="6">
        <f>IF(AND(M96&gt;0,L96&gt;0),M96/L96*100,"")</f>
        <v/>
      </c>
      <c r="Q96" s="7">
        <f>IF(AND(G96&gt;0,F96&gt;0),G96/F96*100,"")</f>
        <v/>
      </c>
      <c r="R96" s="5">
        <f>IF(AND(H96&gt;0,G96&gt;0),H96/G96,"")</f>
        <v/>
      </c>
      <c r="S96" s="8">
        <f>IF(AND(L96&gt;0,G96&gt;0),L96/G96,"")</f>
        <v/>
      </c>
      <c r="T96" s="8">
        <f>IF(AND(M96&gt;0,G96&gt;0),M96/G96,"")</f>
        <v/>
      </c>
      <c r="U96" s="5">
        <f>IF(AND(M96&gt;0,N96&gt;0),M96/N96,"")</f>
        <v/>
      </c>
      <c r="V96" s="6">
        <f>IF(AND(I96&gt;=0,L96&gt;0),I96/L96*100,"")</f>
        <v/>
      </c>
      <c r="W96" s="9">
        <f>IF(AND(L96&gt;0,H96&gt;0,J96&gt;0),(L96-I96)/(H96*J96),"")</f>
        <v/>
      </c>
      <c r="X96" s="5">
        <f>IF(AND(M96&gt;0,N96&gt;0),M96/N96*0.7,"")</f>
        <v/>
      </c>
    </row>
    <row r="97">
      <c r="A97" s="2" t="inlineStr">
        <is>
          <t>2026-02</t>
        </is>
      </c>
      <c r="B97" s="2" t="inlineStr">
        <is>
          <t>金条</t>
        </is>
      </c>
      <c r="C97" s="2" t="inlineStr">
        <is>
          <t>首贷</t>
        </is>
      </c>
      <c r="D97" s="2" t="inlineStr">
        <is>
          <t>人工</t>
        </is>
      </c>
      <c r="E97" s="2" t="inlineStr">
        <is>
          <t>汇讯</t>
        </is>
      </c>
      <c r="F97" s="3" t="n">
        <v>208192</v>
      </c>
      <c r="G97" s="3" t="n">
        <v>1750</v>
      </c>
      <c r="H97" s="3" t="n">
        <v>68355100</v>
      </c>
      <c r="I97" s="3" t="n">
        <v>23064</v>
      </c>
      <c r="J97" s="4" t="n">
        <v>0.07000000000000001</v>
      </c>
      <c r="K97" s="3" t="n">
        <v>1.068</v>
      </c>
      <c r="L97" s="3" t="n">
        <v>322102</v>
      </c>
      <c r="M97" s="3" t="n">
        <v>279998</v>
      </c>
      <c r="N97" s="3" t="n">
        <v>68</v>
      </c>
      <c r="O97" s="5">
        <f>IF(L97&gt;0,L97-I97,"")</f>
        <v/>
      </c>
      <c r="P97" s="6">
        <f>IF(AND(M97&gt;0,L97&gt;0),M97/L97*100,"")</f>
        <v/>
      </c>
      <c r="Q97" s="7">
        <f>IF(AND(G97&gt;0,F97&gt;0),G97/F97*100,"")</f>
        <v/>
      </c>
      <c r="R97" s="5">
        <f>IF(AND(H97&gt;0,G97&gt;0),H97/G97,"")</f>
        <v/>
      </c>
      <c r="S97" s="8">
        <f>IF(AND(L97&gt;0,G97&gt;0),L97/G97,"")</f>
        <v/>
      </c>
      <c r="T97" s="8">
        <f>IF(AND(M97&gt;0,G97&gt;0),M97/G97,"")</f>
        <v/>
      </c>
      <c r="U97" s="5">
        <f>IF(AND(M97&gt;0,N97&gt;0),M97/N97,"")</f>
        <v/>
      </c>
      <c r="V97" s="6">
        <f>IF(AND(I97&gt;=0,L97&gt;0),I97/L97*100,"")</f>
        <v/>
      </c>
      <c r="W97" s="9">
        <f>IF(AND(L97&gt;0,H97&gt;0,J97&gt;0),(L97-I97)/(H97*J97),"")</f>
        <v/>
      </c>
      <c r="X97" s="5">
        <f>IF(AND(M97&gt;0,N97&gt;0),M97/N97*0.7,"")</f>
        <v/>
      </c>
    </row>
    <row r="98">
      <c r="A98" s="2" t="inlineStr">
        <is>
          <t>2026-02</t>
        </is>
      </c>
      <c r="B98" s="2" t="inlineStr">
        <is>
          <t>金条</t>
        </is>
      </c>
      <c r="C98" s="2" t="inlineStr">
        <is>
          <t>复贷</t>
        </is>
      </c>
      <c r="D98" s="2" t="inlineStr">
        <is>
          <t>人工</t>
        </is>
      </c>
      <c r="E98" s="2" t="inlineStr">
        <is>
          <t>汇讯</t>
        </is>
      </c>
      <c r="F98" s="3" t="n">
        <v>126750</v>
      </c>
      <c r="G98" s="3" t="n">
        <v>6072</v>
      </c>
      <c r="H98" s="3" t="n">
        <v>179464700</v>
      </c>
      <c r="I98" s="3" t="n">
        <v>17562</v>
      </c>
      <c r="J98" s="4" t="n">
        <v>0.36</v>
      </c>
      <c r="K98" s="3" t="n">
        <v>1.068</v>
      </c>
      <c r="L98" s="3" t="n">
        <v>210278</v>
      </c>
      <c r="M98" s="3" t="n">
        <v>180446</v>
      </c>
      <c r="N98" s="3" t="n">
        <v>39</v>
      </c>
      <c r="O98" s="5">
        <f>IF(L98&gt;0,L98-I98,"")</f>
        <v/>
      </c>
      <c r="P98" s="6">
        <f>IF(AND(M98&gt;0,L98&gt;0),M98/L98*100,"")</f>
        <v/>
      </c>
      <c r="Q98" s="7">
        <f>IF(AND(G98&gt;0,F98&gt;0),G98/F98*100,"")</f>
        <v/>
      </c>
      <c r="R98" s="5">
        <f>IF(AND(H98&gt;0,G98&gt;0),H98/G98,"")</f>
        <v/>
      </c>
      <c r="S98" s="8">
        <f>IF(AND(L98&gt;0,G98&gt;0),L98/G98,"")</f>
        <v/>
      </c>
      <c r="T98" s="8">
        <f>IF(AND(M98&gt;0,G98&gt;0),M98/G98,"")</f>
        <v/>
      </c>
      <c r="U98" s="5">
        <f>IF(AND(M98&gt;0,N98&gt;0),M98/N98,"")</f>
        <v/>
      </c>
      <c r="V98" s="6">
        <f>IF(AND(I98&gt;=0,L98&gt;0),I98/L98*100,"")</f>
        <v/>
      </c>
      <c r="W98" s="9">
        <f>IF(AND(L98&gt;0,H98&gt;0,J98&gt;0),(L98-I98)/(H98*J98),"")</f>
        <v/>
      </c>
      <c r="X98" s="5">
        <f>IF(AND(M98&gt;0,N98&gt;0),M98/N98*0.7,"")</f>
        <v/>
      </c>
    </row>
    <row r="99">
      <c r="A99" s="2" t="inlineStr">
        <is>
          <t>2026-02</t>
        </is>
      </c>
      <c r="B99" s="2" t="inlineStr">
        <is>
          <t>金条</t>
        </is>
      </c>
      <c r="C99" s="2" t="inlineStr">
        <is>
          <t>首贷</t>
        </is>
      </c>
      <c r="D99" s="2" t="inlineStr">
        <is>
          <t>人工</t>
        </is>
      </c>
      <c r="E99" s="2" t="inlineStr">
        <is>
          <t>毛毛虫</t>
        </is>
      </c>
      <c r="F99" s="3" t="n">
        <v>502808</v>
      </c>
      <c r="G99" s="3" t="n">
        <v>5296</v>
      </c>
      <c r="H99" s="3" t="n">
        <v>207419000</v>
      </c>
      <c r="I99" s="3" t="n">
        <v>68218</v>
      </c>
      <c r="J99" s="4" t="n">
        <v>0.07000000000000001</v>
      </c>
      <c r="K99" s="3" t="n">
        <v>1.068</v>
      </c>
      <c r="L99" s="3" t="n">
        <v>970296</v>
      </c>
      <c r="M99" s="3" t="n">
        <v>844642</v>
      </c>
      <c r="N99" s="3" t="n">
        <v>164</v>
      </c>
      <c r="O99" s="5">
        <f>IF(L99&gt;0,L99-I99,"")</f>
        <v/>
      </c>
      <c r="P99" s="6">
        <f>IF(AND(M99&gt;0,L99&gt;0),M99/L99*100,"")</f>
        <v/>
      </c>
      <c r="Q99" s="7">
        <f>IF(AND(G99&gt;0,F99&gt;0),G99/F99*100,"")</f>
        <v/>
      </c>
      <c r="R99" s="5">
        <f>IF(AND(H99&gt;0,G99&gt;0),H99/G99,"")</f>
        <v/>
      </c>
      <c r="S99" s="8">
        <f>IF(AND(L99&gt;0,G99&gt;0),L99/G99,"")</f>
        <v/>
      </c>
      <c r="T99" s="8">
        <f>IF(AND(M99&gt;0,G99&gt;0),M99/G99,"")</f>
        <v/>
      </c>
      <c r="U99" s="5">
        <f>IF(AND(M99&gt;0,N99&gt;0),M99/N99,"")</f>
        <v/>
      </c>
      <c r="V99" s="6">
        <f>IF(AND(I99&gt;=0,L99&gt;0),I99/L99*100,"")</f>
        <v/>
      </c>
      <c r="W99" s="9">
        <f>IF(AND(L99&gt;0,H99&gt;0,J99&gt;0),(L99-I99)/(H99*J99),"")</f>
        <v/>
      </c>
      <c r="X99" s="5">
        <f>IF(AND(M99&gt;0,N99&gt;0),M99/N99*0.7,"")</f>
        <v/>
      </c>
    </row>
    <row r="100">
      <c r="A100" s="2" t="inlineStr">
        <is>
          <t>2026-02</t>
        </is>
      </c>
      <c r="B100" s="2" t="inlineStr">
        <is>
          <t>金条</t>
        </is>
      </c>
      <c r="C100" s="2" t="inlineStr">
        <is>
          <t>复贷</t>
        </is>
      </c>
      <c r="D100" s="2" t="inlineStr">
        <is>
          <t>人工</t>
        </is>
      </c>
      <c r="E100" s="2" t="inlineStr">
        <is>
          <t>毛毛虫</t>
        </is>
      </c>
      <c r="F100" s="3" t="n">
        <v>193351</v>
      </c>
      <c r="G100" s="3" t="n">
        <v>10636</v>
      </c>
      <c r="H100" s="3" t="n">
        <v>343205500</v>
      </c>
      <c r="I100" s="3" t="n">
        <v>30194</v>
      </c>
      <c r="J100" s="4" t="n">
        <v>0.36</v>
      </c>
      <c r="K100" s="3" t="n">
        <v>1.068</v>
      </c>
      <c r="L100" s="3" t="n">
        <v>402133</v>
      </c>
      <c r="M100" s="3" t="n">
        <v>348257</v>
      </c>
      <c r="N100" s="3" t="n">
        <v>57</v>
      </c>
      <c r="O100" s="5">
        <f>IF(L100&gt;0,L100-I100,"")</f>
        <v/>
      </c>
      <c r="P100" s="6">
        <f>IF(AND(M100&gt;0,L100&gt;0),M100/L100*100,"")</f>
        <v/>
      </c>
      <c r="Q100" s="7">
        <f>IF(AND(G100&gt;0,F100&gt;0),G100/F100*100,"")</f>
        <v/>
      </c>
      <c r="R100" s="5">
        <f>IF(AND(H100&gt;0,G100&gt;0),H100/G100,"")</f>
        <v/>
      </c>
      <c r="S100" s="8">
        <f>IF(AND(L100&gt;0,G100&gt;0),L100/G100,"")</f>
        <v/>
      </c>
      <c r="T100" s="8">
        <f>IF(AND(M100&gt;0,G100&gt;0),M100/G100,"")</f>
        <v/>
      </c>
      <c r="U100" s="5">
        <f>IF(AND(M100&gt;0,N100&gt;0),M100/N100,"")</f>
        <v/>
      </c>
      <c r="V100" s="6">
        <f>IF(AND(I100&gt;=0,L100&gt;0),I100/L100*100,"")</f>
        <v/>
      </c>
      <c r="W100" s="9">
        <f>IF(AND(L100&gt;0,H100&gt;0,J100&gt;0),(L100-I100)/(H100*J100),"")</f>
        <v/>
      </c>
      <c r="X100" s="5">
        <f>IF(AND(M100&gt;0,N100&gt;0),M100/N100*0.7,"")</f>
        <v/>
      </c>
    </row>
    <row r="101">
      <c r="A101" s="2" t="inlineStr">
        <is>
          <t>2026-02</t>
        </is>
      </c>
      <c r="B101" s="2" t="inlineStr">
        <is>
          <t>金条</t>
        </is>
      </c>
      <c r="C101" s="2" t="inlineStr">
        <is>
          <t>首贷</t>
        </is>
      </c>
      <c r="D101" s="2" t="inlineStr">
        <is>
          <t>人工</t>
        </is>
      </c>
      <c r="E101" s="2" t="inlineStr">
        <is>
          <t>岐力</t>
        </is>
      </c>
      <c r="F101" s="3" t="n">
        <v>30758</v>
      </c>
      <c r="G101" s="3" t="n">
        <v>316</v>
      </c>
      <c r="H101" s="3" t="n">
        <v>10250800</v>
      </c>
      <c r="I101" s="3" t="n">
        <v>4902</v>
      </c>
      <c r="J101" s="4" t="n">
        <v>0.07000000000000001</v>
      </c>
      <c r="K101" s="3" t="n">
        <v>1.068</v>
      </c>
      <c r="L101" s="3" t="n">
        <v>49082</v>
      </c>
      <c r="M101" s="3" t="n">
        <v>41367</v>
      </c>
      <c r="N101" s="3" t="n">
        <v>11</v>
      </c>
      <c r="O101" s="5">
        <f>IF(L101&gt;0,L101-I101,"")</f>
        <v/>
      </c>
      <c r="P101" s="6">
        <f>IF(AND(M101&gt;0,L101&gt;0),M101/L101*100,"")</f>
        <v/>
      </c>
      <c r="Q101" s="7">
        <f>IF(AND(G101&gt;0,F101&gt;0),G101/F101*100,"")</f>
        <v/>
      </c>
      <c r="R101" s="5">
        <f>IF(AND(H101&gt;0,G101&gt;0),H101/G101,"")</f>
        <v/>
      </c>
      <c r="S101" s="8">
        <f>IF(AND(L101&gt;0,G101&gt;0),L101/G101,"")</f>
        <v/>
      </c>
      <c r="T101" s="8">
        <f>IF(AND(M101&gt;0,G101&gt;0),M101/G101,"")</f>
        <v/>
      </c>
      <c r="U101" s="5">
        <f>IF(AND(M101&gt;0,N101&gt;0),M101/N101,"")</f>
        <v/>
      </c>
      <c r="V101" s="6">
        <f>IF(AND(I101&gt;=0,L101&gt;0),I101/L101*100,"")</f>
        <v/>
      </c>
      <c r="W101" s="9">
        <f>IF(AND(L101&gt;0,H101&gt;0,J101&gt;0),(L101-I101)/(H101*J101),"")</f>
        <v/>
      </c>
      <c r="X101" s="5">
        <f>IF(AND(M101&gt;0,N101&gt;0),M101/N101*0.7,"")</f>
        <v/>
      </c>
    </row>
    <row r="102">
      <c r="A102" s="2" t="inlineStr">
        <is>
          <t>2026-02</t>
        </is>
      </c>
      <c r="B102" s="2" t="inlineStr">
        <is>
          <t>金条</t>
        </is>
      </c>
      <c r="C102" s="2" t="inlineStr">
        <is>
          <t>复贷</t>
        </is>
      </c>
      <c r="D102" s="2" t="inlineStr">
        <is>
          <t>人工</t>
        </is>
      </c>
      <c r="E102" s="2" t="inlineStr">
        <is>
          <t>岐力</t>
        </is>
      </c>
      <c r="F102" s="3" t="n">
        <v>240251</v>
      </c>
      <c r="G102" s="3" t="n">
        <v>10942</v>
      </c>
      <c r="H102" s="3" t="n">
        <v>406475400</v>
      </c>
      <c r="I102" s="3" t="n">
        <v>33171</v>
      </c>
      <c r="J102" s="4" t="n">
        <v>0.36</v>
      </c>
      <c r="K102" s="3" t="n">
        <v>1.068</v>
      </c>
      <c r="L102" s="3" t="n">
        <v>478724</v>
      </c>
      <c r="M102" s="3" t="n">
        <v>417184</v>
      </c>
      <c r="N102" s="3" t="n">
        <v>75</v>
      </c>
      <c r="O102" s="5">
        <f>IF(L102&gt;0,L102-I102,"")</f>
        <v/>
      </c>
      <c r="P102" s="6">
        <f>IF(AND(M102&gt;0,L102&gt;0),M102/L102*100,"")</f>
        <v/>
      </c>
      <c r="Q102" s="7">
        <f>IF(AND(G102&gt;0,F102&gt;0),G102/F102*100,"")</f>
        <v/>
      </c>
      <c r="R102" s="5">
        <f>IF(AND(H102&gt;0,G102&gt;0),H102/G102,"")</f>
        <v/>
      </c>
      <c r="S102" s="8">
        <f>IF(AND(L102&gt;0,G102&gt;0),L102/G102,"")</f>
        <v/>
      </c>
      <c r="T102" s="8">
        <f>IF(AND(M102&gt;0,G102&gt;0),M102/G102,"")</f>
        <v/>
      </c>
      <c r="U102" s="5">
        <f>IF(AND(M102&gt;0,N102&gt;0),M102/N102,"")</f>
        <v/>
      </c>
      <c r="V102" s="6">
        <f>IF(AND(I102&gt;=0,L102&gt;0),I102/L102*100,"")</f>
        <v/>
      </c>
      <c r="W102" s="9">
        <f>IF(AND(L102&gt;0,H102&gt;0,J102&gt;0),(L102-I102)/(H102*J102),"")</f>
        <v/>
      </c>
      <c r="X102" s="5">
        <f>IF(AND(M102&gt;0,N102&gt;0),M102/N102*0.7,"")</f>
        <v/>
      </c>
    </row>
    <row r="103">
      <c r="A103" s="2" t="inlineStr">
        <is>
          <t>2026-02</t>
        </is>
      </c>
      <c r="B103" s="2" t="inlineStr">
        <is>
          <t>金条</t>
        </is>
      </c>
      <c r="C103" s="2" t="inlineStr">
        <is>
          <t>首贷</t>
        </is>
      </c>
      <c r="D103" s="2" t="inlineStr">
        <is>
          <t>人工</t>
        </is>
      </c>
      <c r="E103" s="2" t="inlineStr">
        <is>
          <t>人和</t>
        </is>
      </c>
      <c r="F103" s="3" t="n">
        <v>54859</v>
      </c>
      <c r="G103" s="3" t="n">
        <v>544</v>
      </c>
      <c r="H103" s="3" t="n">
        <v>20413100</v>
      </c>
      <c r="I103" s="3" t="n">
        <v>9146</v>
      </c>
      <c r="J103" s="4" t="n">
        <v>0.07000000000000001</v>
      </c>
      <c r="K103" s="3" t="n">
        <v>1.068</v>
      </c>
      <c r="L103" s="3" t="n">
        <v>91630</v>
      </c>
      <c r="M103" s="3" t="n">
        <v>77233</v>
      </c>
      <c r="N103" s="3" t="n">
        <v>16</v>
      </c>
      <c r="O103" s="5">
        <f>IF(L103&gt;0,L103-I103,"")</f>
        <v/>
      </c>
      <c r="P103" s="6">
        <f>IF(AND(M103&gt;0,L103&gt;0),M103/L103*100,"")</f>
        <v/>
      </c>
      <c r="Q103" s="7">
        <f>IF(AND(G103&gt;0,F103&gt;0),G103/F103*100,"")</f>
        <v/>
      </c>
      <c r="R103" s="5">
        <f>IF(AND(H103&gt;0,G103&gt;0),H103/G103,"")</f>
        <v/>
      </c>
      <c r="S103" s="8">
        <f>IF(AND(L103&gt;0,G103&gt;0),L103/G103,"")</f>
        <v/>
      </c>
      <c r="T103" s="8">
        <f>IF(AND(M103&gt;0,G103&gt;0),M103/G103,"")</f>
        <v/>
      </c>
      <c r="U103" s="5">
        <f>IF(AND(M103&gt;0,N103&gt;0),M103/N103,"")</f>
        <v/>
      </c>
      <c r="V103" s="6">
        <f>IF(AND(I103&gt;=0,L103&gt;0),I103/L103*100,"")</f>
        <v/>
      </c>
      <c r="W103" s="9">
        <f>IF(AND(L103&gt;0,H103&gt;0,J103&gt;0),(L103-I103)/(H103*J103),"")</f>
        <v/>
      </c>
      <c r="X103" s="5">
        <f>IF(AND(M103&gt;0,N103&gt;0),M103/N103*0.7,"")</f>
        <v/>
      </c>
    </row>
    <row r="104">
      <c r="A104" s="2" t="inlineStr">
        <is>
          <t>2026-02</t>
        </is>
      </c>
      <c r="B104" s="2" t="inlineStr">
        <is>
          <t>金条</t>
        </is>
      </c>
      <c r="C104" s="2" t="inlineStr">
        <is>
          <t>复贷</t>
        </is>
      </c>
      <c r="D104" s="2" t="inlineStr">
        <is>
          <t>人工</t>
        </is>
      </c>
      <c r="E104" s="2" t="inlineStr">
        <is>
          <t>人和</t>
        </is>
      </c>
      <c r="F104" s="3" t="n">
        <v>85218</v>
      </c>
      <c r="G104" s="3" t="n">
        <v>4448</v>
      </c>
      <c r="H104" s="3" t="n">
        <v>140017000</v>
      </c>
      <c r="I104" s="3" t="n">
        <v>14069</v>
      </c>
      <c r="J104" s="4" t="n">
        <v>0.36</v>
      </c>
      <c r="K104" s="3" t="n">
        <v>1.068</v>
      </c>
      <c r="L104" s="3" t="n">
        <v>164593</v>
      </c>
      <c r="M104" s="3" t="n">
        <v>140940</v>
      </c>
      <c r="N104" s="3" t="n">
        <v>25</v>
      </c>
      <c r="O104" s="5">
        <f>IF(L104&gt;0,L104-I104,"")</f>
        <v/>
      </c>
      <c r="P104" s="6">
        <f>IF(AND(M104&gt;0,L104&gt;0),M104/L104*100,"")</f>
        <v/>
      </c>
      <c r="Q104" s="7">
        <f>IF(AND(G104&gt;0,F104&gt;0),G104/F104*100,"")</f>
        <v/>
      </c>
      <c r="R104" s="5">
        <f>IF(AND(H104&gt;0,G104&gt;0),H104/G104,"")</f>
        <v/>
      </c>
      <c r="S104" s="8">
        <f>IF(AND(L104&gt;0,G104&gt;0),L104/G104,"")</f>
        <v/>
      </c>
      <c r="T104" s="8">
        <f>IF(AND(M104&gt;0,G104&gt;0),M104/G104,"")</f>
        <v/>
      </c>
      <c r="U104" s="5">
        <f>IF(AND(M104&gt;0,N104&gt;0),M104/N104,"")</f>
        <v/>
      </c>
      <c r="V104" s="6">
        <f>IF(AND(I104&gt;=0,L104&gt;0),I104/L104*100,"")</f>
        <v/>
      </c>
      <c r="W104" s="9">
        <f>IF(AND(L104&gt;0,H104&gt;0,J104&gt;0),(L104-I104)/(H104*J104),"")</f>
        <v/>
      </c>
      <c r="X104" s="5">
        <f>IF(AND(M104&gt;0,N104&gt;0),M104/N104*0.7,"")</f>
        <v/>
      </c>
    </row>
    <row r="105">
      <c r="A105" s="2" t="inlineStr">
        <is>
          <t>2026-02</t>
        </is>
      </c>
      <c r="B105" s="2" t="inlineStr">
        <is>
          <t>金条</t>
        </is>
      </c>
      <c r="C105" s="2" t="inlineStr">
        <is>
          <t>首贷</t>
        </is>
      </c>
      <c r="D105" s="2" t="inlineStr">
        <is>
          <t>人工</t>
        </is>
      </c>
      <c r="E105" s="2" t="inlineStr">
        <is>
          <t>赛维斯</t>
        </is>
      </c>
      <c r="F105" s="3" t="n">
        <v>168638</v>
      </c>
      <c r="G105" s="3" t="n">
        <v>1905</v>
      </c>
      <c r="H105" s="3" t="n">
        <v>62711900</v>
      </c>
      <c r="I105" s="3" t="n">
        <v>24246</v>
      </c>
      <c r="J105" s="4" t="n">
        <v>0.07000000000000001</v>
      </c>
      <c r="K105" s="3" t="n">
        <v>1.068</v>
      </c>
      <c r="L105" s="3" t="n">
        <v>301261</v>
      </c>
      <c r="M105" s="3" t="n">
        <v>259377</v>
      </c>
      <c r="N105" s="3" t="n">
        <v>53</v>
      </c>
      <c r="O105" s="5">
        <f>IF(L105&gt;0,L105-I105,"")</f>
        <v/>
      </c>
      <c r="P105" s="6">
        <f>IF(AND(M105&gt;0,L105&gt;0),M105/L105*100,"")</f>
        <v/>
      </c>
      <c r="Q105" s="7">
        <f>IF(AND(G105&gt;0,F105&gt;0),G105/F105*100,"")</f>
        <v/>
      </c>
      <c r="R105" s="5">
        <f>IF(AND(H105&gt;0,G105&gt;0),H105/G105,"")</f>
        <v/>
      </c>
      <c r="S105" s="8">
        <f>IF(AND(L105&gt;0,G105&gt;0),L105/G105,"")</f>
        <v/>
      </c>
      <c r="T105" s="8">
        <f>IF(AND(M105&gt;0,G105&gt;0),M105/G105,"")</f>
        <v/>
      </c>
      <c r="U105" s="5">
        <f>IF(AND(M105&gt;0,N105&gt;0),M105/N105,"")</f>
        <v/>
      </c>
      <c r="V105" s="6">
        <f>IF(AND(I105&gt;=0,L105&gt;0),I105/L105*100,"")</f>
        <v/>
      </c>
      <c r="W105" s="9">
        <f>IF(AND(L105&gt;0,H105&gt;0,J105&gt;0),(L105-I105)/(H105*J105),"")</f>
        <v/>
      </c>
      <c r="X105" s="5">
        <f>IF(AND(M105&gt;0,N105&gt;0),M105/N105*0.7,"")</f>
        <v/>
      </c>
    </row>
    <row r="106">
      <c r="A106" s="2" t="inlineStr">
        <is>
          <t>2026-02</t>
        </is>
      </c>
      <c r="B106" s="2" t="inlineStr">
        <is>
          <t>金条</t>
        </is>
      </c>
      <c r="C106" s="2" t="inlineStr">
        <is>
          <t>复贷</t>
        </is>
      </c>
      <c r="D106" s="2" t="inlineStr">
        <is>
          <t>人工</t>
        </is>
      </c>
      <c r="E106" s="2" t="inlineStr">
        <is>
          <t>赛维斯</t>
        </is>
      </c>
      <c r="F106" s="3" t="n">
        <v>219135</v>
      </c>
      <c r="G106" s="3" t="n">
        <v>11148</v>
      </c>
      <c r="H106" s="3" t="n">
        <v>370178100</v>
      </c>
      <c r="I106" s="3" t="n">
        <v>33874</v>
      </c>
      <c r="J106" s="4" t="n">
        <v>0.36</v>
      </c>
      <c r="K106" s="3" t="n">
        <v>1.068</v>
      </c>
      <c r="L106" s="3" t="n">
        <v>446349</v>
      </c>
      <c r="M106" s="3" t="n">
        <v>386212</v>
      </c>
      <c r="N106" s="3" t="n">
        <v>67</v>
      </c>
      <c r="O106" s="5">
        <f>IF(L106&gt;0,L106-I106,"")</f>
        <v/>
      </c>
      <c r="P106" s="6">
        <f>IF(AND(M106&gt;0,L106&gt;0),M106/L106*100,"")</f>
        <v/>
      </c>
      <c r="Q106" s="7">
        <f>IF(AND(G106&gt;0,F106&gt;0),G106/F106*100,"")</f>
        <v/>
      </c>
      <c r="R106" s="5">
        <f>IF(AND(H106&gt;0,G106&gt;0),H106/G106,"")</f>
        <v/>
      </c>
      <c r="S106" s="8">
        <f>IF(AND(L106&gt;0,G106&gt;0),L106/G106,"")</f>
        <v/>
      </c>
      <c r="T106" s="8">
        <f>IF(AND(M106&gt;0,G106&gt;0),M106/G106,"")</f>
        <v/>
      </c>
      <c r="U106" s="5">
        <f>IF(AND(M106&gt;0,N106&gt;0),M106/N106,"")</f>
        <v/>
      </c>
      <c r="V106" s="6">
        <f>IF(AND(I106&gt;=0,L106&gt;0),I106/L106*100,"")</f>
        <v/>
      </c>
      <c r="W106" s="9">
        <f>IF(AND(L106&gt;0,H106&gt;0,J106&gt;0),(L106-I106)/(H106*J106),"")</f>
        <v/>
      </c>
      <c r="X106" s="5">
        <f>IF(AND(M106&gt;0,N106&gt;0),M106/N106*0.7,"")</f>
        <v/>
      </c>
    </row>
    <row r="107">
      <c r="A107" s="2" t="inlineStr">
        <is>
          <t>2026-02</t>
        </is>
      </c>
      <c r="B107" s="2" t="inlineStr">
        <is>
          <t>金条</t>
        </is>
      </c>
      <c r="C107" s="2" t="inlineStr">
        <is>
          <t>首贷</t>
        </is>
      </c>
      <c r="D107" s="2" t="inlineStr">
        <is>
          <t>人工</t>
        </is>
      </c>
      <c r="E107" s="2" t="inlineStr">
        <is>
          <t>宿迁兆科</t>
        </is>
      </c>
      <c r="F107" s="3" t="n">
        <v>26519</v>
      </c>
      <c r="G107" s="3" t="n">
        <v>369</v>
      </c>
      <c r="H107" s="3" t="n">
        <v>11200100</v>
      </c>
      <c r="I107" s="3" t="n">
        <v>5183</v>
      </c>
      <c r="J107" s="4" t="n">
        <v>0.07000000000000001</v>
      </c>
      <c r="K107" s="3" t="n">
        <v>1.068</v>
      </c>
      <c r="L107" s="3" t="n">
        <v>55968</v>
      </c>
      <c r="M107" s="3" t="n">
        <v>47552</v>
      </c>
      <c r="N107" s="3" t="n">
        <v>10</v>
      </c>
      <c r="O107" s="5">
        <f>IF(L107&gt;0,L107-I107,"")</f>
        <v/>
      </c>
      <c r="P107" s="6">
        <f>IF(AND(M107&gt;0,L107&gt;0),M107/L107*100,"")</f>
        <v/>
      </c>
      <c r="Q107" s="7">
        <f>IF(AND(G107&gt;0,F107&gt;0),G107/F107*100,"")</f>
        <v/>
      </c>
      <c r="R107" s="5">
        <f>IF(AND(H107&gt;0,G107&gt;0),H107/G107,"")</f>
        <v/>
      </c>
      <c r="S107" s="8">
        <f>IF(AND(L107&gt;0,G107&gt;0),L107/G107,"")</f>
        <v/>
      </c>
      <c r="T107" s="8">
        <f>IF(AND(M107&gt;0,G107&gt;0),M107/G107,"")</f>
        <v/>
      </c>
      <c r="U107" s="5">
        <f>IF(AND(M107&gt;0,N107&gt;0),M107/N107,"")</f>
        <v/>
      </c>
      <c r="V107" s="6">
        <f>IF(AND(I107&gt;=0,L107&gt;0),I107/L107*100,"")</f>
        <v/>
      </c>
      <c r="W107" s="9">
        <f>IF(AND(L107&gt;0,H107&gt;0,J107&gt;0),(L107-I107)/(H107*J107),"")</f>
        <v/>
      </c>
      <c r="X107" s="5">
        <f>IF(AND(M107&gt;0,N107&gt;0),M107/N107*0.7,"")</f>
        <v/>
      </c>
    </row>
    <row r="108">
      <c r="A108" s="2" t="inlineStr">
        <is>
          <t>2026-02</t>
        </is>
      </c>
      <c r="B108" s="2" t="inlineStr">
        <is>
          <t>金条</t>
        </is>
      </c>
      <c r="C108" s="2" t="inlineStr">
        <is>
          <t>复贷</t>
        </is>
      </c>
      <c r="D108" s="2" t="inlineStr">
        <is>
          <t>人工</t>
        </is>
      </c>
      <c r="E108" s="2" t="inlineStr">
        <is>
          <t>宿迁兆科</t>
        </is>
      </c>
      <c r="F108" s="3" t="n">
        <v>38793</v>
      </c>
      <c r="G108" s="3" t="n">
        <v>2034</v>
      </c>
      <c r="H108" s="3" t="n">
        <v>82075800</v>
      </c>
      <c r="I108" s="3" t="n">
        <v>7158</v>
      </c>
      <c r="J108" s="4" t="n">
        <v>0.36</v>
      </c>
      <c r="K108" s="3" t="n">
        <v>1.068</v>
      </c>
      <c r="L108" s="3" t="n">
        <v>95774</v>
      </c>
      <c r="M108" s="3" t="n">
        <v>82975</v>
      </c>
      <c r="N108" s="3" t="n">
        <v>12</v>
      </c>
      <c r="O108" s="5">
        <f>IF(L108&gt;0,L108-I108,"")</f>
        <v/>
      </c>
      <c r="P108" s="6">
        <f>IF(AND(M108&gt;0,L108&gt;0),M108/L108*100,"")</f>
        <v/>
      </c>
      <c r="Q108" s="7">
        <f>IF(AND(G108&gt;0,F108&gt;0),G108/F108*100,"")</f>
        <v/>
      </c>
      <c r="R108" s="5">
        <f>IF(AND(H108&gt;0,G108&gt;0),H108/G108,"")</f>
        <v/>
      </c>
      <c r="S108" s="8">
        <f>IF(AND(L108&gt;0,G108&gt;0),L108/G108,"")</f>
        <v/>
      </c>
      <c r="T108" s="8">
        <f>IF(AND(M108&gt;0,G108&gt;0),M108/G108,"")</f>
        <v/>
      </c>
      <c r="U108" s="5">
        <f>IF(AND(M108&gt;0,N108&gt;0),M108/N108,"")</f>
        <v/>
      </c>
      <c r="V108" s="6">
        <f>IF(AND(I108&gt;=0,L108&gt;0),I108/L108*100,"")</f>
        <v/>
      </c>
      <c r="W108" s="9">
        <f>IF(AND(L108&gt;0,H108&gt;0,J108&gt;0),(L108-I108)/(H108*J108),"")</f>
        <v/>
      </c>
      <c r="X108" s="5">
        <f>IF(AND(M108&gt;0,N108&gt;0),M108/N108*0.7,"")</f>
        <v/>
      </c>
    </row>
    <row r="109">
      <c r="A109" s="2" t="inlineStr">
        <is>
          <t>2026-02</t>
        </is>
      </c>
      <c r="B109" s="2" t="inlineStr">
        <is>
          <t>金条</t>
        </is>
      </c>
      <c r="C109" s="2" t="inlineStr">
        <is>
          <t>首贷</t>
        </is>
      </c>
      <c r="D109" s="2" t="inlineStr">
        <is>
          <t>人工</t>
        </is>
      </c>
      <c r="E109" s="2" t="inlineStr">
        <is>
          <t>毅航合肥</t>
        </is>
      </c>
      <c r="F109" s="3" t="n">
        <v>643854</v>
      </c>
      <c r="G109" s="3" t="n">
        <v>7970</v>
      </c>
      <c r="H109" s="3" t="n">
        <v>317603700</v>
      </c>
      <c r="I109" s="3" t="n">
        <v>95382</v>
      </c>
      <c r="J109" s="4" t="n">
        <v>0.07000000000000001</v>
      </c>
      <c r="K109" s="3" t="n">
        <v>1.068</v>
      </c>
      <c r="L109" s="3" t="n">
        <v>1439571</v>
      </c>
      <c r="M109" s="3" t="n">
        <v>1258604</v>
      </c>
      <c r="N109" s="3" t="n">
        <v>207</v>
      </c>
      <c r="O109" s="5">
        <f>IF(L109&gt;0,L109-I109,"")</f>
        <v/>
      </c>
      <c r="P109" s="6">
        <f>IF(AND(M109&gt;0,L109&gt;0),M109/L109*100,"")</f>
        <v/>
      </c>
      <c r="Q109" s="7">
        <f>IF(AND(G109&gt;0,F109&gt;0),G109/F109*100,"")</f>
        <v/>
      </c>
      <c r="R109" s="5">
        <f>IF(AND(H109&gt;0,G109&gt;0),H109/G109,"")</f>
        <v/>
      </c>
      <c r="S109" s="8">
        <f>IF(AND(L109&gt;0,G109&gt;0),L109/G109,"")</f>
        <v/>
      </c>
      <c r="T109" s="8">
        <f>IF(AND(M109&gt;0,G109&gt;0),M109/G109,"")</f>
        <v/>
      </c>
      <c r="U109" s="5">
        <f>IF(AND(M109&gt;0,N109&gt;0),M109/N109,"")</f>
        <v/>
      </c>
      <c r="V109" s="6">
        <f>IF(AND(I109&gt;=0,L109&gt;0),I109/L109*100,"")</f>
        <v/>
      </c>
      <c r="W109" s="9">
        <f>IF(AND(L109&gt;0,H109&gt;0,J109&gt;0),(L109-I109)/(H109*J109),"")</f>
        <v/>
      </c>
      <c r="X109" s="5">
        <f>IF(AND(M109&gt;0,N109&gt;0),M109/N109*0.7,"")</f>
        <v/>
      </c>
    </row>
    <row r="110">
      <c r="A110" s="2" t="inlineStr">
        <is>
          <t>2026-02</t>
        </is>
      </c>
      <c r="B110" s="2" t="inlineStr">
        <is>
          <t>金条</t>
        </is>
      </c>
      <c r="C110" s="2" t="inlineStr">
        <is>
          <t>复贷</t>
        </is>
      </c>
      <c r="D110" s="2" t="inlineStr">
        <is>
          <t>人工</t>
        </is>
      </c>
      <c r="E110" s="2" t="inlineStr">
        <is>
          <t>毅航合肥</t>
        </is>
      </c>
      <c r="F110" s="3" t="n">
        <v>444726</v>
      </c>
      <c r="G110" s="3" t="n">
        <v>24049</v>
      </c>
      <c r="H110" s="3" t="n">
        <v>1020778600</v>
      </c>
      <c r="I110" s="3" t="n">
        <v>72218</v>
      </c>
      <c r="J110" s="4" t="n">
        <v>0.36</v>
      </c>
      <c r="K110" s="3" t="n">
        <v>1.068</v>
      </c>
      <c r="L110" s="3" t="n">
        <v>1225353</v>
      </c>
      <c r="M110" s="3" t="n">
        <v>1079715</v>
      </c>
      <c r="N110" s="3" t="n">
        <v>136</v>
      </c>
      <c r="O110" s="5">
        <f>IF(L110&gt;0,L110-I110,"")</f>
        <v/>
      </c>
      <c r="P110" s="6">
        <f>IF(AND(M110&gt;0,L110&gt;0),M110/L110*100,"")</f>
        <v/>
      </c>
      <c r="Q110" s="7">
        <f>IF(AND(G110&gt;0,F110&gt;0),G110/F110*100,"")</f>
        <v/>
      </c>
      <c r="R110" s="5">
        <f>IF(AND(H110&gt;0,G110&gt;0),H110/G110,"")</f>
        <v/>
      </c>
      <c r="S110" s="8">
        <f>IF(AND(L110&gt;0,G110&gt;0),L110/G110,"")</f>
        <v/>
      </c>
      <c r="T110" s="8">
        <f>IF(AND(M110&gt;0,G110&gt;0),M110/G110,"")</f>
        <v/>
      </c>
      <c r="U110" s="5">
        <f>IF(AND(M110&gt;0,N110&gt;0),M110/N110,"")</f>
        <v/>
      </c>
      <c r="V110" s="6">
        <f>IF(AND(I110&gt;=0,L110&gt;0),I110/L110*100,"")</f>
        <v/>
      </c>
      <c r="W110" s="9">
        <f>IF(AND(L110&gt;0,H110&gt;0,J110&gt;0),(L110-I110)/(H110*J110),"")</f>
        <v/>
      </c>
      <c r="X110" s="5">
        <f>IF(AND(M110&gt;0,N110&gt;0),M110/N110*0.7,"")</f>
        <v/>
      </c>
    </row>
    <row r="111">
      <c r="A111" s="2" t="inlineStr">
        <is>
          <t>2026-02</t>
        </is>
      </c>
      <c r="B111" s="2" t="inlineStr">
        <is>
          <t>金条</t>
        </is>
      </c>
      <c r="C111" s="2" t="inlineStr">
        <is>
          <t>首贷</t>
        </is>
      </c>
      <c r="D111" s="2" t="inlineStr">
        <is>
          <t>纯机</t>
        </is>
      </c>
      <c r="E111" s="2" t="inlineStr">
        <is>
          <t>电话邦</t>
        </is>
      </c>
      <c r="F111" s="3" t="n">
        <v>679727</v>
      </c>
      <c r="G111" s="3" t="n">
        <v>448</v>
      </c>
      <c r="H111" s="3" t="n">
        <v>5229200</v>
      </c>
      <c r="I111" s="3" t="n">
        <v>59535</v>
      </c>
      <c r="J111" s="4" t="n">
        <v>0.07000000000000001</v>
      </c>
      <c r="K111" s="3" t="n">
        <v>1.068</v>
      </c>
      <c r="L111" s="3" t="n">
        <v>62496</v>
      </c>
      <c r="M111" s="3" t="n">
        <v>2772</v>
      </c>
      <c r="N111" s="2" t="n"/>
      <c r="O111" s="5">
        <f>IF(L111&gt;0,L111-I111,"")</f>
        <v/>
      </c>
      <c r="P111" s="6">
        <f>IF(AND(M111&gt;0,L111&gt;0),M111/L111*100,"")</f>
        <v/>
      </c>
      <c r="Q111" s="7">
        <f>IF(AND(G111&gt;0,F111&gt;0),G111/F111*100,"")</f>
        <v/>
      </c>
      <c r="R111" s="5">
        <f>IF(AND(H111&gt;0,G111&gt;0),H111/G111,"")</f>
        <v/>
      </c>
      <c r="S111" s="8">
        <f>IF(AND(L111&gt;0,G111&gt;0),L111/G111,"")</f>
        <v/>
      </c>
      <c r="T111" s="8">
        <f>IF(AND(M111&gt;0,G111&gt;0),M111/G111,"")</f>
        <v/>
      </c>
      <c r="U111" s="5">
        <f>IF(AND(M111&gt;0,N111&gt;0),M111/N111,"")</f>
        <v/>
      </c>
      <c r="V111" s="6">
        <f>IF(AND(I111&gt;=0,L111&gt;0),I111/L111*100,"")</f>
        <v/>
      </c>
      <c r="W111" s="9">
        <f>IF(AND(L111&gt;0,H111&gt;0,J111&gt;0),(L111-I111)/(H111*J111),"")</f>
        <v/>
      </c>
      <c r="X111" s="5">
        <f>IF(AND(M111&gt;0,N111&gt;0),M111/N111*0.7,"")</f>
        <v/>
      </c>
    </row>
    <row r="112">
      <c r="A112" s="2" t="inlineStr">
        <is>
          <t>2026-02</t>
        </is>
      </c>
      <c r="B112" s="2" t="inlineStr">
        <is>
          <t>金条</t>
        </is>
      </c>
      <c r="C112" s="2" t="inlineStr">
        <is>
          <t>首贷</t>
        </is>
      </c>
      <c r="D112" s="2" t="inlineStr">
        <is>
          <t>纯机</t>
        </is>
      </c>
      <c r="E112" s="2" t="inlineStr">
        <is>
          <t>九四</t>
        </is>
      </c>
      <c r="F112" s="3" t="n">
        <v>757231</v>
      </c>
      <c r="G112" s="3" t="n">
        <v>510</v>
      </c>
      <c r="H112" s="3" t="n">
        <v>4888200</v>
      </c>
      <c r="I112" s="3" t="n">
        <v>64296</v>
      </c>
      <c r="J112" s="4" t="n">
        <v>0.07000000000000001</v>
      </c>
      <c r="K112" s="3" t="n">
        <v>1.068</v>
      </c>
      <c r="L112" s="3" t="n">
        <v>71145</v>
      </c>
      <c r="M112" s="3" t="n">
        <v>6413</v>
      </c>
      <c r="N112" s="2" t="n"/>
      <c r="O112" s="5">
        <f>IF(L112&gt;0,L112-I112,"")</f>
        <v/>
      </c>
      <c r="P112" s="6">
        <f>IF(AND(M112&gt;0,L112&gt;0),M112/L112*100,"")</f>
        <v/>
      </c>
      <c r="Q112" s="7">
        <f>IF(AND(G112&gt;0,F112&gt;0),G112/F112*100,"")</f>
        <v/>
      </c>
      <c r="R112" s="5">
        <f>IF(AND(H112&gt;0,G112&gt;0),H112/G112,"")</f>
        <v/>
      </c>
      <c r="S112" s="8">
        <f>IF(AND(L112&gt;0,G112&gt;0),L112/G112,"")</f>
        <v/>
      </c>
      <c r="T112" s="8">
        <f>IF(AND(M112&gt;0,G112&gt;0),M112/G112,"")</f>
        <v/>
      </c>
      <c r="U112" s="5">
        <f>IF(AND(M112&gt;0,N112&gt;0),M112/N112,"")</f>
        <v/>
      </c>
      <c r="V112" s="6">
        <f>IF(AND(I112&gt;=0,L112&gt;0),I112/L112*100,"")</f>
        <v/>
      </c>
      <c r="W112" s="9">
        <f>IF(AND(L112&gt;0,H112&gt;0,J112&gt;0),(L112-I112)/(H112*J112),"")</f>
        <v/>
      </c>
      <c r="X112" s="5">
        <f>IF(AND(M112&gt;0,N112&gt;0),M112/N112*0.7,"")</f>
        <v/>
      </c>
    </row>
    <row r="113">
      <c r="A113" s="2" t="inlineStr">
        <is>
          <t>2026-02</t>
        </is>
      </c>
      <c r="B113" s="2" t="inlineStr">
        <is>
          <t>金条</t>
        </is>
      </c>
      <c r="C113" s="2" t="inlineStr">
        <is>
          <t>首贷</t>
        </is>
      </c>
      <c r="D113" s="2" t="inlineStr">
        <is>
          <t>纯机</t>
        </is>
      </c>
      <c r="E113" s="2" t="inlineStr">
        <is>
          <t>零犀</t>
        </is>
      </c>
      <c r="F113" s="3" t="n">
        <v>11578489</v>
      </c>
      <c r="G113" s="3" t="n">
        <v>11853</v>
      </c>
      <c r="H113" s="3" t="n">
        <v>221449000</v>
      </c>
      <c r="I113" s="3" t="n">
        <v>1395777</v>
      </c>
      <c r="J113" s="4" t="n">
        <v>0.07000000000000001</v>
      </c>
      <c r="K113" s="3" t="n">
        <v>1.068</v>
      </c>
      <c r="L113" s="3" t="n">
        <v>1653494</v>
      </c>
      <c r="M113" s="3" t="n">
        <v>241308</v>
      </c>
      <c r="N113" s="2" t="n"/>
      <c r="O113" s="5">
        <f>IF(L113&gt;0,L113-I113,"")</f>
        <v/>
      </c>
      <c r="P113" s="6">
        <f>IF(AND(M113&gt;0,L113&gt;0),M113/L113*100,"")</f>
        <v/>
      </c>
      <c r="Q113" s="7">
        <f>IF(AND(G113&gt;0,F113&gt;0),G113/F113*100,"")</f>
        <v/>
      </c>
      <c r="R113" s="5">
        <f>IF(AND(H113&gt;0,G113&gt;0),H113/G113,"")</f>
        <v/>
      </c>
      <c r="S113" s="8">
        <f>IF(AND(L113&gt;0,G113&gt;0),L113/G113,"")</f>
        <v/>
      </c>
      <c r="T113" s="8">
        <f>IF(AND(M113&gt;0,G113&gt;0),M113/G113,"")</f>
        <v/>
      </c>
      <c r="U113" s="5">
        <f>IF(AND(M113&gt;0,N113&gt;0),M113/N113,"")</f>
        <v/>
      </c>
      <c r="V113" s="6">
        <f>IF(AND(I113&gt;=0,L113&gt;0),I113/L113*100,"")</f>
        <v/>
      </c>
      <c r="W113" s="9">
        <f>IF(AND(L113&gt;0,H113&gt;0,J113&gt;0),(L113-I113)/(H113*J113),"")</f>
        <v/>
      </c>
      <c r="X113" s="5">
        <f>IF(AND(M113&gt;0,N113&gt;0),M113/N113*0.7,"")</f>
        <v/>
      </c>
    </row>
    <row r="114">
      <c r="A114" s="2" t="inlineStr">
        <is>
          <t>2026-02</t>
        </is>
      </c>
      <c r="B114" s="2" t="inlineStr">
        <is>
          <t>金条</t>
        </is>
      </c>
      <c r="C114" s="2" t="inlineStr">
        <is>
          <t>复贷</t>
        </is>
      </c>
      <c r="D114" s="2" t="inlineStr">
        <is>
          <t>纯机</t>
        </is>
      </c>
      <c r="E114" s="2" t="inlineStr">
        <is>
          <t>零犀</t>
        </is>
      </c>
      <c r="F114" s="3" t="n">
        <v>466239</v>
      </c>
      <c r="G114" s="3" t="n">
        <v>28881</v>
      </c>
      <c r="H114" s="3" t="n">
        <v>854886900</v>
      </c>
      <c r="I114" s="3" t="n">
        <v>56488</v>
      </c>
      <c r="J114" s="4" t="n">
        <v>0.36</v>
      </c>
      <c r="K114" s="3" t="n">
        <v>1.068</v>
      </c>
      <c r="L114" s="3" t="n">
        <v>131311</v>
      </c>
      <c r="M114" s="3" t="n">
        <v>70058</v>
      </c>
      <c r="N114" s="2" t="n"/>
      <c r="O114" s="5">
        <f>IF(L114&gt;0,L114-I114,"")</f>
        <v/>
      </c>
      <c r="P114" s="6">
        <f>IF(AND(M114&gt;0,L114&gt;0),M114/L114*100,"")</f>
        <v/>
      </c>
      <c r="Q114" s="7">
        <f>IF(AND(G114&gt;0,F114&gt;0),G114/F114*100,"")</f>
        <v/>
      </c>
      <c r="R114" s="5">
        <f>IF(AND(H114&gt;0,G114&gt;0),H114/G114,"")</f>
        <v/>
      </c>
      <c r="S114" s="8">
        <f>IF(AND(L114&gt;0,G114&gt;0),L114/G114,"")</f>
        <v/>
      </c>
      <c r="T114" s="8">
        <f>IF(AND(M114&gt;0,G114&gt;0),M114/G114,"")</f>
        <v/>
      </c>
      <c r="U114" s="5">
        <f>IF(AND(M114&gt;0,N114&gt;0),M114/N114,"")</f>
        <v/>
      </c>
      <c r="V114" s="6">
        <f>IF(AND(I114&gt;=0,L114&gt;0),I114/L114*100,"")</f>
        <v/>
      </c>
      <c r="W114" s="9">
        <f>IF(AND(L114&gt;0,H114&gt;0,J114&gt;0),(L114-I114)/(H114*J114),"")</f>
        <v/>
      </c>
      <c r="X114" s="5">
        <f>IF(AND(M114&gt;0,N114&gt;0),M114/N114*0.7,"")</f>
        <v/>
      </c>
    </row>
    <row r="115">
      <c r="A115" s="2" t="inlineStr">
        <is>
          <t>2026-02</t>
        </is>
      </c>
      <c r="B115" s="2" t="inlineStr">
        <is>
          <t>金条</t>
        </is>
      </c>
      <c r="C115" s="2" t="inlineStr">
        <is>
          <t>首贷</t>
        </is>
      </c>
      <c r="D115" s="2" t="inlineStr">
        <is>
          <t>纯机</t>
        </is>
      </c>
      <c r="E115" s="2" t="inlineStr">
        <is>
          <t>言犀赛夫</t>
        </is>
      </c>
      <c r="F115" s="3" t="n">
        <v>4579692</v>
      </c>
      <c r="G115" s="3" t="n">
        <v>4029</v>
      </c>
      <c r="H115" s="3" t="n">
        <v>54195100</v>
      </c>
      <c r="I115" s="3" t="n">
        <v>415376</v>
      </c>
      <c r="J115" s="4" t="n">
        <v>0.07000000000000001</v>
      </c>
      <c r="K115" s="3" t="n">
        <v>1.068</v>
      </c>
      <c r="L115" s="3" t="n">
        <v>562046</v>
      </c>
      <c r="M115" s="3" t="n">
        <v>137331</v>
      </c>
      <c r="N115" s="2" t="n"/>
      <c r="O115" s="5">
        <f>IF(L115&gt;0,L115-I115,"")</f>
        <v/>
      </c>
      <c r="P115" s="6">
        <f>IF(AND(M115&gt;0,L115&gt;0),M115/L115*100,"")</f>
        <v/>
      </c>
      <c r="Q115" s="7">
        <f>IF(AND(G115&gt;0,F115&gt;0),G115/F115*100,"")</f>
        <v/>
      </c>
      <c r="R115" s="5">
        <f>IF(AND(H115&gt;0,G115&gt;0),H115/G115,"")</f>
        <v/>
      </c>
      <c r="S115" s="8">
        <f>IF(AND(L115&gt;0,G115&gt;0),L115/G115,"")</f>
        <v/>
      </c>
      <c r="T115" s="8">
        <f>IF(AND(M115&gt;0,G115&gt;0),M115/G115,"")</f>
        <v/>
      </c>
      <c r="U115" s="5">
        <f>IF(AND(M115&gt;0,N115&gt;0),M115/N115,"")</f>
        <v/>
      </c>
      <c r="V115" s="6">
        <f>IF(AND(I115&gt;=0,L115&gt;0),I115/L115*100,"")</f>
        <v/>
      </c>
      <c r="W115" s="9">
        <f>IF(AND(L115&gt;0,H115&gt;0,J115&gt;0),(L115-I115)/(H115*J115),"")</f>
        <v/>
      </c>
      <c r="X115" s="5">
        <f>IF(AND(M115&gt;0,N115&gt;0),M115/N115*0.7,"")</f>
        <v/>
      </c>
    </row>
    <row r="116">
      <c r="A116" s="2" t="inlineStr">
        <is>
          <t>2026-02</t>
        </is>
      </c>
      <c r="B116" s="2" t="inlineStr">
        <is>
          <t>金条</t>
        </is>
      </c>
      <c r="C116" s="2" t="inlineStr">
        <is>
          <t>复贷</t>
        </is>
      </c>
      <c r="D116" s="2" t="inlineStr">
        <is>
          <t>纯机</t>
        </is>
      </c>
      <c r="E116" s="2" t="inlineStr">
        <is>
          <t>言犀赛夫</t>
        </is>
      </c>
      <c r="F116" s="3" t="n">
        <v>358167</v>
      </c>
      <c r="G116" s="3" t="n">
        <v>20414</v>
      </c>
      <c r="H116" s="3" t="n">
        <v>608433500</v>
      </c>
      <c r="I116" s="3" t="n">
        <v>45257</v>
      </c>
      <c r="J116" s="4" t="n">
        <v>0.36</v>
      </c>
      <c r="K116" s="3" t="n">
        <v>1.068</v>
      </c>
      <c r="L116" s="3" t="n">
        <v>93455</v>
      </c>
      <c r="M116" s="3" t="n">
        <v>45130</v>
      </c>
      <c r="N116" s="2" t="n"/>
      <c r="O116" s="5">
        <f>IF(L116&gt;0,L116-I116,"")</f>
        <v/>
      </c>
      <c r="P116" s="6">
        <f>IF(AND(M116&gt;0,L116&gt;0),M116/L116*100,"")</f>
        <v/>
      </c>
      <c r="Q116" s="7">
        <f>IF(AND(G116&gt;0,F116&gt;0),G116/F116*100,"")</f>
        <v/>
      </c>
      <c r="R116" s="5">
        <f>IF(AND(H116&gt;0,G116&gt;0),H116/G116,"")</f>
        <v/>
      </c>
      <c r="S116" s="8">
        <f>IF(AND(L116&gt;0,G116&gt;0),L116/G116,"")</f>
        <v/>
      </c>
      <c r="T116" s="8">
        <f>IF(AND(M116&gt;0,G116&gt;0),M116/G116,"")</f>
        <v/>
      </c>
      <c r="U116" s="5">
        <f>IF(AND(M116&gt;0,N116&gt;0),M116/N116,"")</f>
        <v/>
      </c>
      <c r="V116" s="6">
        <f>IF(AND(I116&gt;=0,L116&gt;0),I116/L116*100,"")</f>
        <v/>
      </c>
      <c r="W116" s="9">
        <f>IF(AND(L116&gt;0,H116&gt;0,J116&gt;0),(L116-I116)/(H116*J116),"")</f>
        <v/>
      </c>
      <c r="X116" s="5">
        <f>IF(AND(M116&gt;0,N116&gt;0),M116/N116*0.7,"")</f>
        <v/>
      </c>
    </row>
    <row r="117">
      <c r="A117" s="2" t="inlineStr">
        <is>
          <t>2026-03</t>
        </is>
      </c>
      <c r="B117" s="2" t="inlineStr">
        <is>
          <t>金条</t>
        </is>
      </c>
      <c r="C117" s="2" t="inlineStr">
        <is>
          <t>首贷</t>
        </is>
      </c>
      <c r="D117" s="2" t="inlineStr">
        <is>
          <t>人机</t>
        </is>
      </c>
      <c r="E117" s="2" t="inlineStr">
        <is>
          <t>零犀伽玛</t>
        </is>
      </c>
      <c r="F117" s="3" t="n">
        <v>2377809</v>
      </c>
      <c r="G117" s="3" t="n">
        <v>7463</v>
      </c>
      <c r="H117" s="3" t="n">
        <v>118973900</v>
      </c>
      <c r="I117" s="3" t="n">
        <v>270934</v>
      </c>
      <c r="J117" s="4" t="n">
        <v>0.07000000000000001</v>
      </c>
      <c r="K117" s="3" t="n">
        <v>1.068</v>
      </c>
      <c r="L117" s="3" t="n">
        <v>637468</v>
      </c>
      <c r="M117" s="3" t="n">
        <v>343196</v>
      </c>
      <c r="N117" s="3" t="n">
        <v>29</v>
      </c>
      <c r="O117" s="5">
        <f>IF(L117&gt;0,L117-I117,"")</f>
        <v/>
      </c>
      <c r="P117" s="6">
        <f>IF(AND(M117&gt;0,L117&gt;0),M117/L117*100,"")</f>
        <v/>
      </c>
      <c r="Q117" s="7">
        <f>IF(AND(G117&gt;0,F117&gt;0),G117/F117*100,"")</f>
        <v/>
      </c>
      <c r="R117" s="5">
        <f>IF(AND(H117&gt;0,G117&gt;0),H117/G117,"")</f>
        <v/>
      </c>
      <c r="S117" s="8">
        <f>IF(AND(L117&gt;0,G117&gt;0),L117/G117,"")</f>
        <v/>
      </c>
      <c r="T117" s="8">
        <f>IF(AND(M117&gt;0,G117&gt;0),M117/G117,"")</f>
        <v/>
      </c>
      <c r="U117" s="5">
        <f>IF(AND(M117&gt;0,N117&gt;0),M117/N117,"")</f>
        <v/>
      </c>
      <c r="V117" s="6">
        <f>IF(AND(I117&gt;=0,L117&gt;0),I117/L117*100,"")</f>
        <v/>
      </c>
      <c r="W117" s="9">
        <f>IF(AND(L117&gt;0,H117&gt;0,J117&gt;0),(L117-I117)/(H117*J117),"")</f>
        <v/>
      </c>
      <c r="X117" s="5">
        <f>IF(AND(M117&gt;0,N117&gt;0),M117/N117*0.7,"")</f>
        <v/>
      </c>
    </row>
    <row r="118">
      <c r="A118" s="2" t="inlineStr">
        <is>
          <t>2026-03</t>
        </is>
      </c>
      <c r="B118" s="2" t="inlineStr">
        <is>
          <t>金条</t>
        </is>
      </c>
      <c r="C118" s="2" t="inlineStr">
        <is>
          <t>首贷</t>
        </is>
      </c>
      <c r="D118" s="2" t="inlineStr">
        <is>
          <t>人机</t>
        </is>
      </c>
      <c r="E118" s="2" t="inlineStr">
        <is>
          <t>零犀</t>
        </is>
      </c>
      <c r="F118" s="3" t="n">
        <v>11431889</v>
      </c>
      <c r="G118" s="3" t="n">
        <v>36796</v>
      </c>
      <c r="H118" s="3" t="n">
        <v>651917900</v>
      </c>
      <c r="I118" s="3" t="n">
        <v>1171970</v>
      </c>
      <c r="J118" s="4" t="n">
        <v>0.07000000000000001</v>
      </c>
      <c r="K118" s="3" t="n">
        <v>1.068</v>
      </c>
      <c r="L118" s="3" t="n">
        <v>3538571</v>
      </c>
      <c r="M118" s="3" t="n">
        <v>2215918</v>
      </c>
      <c r="N118" s="3" t="n">
        <v>79</v>
      </c>
      <c r="O118" s="5">
        <f>IF(L118&gt;0,L118-I118,"")</f>
        <v/>
      </c>
      <c r="P118" s="6">
        <f>IF(AND(M118&gt;0,L118&gt;0),M118/L118*100,"")</f>
        <v/>
      </c>
      <c r="Q118" s="7">
        <f>IF(AND(G118&gt;0,F118&gt;0),G118/F118*100,"")</f>
        <v/>
      </c>
      <c r="R118" s="5">
        <f>IF(AND(H118&gt;0,G118&gt;0),H118/G118,"")</f>
        <v/>
      </c>
      <c r="S118" s="8">
        <f>IF(AND(L118&gt;0,G118&gt;0),L118/G118,"")</f>
        <v/>
      </c>
      <c r="T118" s="8">
        <f>IF(AND(M118&gt;0,G118&gt;0),M118/G118,"")</f>
        <v/>
      </c>
      <c r="U118" s="5">
        <f>IF(AND(M118&gt;0,N118&gt;0),M118/N118,"")</f>
        <v/>
      </c>
      <c r="V118" s="6">
        <f>IF(AND(I118&gt;=0,L118&gt;0),I118/L118*100,"")</f>
        <v/>
      </c>
      <c r="W118" s="9">
        <f>IF(AND(L118&gt;0,H118&gt;0,J118&gt;0),(L118-I118)/(H118*J118),"")</f>
        <v/>
      </c>
      <c r="X118" s="5">
        <f>IF(AND(M118&gt;0,N118&gt;0),M118/N118*0.7,"")</f>
        <v/>
      </c>
    </row>
    <row r="119">
      <c r="A119" s="2" t="inlineStr">
        <is>
          <t>2026-03</t>
        </is>
      </c>
      <c r="B119" s="2" t="inlineStr">
        <is>
          <t>金条</t>
        </is>
      </c>
      <c r="C119" s="2" t="inlineStr">
        <is>
          <t>复贷</t>
        </is>
      </c>
      <c r="D119" s="2" t="inlineStr">
        <is>
          <t>人机</t>
        </is>
      </c>
      <c r="E119" s="2" t="inlineStr">
        <is>
          <t>零犀</t>
        </is>
      </c>
      <c r="F119" s="3" t="n">
        <v>2422401</v>
      </c>
      <c r="G119" s="3" t="n">
        <v>12800</v>
      </c>
      <c r="H119" s="3" t="n">
        <v>698872500</v>
      </c>
      <c r="I119" s="3" t="n">
        <v>208376</v>
      </c>
      <c r="J119" s="4" t="n">
        <v>0.36</v>
      </c>
      <c r="K119" s="3" t="n">
        <v>1.068</v>
      </c>
      <c r="L119" s="3" t="n">
        <v>805101</v>
      </c>
      <c r="M119" s="3" t="n">
        <v>558731</v>
      </c>
      <c r="N119" s="3" t="n">
        <v>12</v>
      </c>
      <c r="O119" s="5">
        <f>IF(L119&gt;0,L119-I119,"")</f>
        <v/>
      </c>
      <c r="P119" s="6">
        <f>IF(AND(M119&gt;0,L119&gt;0),M119/L119*100,"")</f>
        <v/>
      </c>
      <c r="Q119" s="7">
        <f>IF(AND(G119&gt;0,F119&gt;0),G119/F119*100,"")</f>
        <v/>
      </c>
      <c r="R119" s="5">
        <f>IF(AND(H119&gt;0,G119&gt;0),H119/G119,"")</f>
        <v/>
      </c>
      <c r="S119" s="8">
        <f>IF(AND(L119&gt;0,G119&gt;0),L119/G119,"")</f>
        <v/>
      </c>
      <c r="T119" s="8">
        <f>IF(AND(M119&gt;0,G119&gt;0),M119/G119,"")</f>
        <v/>
      </c>
      <c r="U119" s="5">
        <f>IF(AND(M119&gt;0,N119&gt;0),M119/N119,"")</f>
        <v/>
      </c>
      <c r="V119" s="6">
        <f>IF(AND(I119&gt;=0,L119&gt;0),I119/L119*100,"")</f>
        <v/>
      </c>
      <c r="W119" s="9">
        <f>IF(AND(L119&gt;0,H119&gt;0,J119&gt;0),(L119-I119)/(H119*J119),"")</f>
        <v/>
      </c>
      <c r="X119" s="5">
        <f>IF(AND(M119&gt;0,N119&gt;0),M119/N119*0.7,"")</f>
        <v/>
      </c>
    </row>
    <row r="120">
      <c r="A120" s="2" t="inlineStr">
        <is>
          <t>2026-03</t>
        </is>
      </c>
      <c r="B120" s="2" t="inlineStr">
        <is>
          <t>金条</t>
        </is>
      </c>
      <c r="C120" s="2" t="inlineStr">
        <is>
          <t>首贷</t>
        </is>
      </c>
      <c r="D120" s="2" t="inlineStr">
        <is>
          <t>人机</t>
        </is>
      </c>
      <c r="E120" s="2" t="inlineStr">
        <is>
          <t>零犀毛毛虫</t>
        </is>
      </c>
      <c r="F120" s="3" t="n">
        <v>2487539</v>
      </c>
      <c r="G120" s="3" t="n">
        <v>7715</v>
      </c>
      <c r="H120" s="3" t="n">
        <v>125628900</v>
      </c>
      <c r="I120" s="3" t="n">
        <v>275693</v>
      </c>
      <c r="J120" s="4" t="n">
        <v>0.07000000000000001</v>
      </c>
      <c r="K120" s="3" t="n">
        <v>1.068</v>
      </c>
      <c r="L120" s="3" t="n">
        <v>677182</v>
      </c>
      <c r="M120" s="3" t="n">
        <v>375927</v>
      </c>
      <c r="N120" s="3" t="n">
        <v>29</v>
      </c>
      <c r="O120" s="5">
        <f>IF(L120&gt;0,L120-I120,"")</f>
        <v/>
      </c>
      <c r="P120" s="6">
        <f>IF(AND(M120&gt;0,L120&gt;0),M120/L120*100,"")</f>
        <v/>
      </c>
      <c r="Q120" s="7">
        <f>IF(AND(G120&gt;0,F120&gt;0),G120/F120*100,"")</f>
        <v/>
      </c>
      <c r="R120" s="5">
        <f>IF(AND(H120&gt;0,G120&gt;0),H120/G120,"")</f>
        <v/>
      </c>
      <c r="S120" s="8">
        <f>IF(AND(L120&gt;0,G120&gt;0),L120/G120,"")</f>
        <v/>
      </c>
      <c r="T120" s="8">
        <f>IF(AND(M120&gt;0,G120&gt;0),M120/G120,"")</f>
        <v/>
      </c>
      <c r="U120" s="5">
        <f>IF(AND(M120&gt;0,N120&gt;0),M120/N120,"")</f>
        <v/>
      </c>
      <c r="V120" s="6">
        <f>IF(AND(I120&gt;=0,L120&gt;0),I120/L120*100,"")</f>
        <v/>
      </c>
      <c r="W120" s="9">
        <f>IF(AND(L120&gt;0,H120&gt;0,J120&gt;0),(L120-I120)/(H120*J120),"")</f>
        <v/>
      </c>
      <c r="X120" s="5">
        <f>IF(AND(M120&gt;0,N120&gt;0),M120/N120*0.7,"")</f>
        <v/>
      </c>
    </row>
    <row r="121">
      <c r="A121" s="2" t="inlineStr">
        <is>
          <t>2026-03</t>
        </is>
      </c>
      <c r="B121" s="2" t="inlineStr">
        <is>
          <t>金条</t>
        </is>
      </c>
      <c r="C121" s="2" t="inlineStr">
        <is>
          <t>首贷</t>
        </is>
      </c>
      <c r="D121" s="2" t="inlineStr">
        <is>
          <t>人机</t>
        </is>
      </c>
      <c r="E121" s="2" t="inlineStr">
        <is>
          <t>零犀赛维斯</t>
        </is>
      </c>
      <c r="F121" s="3" t="n">
        <v>2067952</v>
      </c>
      <c r="G121" s="3" t="n">
        <v>6303</v>
      </c>
      <c r="H121" s="3" t="n">
        <v>97673200</v>
      </c>
      <c r="I121" s="3" t="n">
        <v>248131</v>
      </c>
      <c r="J121" s="4" t="n">
        <v>0.07000000000000001</v>
      </c>
      <c r="K121" s="3" t="n">
        <v>1.068</v>
      </c>
      <c r="L121" s="3" t="n">
        <v>523903</v>
      </c>
      <c r="M121" s="3" t="n">
        <v>258213</v>
      </c>
      <c r="N121" s="3" t="n">
        <v>22</v>
      </c>
      <c r="O121" s="5">
        <f>IF(L121&gt;0,L121-I121,"")</f>
        <v/>
      </c>
      <c r="P121" s="6">
        <f>IF(AND(M121&gt;0,L121&gt;0),M121/L121*100,"")</f>
        <v/>
      </c>
      <c r="Q121" s="7">
        <f>IF(AND(G121&gt;0,F121&gt;0),G121/F121*100,"")</f>
        <v/>
      </c>
      <c r="R121" s="5">
        <f>IF(AND(H121&gt;0,G121&gt;0),H121/G121,"")</f>
        <v/>
      </c>
      <c r="S121" s="8">
        <f>IF(AND(L121&gt;0,G121&gt;0),L121/G121,"")</f>
        <v/>
      </c>
      <c r="T121" s="8">
        <f>IF(AND(M121&gt;0,G121&gt;0),M121/G121,"")</f>
        <v/>
      </c>
      <c r="U121" s="5">
        <f>IF(AND(M121&gt;0,N121&gt;0),M121/N121,"")</f>
        <v/>
      </c>
      <c r="V121" s="6">
        <f>IF(AND(I121&gt;=0,L121&gt;0),I121/L121*100,"")</f>
        <v/>
      </c>
      <c r="W121" s="9">
        <f>IF(AND(L121&gt;0,H121&gt;0,J121&gt;0),(L121-I121)/(H121*J121),"")</f>
        <v/>
      </c>
      <c r="X121" s="5">
        <f>IF(AND(M121&gt;0,N121&gt;0),M121/N121*0.7,"")</f>
        <v/>
      </c>
    </row>
    <row r="122">
      <c r="A122" s="2" t="inlineStr">
        <is>
          <t>2026-03</t>
        </is>
      </c>
      <c r="B122" s="2" t="inlineStr">
        <is>
          <t>金条</t>
        </is>
      </c>
      <c r="C122" s="2" t="inlineStr">
        <is>
          <t>首贷</t>
        </is>
      </c>
      <c r="D122" s="2" t="inlineStr">
        <is>
          <t>人机</t>
        </is>
      </c>
      <c r="E122" s="2" t="inlineStr">
        <is>
          <t>零犀毅航</t>
        </is>
      </c>
      <c r="F122" s="3" t="n">
        <v>4490702</v>
      </c>
      <c r="G122" s="3" t="n">
        <v>14117</v>
      </c>
      <c r="H122" s="3" t="n">
        <v>269057100</v>
      </c>
      <c r="I122" s="3" t="n">
        <v>488765</v>
      </c>
      <c r="J122" s="4" t="n">
        <v>0.07000000000000001</v>
      </c>
      <c r="K122" s="3" t="n">
        <v>1.068</v>
      </c>
      <c r="L122" s="3" t="n">
        <v>1454274</v>
      </c>
      <c r="M122" s="3" t="n">
        <v>904034</v>
      </c>
      <c r="N122" s="3" t="n">
        <v>49</v>
      </c>
      <c r="O122" s="5">
        <f>IF(L122&gt;0,L122-I122,"")</f>
        <v/>
      </c>
      <c r="P122" s="6">
        <f>IF(AND(M122&gt;0,L122&gt;0),M122/L122*100,"")</f>
        <v/>
      </c>
      <c r="Q122" s="7">
        <f>IF(AND(G122&gt;0,F122&gt;0),G122/F122*100,"")</f>
        <v/>
      </c>
      <c r="R122" s="5">
        <f>IF(AND(H122&gt;0,G122&gt;0),H122/G122,"")</f>
        <v/>
      </c>
      <c r="S122" s="8">
        <f>IF(AND(L122&gt;0,G122&gt;0),L122/G122,"")</f>
        <v/>
      </c>
      <c r="T122" s="8">
        <f>IF(AND(M122&gt;0,G122&gt;0),M122/G122,"")</f>
        <v/>
      </c>
      <c r="U122" s="5">
        <f>IF(AND(M122&gt;0,N122&gt;0),M122/N122,"")</f>
        <v/>
      </c>
      <c r="V122" s="6">
        <f>IF(AND(I122&gt;=0,L122&gt;0),I122/L122*100,"")</f>
        <v/>
      </c>
      <c r="W122" s="9">
        <f>IF(AND(L122&gt;0,H122&gt;0,J122&gt;0),(L122-I122)/(H122*J122),"")</f>
        <v/>
      </c>
      <c r="X122" s="5">
        <f>IF(AND(M122&gt;0,N122&gt;0),M122/N122*0.7,"")</f>
        <v/>
      </c>
    </row>
    <row r="123">
      <c r="A123" s="2" t="inlineStr">
        <is>
          <t>2026-03</t>
        </is>
      </c>
      <c r="B123" s="2" t="inlineStr">
        <is>
          <t>金条</t>
        </is>
      </c>
      <c r="C123" s="2" t="inlineStr">
        <is>
          <t>首贷</t>
        </is>
      </c>
      <c r="D123" s="2" t="inlineStr">
        <is>
          <t>人机</t>
        </is>
      </c>
      <c r="E123" s="2" t="inlineStr">
        <is>
          <t>赛维斯</t>
        </is>
      </c>
      <c r="F123" s="3" t="n">
        <v>2538583</v>
      </c>
      <c r="G123" s="3" t="n">
        <v>6992</v>
      </c>
      <c r="H123" s="3" t="n">
        <v>116176800</v>
      </c>
      <c r="I123" s="3" t="n">
        <v>322159</v>
      </c>
      <c r="J123" s="4" t="n">
        <v>0.07000000000000001</v>
      </c>
      <c r="K123" s="3" t="n">
        <v>1.068</v>
      </c>
      <c r="L123" s="3" t="n">
        <v>624824</v>
      </c>
      <c r="M123" s="3" t="n">
        <v>283394</v>
      </c>
      <c r="N123" s="3" t="n">
        <v>26</v>
      </c>
      <c r="O123" s="5">
        <f>IF(L123&gt;0,L123-I123,"")</f>
        <v/>
      </c>
      <c r="P123" s="6">
        <f>IF(AND(M123&gt;0,L123&gt;0),M123/L123*100,"")</f>
        <v/>
      </c>
      <c r="Q123" s="7">
        <f>IF(AND(G123&gt;0,F123&gt;0),G123/F123*100,"")</f>
        <v/>
      </c>
      <c r="R123" s="5">
        <f>IF(AND(H123&gt;0,G123&gt;0),H123/G123,"")</f>
        <v/>
      </c>
      <c r="S123" s="8">
        <f>IF(AND(L123&gt;0,G123&gt;0),L123/G123,"")</f>
        <v/>
      </c>
      <c r="T123" s="8">
        <f>IF(AND(M123&gt;0,G123&gt;0),M123/G123,"")</f>
        <v/>
      </c>
      <c r="U123" s="5">
        <f>IF(AND(M123&gt;0,N123&gt;0),M123/N123,"")</f>
        <v/>
      </c>
      <c r="V123" s="6">
        <f>IF(AND(I123&gt;=0,L123&gt;0),I123/L123*100,"")</f>
        <v/>
      </c>
      <c r="W123" s="9">
        <f>IF(AND(L123&gt;0,H123&gt;0,J123&gt;0),(L123-I123)/(H123*J123),"")</f>
        <v/>
      </c>
      <c r="X123" s="5">
        <f>IF(AND(M123&gt;0,N123&gt;0),M123/N123*0.7,"")</f>
        <v/>
      </c>
    </row>
    <row r="124">
      <c r="A124" s="2" t="inlineStr">
        <is>
          <t>2026-03</t>
        </is>
      </c>
      <c r="B124" s="2" t="inlineStr">
        <is>
          <t>金条</t>
        </is>
      </c>
      <c r="C124" s="2" t="inlineStr">
        <is>
          <t>复贷</t>
        </is>
      </c>
      <c r="D124" s="2" t="inlineStr">
        <is>
          <t>人机</t>
        </is>
      </c>
      <c r="E124" s="2" t="inlineStr">
        <is>
          <t>赛维斯</t>
        </is>
      </c>
      <c r="F124" s="3" t="n">
        <v>1898555</v>
      </c>
      <c r="G124" s="3" t="n">
        <v>10480</v>
      </c>
      <c r="H124" s="3" t="n">
        <v>533657300</v>
      </c>
      <c r="I124" s="3" t="n">
        <v>228213</v>
      </c>
      <c r="J124" s="4" t="n">
        <v>0.36</v>
      </c>
      <c r="K124" s="3" t="n">
        <v>1.068</v>
      </c>
      <c r="L124" s="3" t="n">
        <v>614773</v>
      </c>
      <c r="M124" s="3" t="n">
        <v>361948</v>
      </c>
      <c r="N124" s="3" t="n">
        <v>12</v>
      </c>
      <c r="O124" s="5">
        <f>IF(L124&gt;0,L124-I124,"")</f>
        <v/>
      </c>
      <c r="P124" s="6">
        <f>IF(AND(M124&gt;0,L124&gt;0),M124/L124*100,"")</f>
        <v/>
      </c>
      <c r="Q124" s="7">
        <f>IF(AND(G124&gt;0,F124&gt;0),G124/F124*100,"")</f>
        <v/>
      </c>
      <c r="R124" s="5">
        <f>IF(AND(H124&gt;0,G124&gt;0),H124/G124,"")</f>
        <v/>
      </c>
      <c r="S124" s="8">
        <f>IF(AND(L124&gt;0,G124&gt;0),L124/G124,"")</f>
        <v/>
      </c>
      <c r="T124" s="8">
        <f>IF(AND(M124&gt;0,G124&gt;0),M124/G124,"")</f>
        <v/>
      </c>
      <c r="U124" s="5">
        <f>IF(AND(M124&gt;0,N124&gt;0),M124/N124,"")</f>
        <v/>
      </c>
      <c r="V124" s="6">
        <f>IF(AND(I124&gt;=0,L124&gt;0),I124/L124*100,"")</f>
        <v/>
      </c>
      <c r="W124" s="9">
        <f>IF(AND(L124&gt;0,H124&gt;0,J124&gt;0),(L124-I124)/(H124*J124),"")</f>
        <v/>
      </c>
      <c r="X124" s="5">
        <f>IF(AND(M124&gt;0,N124&gt;0),M124/N124*0.7,"")</f>
        <v/>
      </c>
    </row>
    <row r="125">
      <c r="A125" s="2" t="inlineStr">
        <is>
          <t>2026-03</t>
        </is>
      </c>
      <c r="B125" s="2" t="inlineStr">
        <is>
          <t>金条</t>
        </is>
      </c>
      <c r="C125" s="2" t="inlineStr">
        <is>
          <t>首贷</t>
        </is>
      </c>
      <c r="D125" s="2" t="inlineStr">
        <is>
          <t>人工</t>
        </is>
      </c>
      <c r="E125" s="2" t="inlineStr">
        <is>
          <t>博岳石家庄</t>
        </is>
      </c>
      <c r="F125" s="3" t="n">
        <v>204986</v>
      </c>
      <c r="G125" s="3" t="n">
        <v>2136</v>
      </c>
      <c r="H125" s="3" t="n">
        <v>91549500</v>
      </c>
      <c r="I125" s="3" t="n">
        <v>24706</v>
      </c>
      <c r="J125" s="4" t="n">
        <v>0.07000000000000001</v>
      </c>
      <c r="K125" s="3" t="n">
        <v>1.068</v>
      </c>
      <c r="L125" s="3" t="n">
        <v>430834</v>
      </c>
      <c r="M125" s="3" t="n">
        <v>380270</v>
      </c>
      <c r="N125" s="3" t="n">
        <v>52</v>
      </c>
      <c r="O125" s="5">
        <f>IF(L125&gt;0,L125-I125,"")</f>
        <v/>
      </c>
      <c r="P125" s="6">
        <f>IF(AND(M125&gt;0,L125&gt;0),M125/L125*100,"")</f>
        <v/>
      </c>
      <c r="Q125" s="7">
        <f>IF(AND(G125&gt;0,F125&gt;0),G125/F125*100,"")</f>
        <v/>
      </c>
      <c r="R125" s="5">
        <f>IF(AND(H125&gt;0,G125&gt;0),H125/G125,"")</f>
        <v/>
      </c>
      <c r="S125" s="8">
        <f>IF(AND(L125&gt;0,G125&gt;0),L125/G125,"")</f>
        <v/>
      </c>
      <c r="T125" s="8">
        <f>IF(AND(M125&gt;0,G125&gt;0),M125/G125,"")</f>
        <v/>
      </c>
      <c r="U125" s="5">
        <f>IF(AND(M125&gt;0,N125&gt;0),M125/N125,"")</f>
        <v/>
      </c>
      <c r="V125" s="6">
        <f>IF(AND(I125&gt;=0,L125&gt;0),I125/L125*100,"")</f>
        <v/>
      </c>
      <c r="W125" s="9">
        <f>IF(AND(L125&gt;0,H125&gt;0,J125&gt;0),(L125-I125)/(H125*J125),"")</f>
        <v/>
      </c>
      <c r="X125" s="5">
        <f>IF(AND(M125&gt;0,N125&gt;0),M125/N125*0.7,"")</f>
        <v/>
      </c>
    </row>
    <row r="126">
      <c r="A126" s="2" t="inlineStr">
        <is>
          <t>2026-03</t>
        </is>
      </c>
      <c r="B126" s="2" t="inlineStr">
        <is>
          <t>金条</t>
        </is>
      </c>
      <c r="C126" s="2" t="inlineStr">
        <is>
          <t>复贷</t>
        </is>
      </c>
      <c r="D126" s="2" t="inlineStr">
        <is>
          <t>人工</t>
        </is>
      </c>
      <c r="E126" s="2" t="inlineStr">
        <is>
          <t>博岳石家庄</t>
        </is>
      </c>
      <c r="F126" s="3" t="n">
        <v>231880</v>
      </c>
      <c r="G126" s="3" t="n">
        <v>9590</v>
      </c>
      <c r="H126" s="3" t="n">
        <v>349531600</v>
      </c>
      <c r="I126" s="3" t="n">
        <v>32479</v>
      </c>
      <c r="J126" s="4" t="n">
        <v>0.36</v>
      </c>
      <c r="K126" s="3" t="n">
        <v>1.068</v>
      </c>
      <c r="L126" s="3" t="n">
        <v>406602</v>
      </c>
      <c r="M126" s="3" t="n">
        <v>350303</v>
      </c>
      <c r="N126" s="3" t="n">
        <v>50</v>
      </c>
      <c r="O126" s="5">
        <f>IF(L126&gt;0,L126-I126,"")</f>
        <v/>
      </c>
      <c r="P126" s="6">
        <f>IF(AND(M126&gt;0,L126&gt;0),M126/L126*100,"")</f>
        <v/>
      </c>
      <c r="Q126" s="7">
        <f>IF(AND(G126&gt;0,F126&gt;0),G126/F126*100,"")</f>
        <v/>
      </c>
      <c r="R126" s="5">
        <f>IF(AND(H126&gt;0,G126&gt;0),H126/G126,"")</f>
        <v/>
      </c>
      <c r="S126" s="8">
        <f>IF(AND(L126&gt;0,G126&gt;0),L126/G126,"")</f>
        <v/>
      </c>
      <c r="T126" s="8">
        <f>IF(AND(M126&gt;0,G126&gt;0),M126/G126,"")</f>
        <v/>
      </c>
      <c r="U126" s="5">
        <f>IF(AND(M126&gt;0,N126&gt;0),M126/N126,"")</f>
        <v/>
      </c>
      <c r="V126" s="6">
        <f>IF(AND(I126&gt;=0,L126&gt;0),I126/L126*100,"")</f>
        <v/>
      </c>
      <c r="W126" s="9">
        <f>IF(AND(L126&gt;0,H126&gt;0,J126&gt;0),(L126-I126)/(H126*J126),"")</f>
        <v/>
      </c>
      <c r="X126" s="5">
        <f>IF(AND(M126&gt;0,N126&gt;0),M126/N126*0.7,"")</f>
        <v/>
      </c>
    </row>
    <row r="127">
      <c r="A127" s="2" t="inlineStr">
        <is>
          <t>2026-03</t>
        </is>
      </c>
      <c r="B127" s="2" t="inlineStr">
        <is>
          <t>金条</t>
        </is>
      </c>
      <c r="C127" s="2" t="inlineStr">
        <is>
          <t>首贷</t>
        </is>
      </c>
      <c r="D127" s="2" t="inlineStr">
        <is>
          <t>人工</t>
        </is>
      </c>
      <c r="E127" s="2" t="inlineStr">
        <is>
          <t>伽玛</t>
        </is>
      </c>
      <c r="F127" s="3" t="n">
        <v>305661</v>
      </c>
      <c r="G127" s="3" t="n">
        <v>2905</v>
      </c>
      <c r="H127" s="3" t="n">
        <v>115348900</v>
      </c>
      <c r="I127" s="3" t="n">
        <v>47393</v>
      </c>
      <c r="J127" s="4" t="n">
        <v>0.07000000000000001</v>
      </c>
      <c r="K127" s="3" t="n">
        <v>1.068</v>
      </c>
      <c r="L127" s="3" t="n">
        <v>549032</v>
      </c>
      <c r="M127" s="3" t="n">
        <v>469699</v>
      </c>
      <c r="N127" s="3" t="n">
        <v>56</v>
      </c>
      <c r="O127" s="5">
        <f>IF(L127&gt;0,L127-I127,"")</f>
        <v/>
      </c>
      <c r="P127" s="6">
        <f>IF(AND(M127&gt;0,L127&gt;0),M127/L127*100,"")</f>
        <v/>
      </c>
      <c r="Q127" s="7">
        <f>IF(AND(G127&gt;0,F127&gt;0),G127/F127*100,"")</f>
        <v/>
      </c>
      <c r="R127" s="5">
        <f>IF(AND(H127&gt;0,G127&gt;0),H127/G127,"")</f>
        <v/>
      </c>
      <c r="S127" s="8">
        <f>IF(AND(L127&gt;0,G127&gt;0),L127/G127,"")</f>
        <v/>
      </c>
      <c r="T127" s="8">
        <f>IF(AND(M127&gt;0,G127&gt;0),M127/G127,"")</f>
        <v/>
      </c>
      <c r="U127" s="5">
        <f>IF(AND(M127&gt;0,N127&gt;0),M127/N127,"")</f>
        <v/>
      </c>
      <c r="V127" s="6">
        <f>IF(AND(I127&gt;=0,L127&gt;0),I127/L127*100,"")</f>
        <v/>
      </c>
      <c r="W127" s="9">
        <f>IF(AND(L127&gt;0,H127&gt;0,J127&gt;0),(L127-I127)/(H127*J127),"")</f>
        <v/>
      </c>
      <c r="X127" s="5">
        <f>IF(AND(M127&gt;0,N127&gt;0),M127/N127*0.7,"")</f>
        <v/>
      </c>
    </row>
    <row r="128">
      <c r="A128" s="2" t="inlineStr">
        <is>
          <t>2026-03</t>
        </is>
      </c>
      <c r="B128" s="2" t="inlineStr">
        <is>
          <t>金条</t>
        </is>
      </c>
      <c r="C128" s="2" t="inlineStr">
        <is>
          <t>复贷</t>
        </is>
      </c>
      <c r="D128" s="2" t="inlineStr">
        <is>
          <t>人工</t>
        </is>
      </c>
      <c r="E128" s="2" t="inlineStr">
        <is>
          <t>伽玛</t>
        </is>
      </c>
      <c r="F128" s="3" t="n">
        <v>413875</v>
      </c>
      <c r="G128" s="3" t="n">
        <v>17924</v>
      </c>
      <c r="H128" s="3" t="n">
        <v>785229900</v>
      </c>
      <c r="I128" s="3" t="n">
        <v>67463</v>
      </c>
      <c r="J128" s="4" t="n">
        <v>0.36</v>
      </c>
      <c r="K128" s="3" t="n">
        <v>1.068</v>
      </c>
      <c r="L128" s="3" t="n">
        <v>918049</v>
      </c>
      <c r="M128" s="3" t="n">
        <v>796429</v>
      </c>
      <c r="N128" s="3" t="n">
        <v>86</v>
      </c>
      <c r="O128" s="5">
        <f>IF(L128&gt;0,L128-I128,"")</f>
        <v/>
      </c>
      <c r="P128" s="6">
        <f>IF(AND(M128&gt;0,L128&gt;0),M128/L128*100,"")</f>
        <v/>
      </c>
      <c r="Q128" s="7">
        <f>IF(AND(G128&gt;0,F128&gt;0),G128/F128*100,"")</f>
        <v/>
      </c>
      <c r="R128" s="5">
        <f>IF(AND(H128&gt;0,G128&gt;0),H128/G128,"")</f>
        <v/>
      </c>
      <c r="S128" s="8">
        <f>IF(AND(L128&gt;0,G128&gt;0),L128/G128,"")</f>
        <v/>
      </c>
      <c r="T128" s="8">
        <f>IF(AND(M128&gt;0,G128&gt;0),M128/G128,"")</f>
        <v/>
      </c>
      <c r="U128" s="5">
        <f>IF(AND(M128&gt;0,N128&gt;0),M128/N128,"")</f>
        <v/>
      </c>
      <c r="V128" s="6">
        <f>IF(AND(I128&gt;=0,L128&gt;0),I128/L128*100,"")</f>
        <v/>
      </c>
      <c r="W128" s="9">
        <f>IF(AND(L128&gt;0,H128&gt;0,J128&gt;0),(L128-I128)/(H128*J128),"")</f>
        <v/>
      </c>
      <c r="X128" s="5">
        <f>IF(AND(M128&gt;0,N128&gt;0),M128/N128*0.7,"")</f>
        <v/>
      </c>
    </row>
    <row r="129">
      <c r="A129" s="2" t="inlineStr">
        <is>
          <t>2026-03</t>
        </is>
      </c>
      <c r="B129" s="2" t="inlineStr">
        <is>
          <t>金条</t>
        </is>
      </c>
      <c r="C129" s="2" t="inlineStr">
        <is>
          <t>首贷</t>
        </is>
      </c>
      <c r="D129" s="2" t="inlineStr">
        <is>
          <t>人工</t>
        </is>
      </c>
      <c r="E129" s="2" t="inlineStr">
        <is>
          <t>广达陕西</t>
        </is>
      </c>
      <c r="F129" s="3" t="n">
        <v>96528</v>
      </c>
      <c r="G129" s="3" t="n">
        <v>906</v>
      </c>
      <c r="H129" s="3" t="n">
        <v>34715000</v>
      </c>
      <c r="I129" s="3" t="n">
        <v>13333</v>
      </c>
      <c r="J129" s="4" t="n">
        <v>0.07000000000000001</v>
      </c>
      <c r="K129" s="3" t="n">
        <v>1.068</v>
      </c>
      <c r="L129" s="3" t="n">
        <v>162382</v>
      </c>
      <c r="M129" s="3" t="n">
        <v>139560</v>
      </c>
      <c r="N129" s="3" t="n">
        <v>21</v>
      </c>
      <c r="O129" s="5">
        <f>IF(L129&gt;0,L129-I129,"")</f>
        <v/>
      </c>
      <c r="P129" s="6">
        <f>IF(AND(M129&gt;0,L129&gt;0),M129/L129*100,"")</f>
        <v/>
      </c>
      <c r="Q129" s="7">
        <f>IF(AND(G129&gt;0,F129&gt;0),G129/F129*100,"")</f>
        <v/>
      </c>
      <c r="R129" s="5">
        <f>IF(AND(H129&gt;0,G129&gt;0),H129/G129,"")</f>
        <v/>
      </c>
      <c r="S129" s="8">
        <f>IF(AND(L129&gt;0,G129&gt;0),L129/G129,"")</f>
        <v/>
      </c>
      <c r="T129" s="8">
        <f>IF(AND(M129&gt;0,G129&gt;0),M129/G129,"")</f>
        <v/>
      </c>
      <c r="U129" s="5">
        <f>IF(AND(M129&gt;0,N129&gt;0),M129/N129,"")</f>
        <v/>
      </c>
      <c r="V129" s="6">
        <f>IF(AND(I129&gt;=0,L129&gt;0),I129/L129*100,"")</f>
        <v/>
      </c>
      <c r="W129" s="9">
        <f>IF(AND(L129&gt;0,H129&gt;0,J129&gt;0),(L129-I129)/(H129*J129),"")</f>
        <v/>
      </c>
      <c r="X129" s="5">
        <f>IF(AND(M129&gt;0,N129&gt;0),M129/N129*0.7,"")</f>
        <v/>
      </c>
    </row>
    <row r="130">
      <c r="A130" s="2" t="inlineStr">
        <is>
          <t>2026-03</t>
        </is>
      </c>
      <c r="B130" s="2" t="inlineStr">
        <is>
          <t>金条</t>
        </is>
      </c>
      <c r="C130" s="2" t="inlineStr">
        <is>
          <t>复贷</t>
        </is>
      </c>
      <c r="D130" s="2" t="inlineStr">
        <is>
          <t>人工</t>
        </is>
      </c>
      <c r="E130" s="2" t="inlineStr">
        <is>
          <t>广达陕西</t>
        </is>
      </c>
      <c r="F130" s="3" t="n">
        <v>128001</v>
      </c>
      <c r="G130" s="3" t="n">
        <v>5926</v>
      </c>
      <c r="H130" s="3" t="n">
        <v>211866000</v>
      </c>
      <c r="I130" s="3" t="n">
        <v>22355</v>
      </c>
      <c r="J130" s="4" t="n">
        <v>0.36</v>
      </c>
      <c r="K130" s="3" t="n">
        <v>1.068</v>
      </c>
      <c r="L130" s="3" t="n">
        <v>249028</v>
      </c>
      <c r="M130" s="3" t="n">
        <v>212241</v>
      </c>
      <c r="N130" s="3" t="n">
        <v>27</v>
      </c>
      <c r="O130" s="5">
        <f>IF(L130&gt;0,L130-I130,"")</f>
        <v/>
      </c>
      <c r="P130" s="6">
        <f>IF(AND(M130&gt;0,L130&gt;0),M130/L130*100,"")</f>
        <v/>
      </c>
      <c r="Q130" s="7">
        <f>IF(AND(G130&gt;0,F130&gt;0),G130/F130*100,"")</f>
        <v/>
      </c>
      <c r="R130" s="5">
        <f>IF(AND(H130&gt;0,G130&gt;0),H130/G130,"")</f>
        <v/>
      </c>
      <c r="S130" s="8">
        <f>IF(AND(L130&gt;0,G130&gt;0),L130/G130,"")</f>
        <v/>
      </c>
      <c r="T130" s="8">
        <f>IF(AND(M130&gt;0,G130&gt;0),M130/G130,"")</f>
        <v/>
      </c>
      <c r="U130" s="5">
        <f>IF(AND(M130&gt;0,N130&gt;0),M130/N130,"")</f>
        <v/>
      </c>
      <c r="V130" s="6">
        <f>IF(AND(I130&gt;=0,L130&gt;0),I130/L130*100,"")</f>
        <v/>
      </c>
      <c r="W130" s="9">
        <f>IF(AND(L130&gt;0,H130&gt;0,J130&gt;0),(L130-I130)/(H130*J130),"")</f>
        <v/>
      </c>
      <c r="X130" s="5">
        <f>IF(AND(M130&gt;0,N130&gt;0),M130/N130*0.7,"")</f>
        <v/>
      </c>
    </row>
    <row r="131">
      <c r="A131" s="2" t="inlineStr">
        <is>
          <t>2026-03</t>
        </is>
      </c>
      <c r="B131" s="2" t="inlineStr">
        <is>
          <t>金条</t>
        </is>
      </c>
      <c r="C131" s="2" t="inlineStr">
        <is>
          <t>首贷</t>
        </is>
      </c>
      <c r="D131" s="2" t="inlineStr">
        <is>
          <t>人工</t>
        </is>
      </c>
      <c r="E131" s="2" t="inlineStr">
        <is>
          <t>翰锐曲靖</t>
        </is>
      </c>
      <c r="F131" s="3" t="n">
        <v>126765</v>
      </c>
      <c r="G131" s="3" t="n">
        <v>1088</v>
      </c>
      <c r="H131" s="3" t="n">
        <v>39772500</v>
      </c>
      <c r="I131" s="3" t="n">
        <v>15279</v>
      </c>
      <c r="J131" s="4" t="n">
        <v>0.07000000000000001</v>
      </c>
      <c r="K131" s="3" t="n">
        <v>1.068</v>
      </c>
      <c r="L131" s="3" t="n">
        <v>184040</v>
      </c>
      <c r="M131" s="3" t="n">
        <v>158016</v>
      </c>
      <c r="N131" s="3" t="n">
        <v>31</v>
      </c>
      <c r="O131" s="5">
        <f>IF(L131&gt;0,L131-I131,"")</f>
        <v/>
      </c>
      <c r="P131" s="6">
        <f>IF(AND(M131&gt;0,L131&gt;0),M131/L131*100,"")</f>
        <v/>
      </c>
      <c r="Q131" s="7">
        <f>IF(AND(G131&gt;0,F131&gt;0),G131/F131*100,"")</f>
        <v/>
      </c>
      <c r="R131" s="5">
        <f>IF(AND(H131&gt;0,G131&gt;0),H131/G131,"")</f>
        <v/>
      </c>
      <c r="S131" s="8">
        <f>IF(AND(L131&gt;0,G131&gt;0),L131/G131,"")</f>
        <v/>
      </c>
      <c r="T131" s="8">
        <f>IF(AND(M131&gt;0,G131&gt;0),M131/G131,"")</f>
        <v/>
      </c>
      <c r="U131" s="5">
        <f>IF(AND(M131&gt;0,N131&gt;0),M131/N131,"")</f>
        <v/>
      </c>
      <c r="V131" s="6">
        <f>IF(AND(I131&gt;=0,L131&gt;0),I131/L131*100,"")</f>
        <v/>
      </c>
      <c r="W131" s="9">
        <f>IF(AND(L131&gt;0,H131&gt;0,J131&gt;0),(L131-I131)/(H131*J131),"")</f>
        <v/>
      </c>
      <c r="X131" s="5">
        <f>IF(AND(M131&gt;0,N131&gt;0),M131/N131*0.7,"")</f>
        <v/>
      </c>
    </row>
    <row r="132">
      <c r="A132" s="2" t="inlineStr">
        <is>
          <t>2026-03</t>
        </is>
      </c>
      <c r="B132" s="2" t="inlineStr">
        <is>
          <t>金条</t>
        </is>
      </c>
      <c r="C132" s="2" t="inlineStr">
        <is>
          <t>复贷</t>
        </is>
      </c>
      <c r="D132" s="2" t="inlineStr">
        <is>
          <t>人工</t>
        </is>
      </c>
      <c r="E132" s="2" t="inlineStr">
        <is>
          <t>翰锐曲靖</t>
        </is>
      </c>
      <c r="F132" s="3" t="n">
        <v>288838</v>
      </c>
      <c r="G132" s="3" t="n">
        <v>13209</v>
      </c>
      <c r="H132" s="3" t="n">
        <v>555506700</v>
      </c>
      <c r="I132" s="3" t="n">
        <v>42473</v>
      </c>
      <c r="J132" s="4" t="n">
        <v>0.36</v>
      </c>
      <c r="K132" s="3" t="n">
        <v>1.068</v>
      </c>
      <c r="L132" s="3" t="n">
        <v>647805</v>
      </c>
      <c r="M132" s="3" t="n">
        <v>566791</v>
      </c>
      <c r="N132" s="3" t="n">
        <v>64</v>
      </c>
      <c r="O132" s="5">
        <f>IF(L132&gt;0,L132-I132,"")</f>
        <v/>
      </c>
      <c r="P132" s="6">
        <f>IF(AND(M132&gt;0,L132&gt;0),M132/L132*100,"")</f>
        <v/>
      </c>
      <c r="Q132" s="7">
        <f>IF(AND(G132&gt;0,F132&gt;0),G132/F132*100,"")</f>
        <v/>
      </c>
      <c r="R132" s="5">
        <f>IF(AND(H132&gt;0,G132&gt;0),H132/G132,"")</f>
        <v/>
      </c>
      <c r="S132" s="8">
        <f>IF(AND(L132&gt;0,G132&gt;0),L132/G132,"")</f>
        <v/>
      </c>
      <c r="T132" s="8">
        <f>IF(AND(M132&gt;0,G132&gt;0),M132/G132,"")</f>
        <v/>
      </c>
      <c r="U132" s="5">
        <f>IF(AND(M132&gt;0,N132&gt;0),M132/N132,"")</f>
        <v/>
      </c>
      <c r="V132" s="6">
        <f>IF(AND(I132&gt;=0,L132&gt;0),I132/L132*100,"")</f>
        <v/>
      </c>
      <c r="W132" s="9">
        <f>IF(AND(L132&gt;0,H132&gt;0,J132&gt;0),(L132-I132)/(H132*J132),"")</f>
        <v/>
      </c>
      <c r="X132" s="5">
        <f>IF(AND(M132&gt;0,N132&gt;0),M132/N132*0.7,"")</f>
        <v/>
      </c>
    </row>
    <row r="133">
      <c r="A133" s="2" t="inlineStr">
        <is>
          <t>2026-03</t>
        </is>
      </c>
      <c r="B133" s="2" t="inlineStr">
        <is>
          <t>金条</t>
        </is>
      </c>
      <c r="C133" s="2" t="inlineStr">
        <is>
          <t>首贷</t>
        </is>
      </c>
      <c r="D133" s="2" t="inlineStr">
        <is>
          <t>人工</t>
        </is>
      </c>
      <c r="E133" s="2" t="inlineStr">
        <is>
          <t>华啸</t>
        </is>
      </c>
      <c r="F133" s="3" t="n">
        <v>40874</v>
      </c>
      <c r="G133" s="3" t="n">
        <v>287</v>
      </c>
      <c r="H133" s="3" t="n">
        <v>6902600</v>
      </c>
      <c r="I133" s="3" t="n">
        <v>6073</v>
      </c>
      <c r="J133" s="4" t="n">
        <v>0.07000000000000001</v>
      </c>
      <c r="K133" s="3" t="n">
        <v>1.068</v>
      </c>
      <c r="L133" s="3" t="n">
        <v>32036</v>
      </c>
      <c r="M133" s="3" t="n">
        <v>24310</v>
      </c>
      <c r="N133" s="3" t="n">
        <v>9</v>
      </c>
      <c r="O133" s="5">
        <f>IF(L133&gt;0,L133-I133,"")</f>
        <v/>
      </c>
      <c r="P133" s="6">
        <f>IF(AND(M133&gt;0,L133&gt;0),M133/L133*100,"")</f>
        <v/>
      </c>
      <c r="Q133" s="7">
        <f>IF(AND(G133&gt;0,F133&gt;0),G133/F133*100,"")</f>
        <v/>
      </c>
      <c r="R133" s="5">
        <f>IF(AND(H133&gt;0,G133&gt;0),H133/G133,"")</f>
        <v/>
      </c>
      <c r="S133" s="8">
        <f>IF(AND(L133&gt;0,G133&gt;0),L133/G133,"")</f>
        <v/>
      </c>
      <c r="T133" s="8">
        <f>IF(AND(M133&gt;0,G133&gt;0),M133/G133,"")</f>
        <v/>
      </c>
      <c r="U133" s="5">
        <f>IF(AND(M133&gt;0,N133&gt;0),M133/N133,"")</f>
        <v/>
      </c>
      <c r="V133" s="6">
        <f>IF(AND(I133&gt;=0,L133&gt;0),I133/L133*100,"")</f>
        <v/>
      </c>
      <c r="W133" s="9">
        <f>IF(AND(L133&gt;0,H133&gt;0,J133&gt;0),(L133-I133)/(H133*J133),"")</f>
        <v/>
      </c>
      <c r="X133" s="5">
        <f>IF(AND(M133&gt;0,N133&gt;0),M133/N133*0.7,"")</f>
        <v/>
      </c>
    </row>
    <row r="134">
      <c r="A134" s="2" t="inlineStr">
        <is>
          <t>2026-03</t>
        </is>
      </c>
      <c r="B134" s="2" t="inlineStr">
        <is>
          <t>金条</t>
        </is>
      </c>
      <c r="C134" s="2" t="inlineStr">
        <is>
          <t>复贷</t>
        </is>
      </c>
      <c r="D134" s="2" t="inlineStr">
        <is>
          <t>人工</t>
        </is>
      </c>
      <c r="E134" s="2" t="inlineStr">
        <is>
          <t>华啸</t>
        </is>
      </c>
      <c r="F134" s="3" t="n">
        <v>134139</v>
      </c>
      <c r="G134" s="3" t="n">
        <v>6236</v>
      </c>
      <c r="H134" s="3" t="n">
        <v>216276000</v>
      </c>
      <c r="I134" s="3" t="n">
        <v>23898</v>
      </c>
      <c r="J134" s="4" t="n">
        <v>0.36</v>
      </c>
      <c r="K134" s="3" t="n">
        <v>1.068</v>
      </c>
      <c r="L134" s="3" t="n">
        <v>251474</v>
      </c>
      <c r="M134" s="3" t="n">
        <v>213086</v>
      </c>
      <c r="N134" s="3" t="n">
        <v>28</v>
      </c>
      <c r="O134" s="5">
        <f>IF(L134&gt;0,L134-I134,"")</f>
        <v/>
      </c>
      <c r="P134" s="6">
        <f>IF(AND(M134&gt;0,L134&gt;0),M134/L134*100,"")</f>
        <v/>
      </c>
      <c r="Q134" s="7">
        <f>IF(AND(G134&gt;0,F134&gt;0),G134/F134*100,"")</f>
        <v/>
      </c>
      <c r="R134" s="5">
        <f>IF(AND(H134&gt;0,G134&gt;0),H134/G134,"")</f>
        <v/>
      </c>
      <c r="S134" s="8">
        <f>IF(AND(L134&gt;0,G134&gt;0),L134/G134,"")</f>
        <v/>
      </c>
      <c r="T134" s="8">
        <f>IF(AND(M134&gt;0,G134&gt;0),M134/G134,"")</f>
        <v/>
      </c>
      <c r="U134" s="5">
        <f>IF(AND(M134&gt;0,N134&gt;0),M134/N134,"")</f>
        <v/>
      </c>
      <c r="V134" s="6">
        <f>IF(AND(I134&gt;=0,L134&gt;0),I134/L134*100,"")</f>
        <v/>
      </c>
      <c r="W134" s="9">
        <f>IF(AND(L134&gt;0,H134&gt;0,J134&gt;0),(L134-I134)/(H134*J134),"")</f>
        <v/>
      </c>
      <c r="X134" s="5">
        <f>IF(AND(M134&gt;0,N134&gt;0),M134/N134*0.7,"")</f>
        <v/>
      </c>
    </row>
    <row r="135">
      <c r="A135" s="2" t="inlineStr">
        <is>
          <t>2026-03</t>
        </is>
      </c>
      <c r="B135" s="2" t="inlineStr">
        <is>
          <t>金条</t>
        </is>
      </c>
      <c r="C135" s="2" t="inlineStr">
        <is>
          <t>首贷</t>
        </is>
      </c>
      <c r="D135" s="2" t="inlineStr">
        <is>
          <t>人工</t>
        </is>
      </c>
      <c r="E135" s="2" t="inlineStr">
        <is>
          <t>汇讯</t>
        </is>
      </c>
      <c r="F135" s="3" t="n">
        <v>277939</v>
      </c>
      <c r="G135" s="3" t="n">
        <v>2632</v>
      </c>
      <c r="H135" s="3" t="n">
        <v>123969400</v>
      </c>
      <c r="I135" s="3" t="n">
        <v>38568</v>
      </c>
      <c r="J135" s="4" t="n">
        <v>0.07000000000000001</v>
      </c>
      <c r="K135" s="3" t="n">
        <v>1.068</v>
      </c>
      <c r="L135" s="3" t="n">
        <v>589553</v>
      </c>
      <c r="M135" s="3" t="n">
        <v>515903</v>
      </c>
      <c r="N135" s="3" t="n">
        <v>45</v>
      </c>
      <c r="O135" s="5">
        <f>IF(L135&gt;0,L135-I135,"")</f>
        <v/>
      </c>
      <c r="P135" s="6">
        <f>IF(AND(M135&gt;0,L135&gt;0),M135/L135*100,"")</f>
        <v/>
      </c>
      <c r="Q135" s="7">
        <f>IF(AND(G135&gt;0,F135&gt;0),G135/F135*100,"")</f>
        <v/>
      </c>
      <c r="R135" s="5">
        <f>IF(AND(H135&gt;0,G135&gt;0),H135/G135,"")</f>
        <v/>
      </c>
      <c r="S135" s="8">
        <f>IF(AND(L135&gt;0,G135&gt;0),L135/G135,"")</f>
        <v/>
      </c>
      <c r="T135" s="8">
        <f>IF(AND(M135&gt;0,G135&gt;0),M135/G135,"")</f>
        <v/>
      </c>
      <c r="U135" s="5">
        <f>IF(AND(M135&gt;0,N135&gt;0),M135/N135,"")</f>
        <v/>
      </c>
      <c r="V135" s="6">
        <f>IF(AND(I135&gt;=0,L135&gt;0),I135/L135*100,"")</f>
        <v/>
      </c>
      <c r="W135" s="9">
        <f>IF(AND(L135&gt;0,H135&gt;0,J135&gt;0),(L135-I135)/(H135*J135),"")</f>
        <v/>
      </c>
      <c r="X135" s="5">
        <f>IF(AND(M135&gt;0,N135&gt;0),M135/N135*0.7,"")</f>
        <v/>
      </c>
    </row>
    <row r="136">
      <c r="A136" s="2" t="inlineStr">
        <is>
          <t>2026-03</t>
        </is>
      </c>
      <c r="B136" s="2" t="inlineStr">
        <is>
          <t>金条</t>
        </is>
      </c>
      <c r="C136" s="2" t="inlineStr">
        <is>
          <t>复贷</t>
        </is>
      </c>
      <c r="D136" s="2" t="inlineStr">
        <is>
          <t>人工</t>
        </is>
      </c>
      <c r="E136" s="2" t="inlineStr">
        <is>
          <t>汇讯</t>
        </is>
      </c>
      <c r="F136" s="3" t="n">
        <v>139186</v>
      </c>
      <c r="G136" s="3" t="n">
        <v>6731</v>
      </c>
      <c r="H136" s="3" t="n">
        <v>260466100</v>
      </c>
      <c r="I136" s="3" t="n">
        <v>23076</v>
      </c>
      <c r="J136" s="4" t="n">
        <v>0.36</v>
      </c>
      <c r="K136" s="3" t="n">
        <v>1.068</v>
      </c>
      <c r="L136" s="3" t="n">
        <v>303221</v>
      </c>
      <c r="M136" s="3" t="n">
        <v>262308</v>
      </c>
      <c r="N136" s="3" t="n">
        <v>30</v>
      </c>
      <c r="O136" s="5">
        <f>IF(L136&gt;0,L136-I136,"")</f>
        <v/>
      </c>
      <c r="P136" s="6">
        <f>IF(AND(M136&gt;0,L136&gt;0),M136/L136*100,"")</f>
        <v/>
      </c>
      <c r="Q136" s="7">
        <f>IF(AND(G136&gt;0,F136&gt;0),G136/F136*100,"")</f>
        <v/>
      </c>
      <c r="R136" s="5">
        <f>IF(AND(H136&gt;0,G136&gt;0),H136/G136,"")</f>
        <v/>
      </c>
      <c r="S136" s="8">
        <f>IF(AND(L136&gt;0,G136&gt;0),L136/G136,"")</f>
        <v/>
      </c>
      <c r="T136" s="8">
        <f>IF(AND(M136&gt;0,G136&gt;0),M136/G136,"")</f>
        <v/>
      </c>
      <c r="U136" s="5">
        <f>IF(AND(M136&gt;0,N136&gt;0),M136/N136,"")</f>
        <v/>
      </c>
      <c r="V136" s="6">
        <f>IF(AND(I136&gt;=0,L136&gt;0),I136/L136*100,"")</f>
        <v/>
      </c>
      <c r="W136" s="9">
        <f>IF(AND(L136&gt;0,H136&gt;0,J136&gt;0),(L136-I136)/(H136*J136),"")</f>
        <v/>
      </c>
      <c r="X136" s="5">
        <f>IF(AND(M136&gt;0,N136&gt;0),M136/N136*0.7,"")</f>
        <v/>
      </c>
    </row>
    <row r="137">
      <c r="A137" s="2" t="inlineStr">
        <is>
          <t>2026-03</t>
        </is>
      </c>
      <c r="B137" s="2" t="inlineStr">
        <is>
          <t>金条</t>
        </is>
      </c>
      <c r="C137" s="2" t="inlineStr">
        <is>
          <t>首贷</t>
        </is>
      </c>
      <c r="D137" s="2" t="inlineStr">
        <is>
          <t>人工</t>
        </is>
      </c>
      <c r="E137" s="2" t="inlineStr">
        <is>
          <t>毛毛虫</t>
        </is>
      </c>
      <c r="F137" s="3" t="n">
        <v>709820</v>
      </c>
      <c r="G137" s="3" t="n">
        <v>7646</v>
      </c>
      <c r="H137" s="3" t="n">
        <v>356021700</v>
      </c>
      <c r="I137" s="3" t="n">
        <v>96165</v>
      </c>
      <c r="J137" s="4" t="n">
        <v>0.07000000000000001</v>
      </c>
      <c r="K137" s="3" t="n">
        <v>1.068</v>
      </c>
      <c r="L137" s="3" t="n">
        <v>1679563</v>
      </c>
      <c r="M137" s="3" t="n">
        <v>1482582</v>
      </c>
      <c r="N137" s="3" t="n">
        <v>154</v>
      </c>
      <c r="O137" s="5">
        <f>IF(L137&gt;0,L137-I137,"")</f>
        <v/>
      </c>
      <c r="P137" s="6">
        <f>IF(AND(M137&gt;0,L137&gt;0),M137/L137*100,"")</f>
        <v/>
      </c>
      <c r="Q137" s="7">
        <f>IF(AND(G137&gt;0,F137&gt;0),G137/F137*100,"")</f>
        <v/>
      </c>
      <c r="R137" s="5">
        <f>IF(AND(H137&gt;0,G137&gt;0),H137/G137,"")</f>
        <v/>
      </c>
      <c r="S137" s="8">
        <f>IF(AND(L137&gt;0,G137&gt;0),L137/G137,"")</f>
        <v/>
      </c>
      <c r="T137" s="8">
        <f>IF(AND(M137&gt;0,G137&gt;0),M137/G137,"")</f>
        <v/>
      </c>
      <c r="U137" s="5">
        <f>IF(AND(M137&gt;0,N137&gt;0),M137/N137,"")</f>
        <v/>
      </c>
      <c r="V137" s="6">
        <f>IF(AND(I137&gt;=0,L137&gt;0),I137/L137*100,"")</f>
        <v/>
      </c>
      <c r="W137" s="9">
        <f>IF(AND(L137&gt;0,H137&gt;0,J137&gt;0),(L137-I137)/(H137*J137),"")</f>
        <v/>
      </c>
      <c r="X137" s="5">
        <f>IF(AND(M137&gt;0,N137&gt;0),M137/N137*0.7,"")</f>
        <v/>
      </c>
    </row>
    <row r="138">
      <c r="A138" s="2" t="inlineStr">
        <is>
          <t>2026-03</t>
        </is>
      </c>
      <c r="B138" s="2" t="inlineStr">
        <is>
          <t>金条</t>
        </is>
      </c>
      <c r="C138" s="2" t="inlineStr">
        <is>
          <t>复贷</t>
        </is>
      </c>
      <c r="D138" s="2" t="inlineStr">
        <is>
          <t>人工</t>
        </is>
      </c>
      <c r="E138" s="2" t="inlineStr">
        <is>
          <t>毛毛虫</t>
        </is>
      </c>
      <c r="F138" s="3" t="n">
        <v>281503</v>
      </c>
      <c r="G138" s="3" t="n">
        <v>12120</v>
      </c>
      <c r="H138" s="3" t="n">
        <v>462092200</v>
      </c>
      <c r="I138" s="3" t="n">
        <v>43861</v>
      </c>
      <c r="J138" s="4" t="n">
        <v>0.36</v>
      </c>
      <c r="K138" s="3" t="n">
        <v>1.068</v>
      </c>
      <c r="L138" s="3" t="n">
        <v>544139</v>
      </c>
      <c r="M138" s="3" t="n">
        <v>468425</v>
      </c>
      <c r="N138" s="3" t="n">
        <v>60</v>
      </c>
      <c r="O138" s="5">
        <f>IF(L138&gt;0,L138-I138,"")</f>
        <v/>
      </c>
      <c r="P138" s="6">
        <f>IF(AND(M138&gt;0,L138&gt;0),M138/L138*100,"")</f>
        <v/>
      </c>
      <c r="Q138" s="7">
        <f>IF(AND(G138&gt;0,F138&gt;0),G138/F138*100,"")</f>
        <v/>
      </c>
      <c r="R138" s="5">
        <f>IF(AND(H138&gt;0,G138&gt;0),H138/G138,"")</f>
        <v/>
      </c>
      <c r="S138" s="8">
        <f>IF(AND(L138&gt;0,G138&gt;0),L138/G138,"")</f>
        <v/>
      </c>
      <c r="T138" s="8">
        <f>IF(AND(M138&gt;0,G138&gt;0),M138/G138,"")</f>
        <v/>
      </c>
      <c r="U138" s="5">
        <f>IF(AND(M138&gt;0,N138&gt;0),M138/N138,"")</f>
        <v/>
      </c>
      <c r="V138" s="6">
        <f>IF(AND(I138&gt;=0,L138&gt;0),I138/L138*100,"")</f>
        <v/>
      </c>
      <c r="W138" s="9">
        <f>IF(AND(L138&gt;0,H138&gt;0,J138&gt;0),(L138-I138)/(H138*J138),"")</f>
        <v/>
      </c>
      <c r="X138" s="5">
        <f>IF(AND(M138&gt;0,N138&gt;0),M138/N138*0.7,"")</f>
        <v/>
      </c>
    </row>
    <row r="139">
      <c r="A139" s="2" t="inlineStr">
        <is>
          <t>2026-03</t>
        </is>
      </c>
      <c r="B139" s="2" t="inlineStr">
        <is>
          <t>金条</t>
        </is>
      </c>
      <c r="C139" s="2" t="inlineStr">
        <is>
          <t>首贷</t>
        </is>
      </c>
      <c r="D139" s="2" t="inlineStr">
        <is>
          <t>人工</t>
        </is>
      </c>
      <c r="E139" s="2" t="inlineStr">
        <is>
          <t>岐力</t>
        </is>
      </c>
      <c r="F139" s="3" t="n">
        <v>45371</v>
      </c>
      <c r="G139" s="3" t="n">
        <v>360</v>
      </c>
      <c r="H139" s="3" t="n">
        <v>12486400</v>
      </c>
      <c r="I139" s="3" t="n">
        <v>6378</v>
      </c>
      <c r="J139" s="4" t="n">
        <v>0.07000000000000001</v>
      </c>
      <c r="K139" s="3" t="n">
        <v>1.068</v>
      </c>
      <c r="L139" s="3" t="n">
        <v>58278</v>
      </c>
      <c r="M139" s="3" t="n">
        <v>48596</v>
      </c>
      <c r="N139" s="3" t="n">
        <v>10</v>
      </c>
      <c r="O139" s="5">
        <f>IF(L139&gt;0,L139-I139,"")</f>
        <v/>
      </c>
      <c r="P139" s="6">
        <f>IF(AND(M139&gt;0,L139&gt;0),M139/L139*100,"")</f>
        <v/>
      </c>
      <c r="Q139" s="7">
        <f>IF(AND(G139&gt;0,F139&gt;0),G139/F139*100,"")</f>
        <v/>
      </c>
      <c r="R139" s="5">
        <f>IF(AND(H139&gt;0,G139&gt;0),H139/G139,"")</f>
        <v/>
      </c>
      <c r="S139" s="8">
        <f>IF(AND(L139&gt;0,G139&gt;0),L139/G139,"")</f>
        <v/>
      </c>
      <c r="T139" s="8">
        <f>IF(AND(M139&gt;0,G139&gt;0),M139/G139,"")</f>
        <v/>
      </c>
      <c r="U139" s="5">
        <f>IF(AND(M139&gt;0,N139&gt;0),M139/N139,"")</f>
        <v/>
      </c>
      <c r="V139" s="6">
        <f>IF(AND(I139&gt;=0,L139&gt;0),I139/L139*100,"")</f>
        <v/>
      </c>
      <c r="W139" s="9">
        <f>IF(AND(L139&gt;0,H139&gt;0,J139&gt;0),(L139-I139)/(H139*J139),"")</f>
        <v/>
      </c>
      <c r="X139" s="5">
        <f>IF(AND(M139&gt;0,N139&gt;0),M139/N139*0.7,"")</f>
        <v/>
      </c>
    </row>
    <row r="140">
      <c r="A140" s="2" t="inlineStr">
        <is>
          <t>2026-03</t>
        </is>
      </c>
      <c r="B140" s="2" t="inlineStr">
        <is>
          <t>金条</t>
        </is>
      </c>
      <c r="C140" s="2" t="inlineStr">
        <is>
          <t>复贷</t>
        </is>
      </c>
      <c r="D140" s="2" t="inlineStr">
        <is>
          <t>人工</t>
        </is>
      </c>
      <c r="E140" s="2" t="inlineStr">
        <is>
          <t>岐力</t>
        </is>
      </c>
      <c r="F140" s="3" t="n">
        <v>362402</v>
      </c>
      <c r="G140" s="3" t="n">
        <v>14202</v>
      </c>
      <c r="H140" s="3" t="n">
        <v>578667500</v>
      </c>
      <c r="I140" s="3" t="n">
        <v>48944</v>
      </c>
      <c r="J140" s="4" t="n">
        <v>0.36</v>
      </c>
      <c r="K140" s="3" t="n">
        <v>1.068</v>
      </c>
      <c r="L140" s="3" t="n">
        <v>679852</v>
      </c>
      <c r="M140" s="3" t="n">
        <v>590738</v>
      </c>
      <c r="N140" s="3" t="n">
        <v>77</v>
      </c>
      <c r="O140" s="5">
        <f>IF(L140&gt;0,L140-I140,"")</f>
        <v/>
      </c>
      <c r="P140" s="6">
        <f>IF(AND(M140&gt;0,L140&gt;0),M140/L140*100,"")</f>
        <v/>
      </c>
      <c r="Q140" s="7">
        <f>IF(AND(G140&gt;0,F140&gt;0),G140/F140*100,"")</f>
        <v/>
      </c>
      <c r="R140" s="5">
        <f>IF(AND(H140&gt;0,G140&gt;0),H140/G140,"")</f>
        <v/>
      </c>
      <c r="S140" s="8">
        <f>IF(AND(L140&gt;0,G140&gt;0),L140/G140,"")</f>
        <v/>
      </c>
      <c r="T140" s="8">
        <f>IF(AND(M140&gt;0,G140&gt;0),M140/G140,"")</f>
        <v/>
      </c>
      <c r="U140" s="5">
        <f>IF(AND(M140&gt;0,N140&gt;0),M140/N140,"")</f>
        <v/>
      </c>
      <c r="V140" s="6">
        <f>IF(AND(I140&gt;=0,L140&gt;0),I140/L140*100,"")</f>
        <v/>
      </c>
      <c r="W140" s="9">
        <f>IF(AND(L140&gt;0,H140&gt;0,J140&gt;0),(L140-I140)/(H140*J140),"")</f>
        <v/>
      </c>
      <c r="X140" s="5">
        <f>IF(AND(M140&gt;0,N140&gt;0),M140/N140*0.7,"")</f>
        <v/>
      </c>
    </row>
    <row r="141">
      <c r="A141" s="2" t="inlineStr">
        <is>
          <t>2026-03</t>
        </is>
      </c>
      <c r="B141" s="2" t="inlineStr">
        <is>
          <t>金条</t>
        </is>
      </c>
      <c r="C141" s="2" t="inlineStr">
        <is>
          <t>首贷</t>
        </is>
      </c>
      <c r="D141" s="2" t="inlineStr">
        <is>
          <t>人工</t>
        </is>
      </c>
      <c r="E141" s="2" t="inlineStr">
        <is>
          <t>人和</t>
        </is>
      </c>
      <c r="F141" s="3" t="n">
        <v>59073</v>
      </c>
      <c r="G141" s="3" t="n">
        <v>576</v>
      </c>
      <c r="H141" s="3" t="n">
        <v>25680300</v>
      </c>
      <c r="I141" s="3" t="n">
        <v>10089</v>
      </c>
      <c r="J141" s="4" t="n">
        <v>0.07000000000000001</v>
      </c>
      <c r="K141" s="3" t="n">
        <v>1.068</v>
      </c>
      <c r="L141" s="3" t="n">
        <v>117630</v>
      </c>
      <c r="M141" s="3" t="n">
        <v>100694</v>
      </c>
      <c r="N141" s="3" t="n">
        <v>13</v>
      </c>
      <c r="O141" s="5">
        <f>IF(L141&gt;0,L141-I141,"")</f>
        <v/>
      </c>
      <c r="P141" s="6">
        <f>IF(AND(M141&gt;0,L141&gt;0),M141/L141*100,"")</f>
        <v/>
      </c>
      <c r="Q141" s="7">
        <f>IF(AND(G141&gt;0,F141&gt;0),G141/F141*100,"")</f>
        <v/>
      </c>
      <c r="R141" s="5">
        <f>IF(AND(H141&gt;0,G141&gt;0),H141/G141,"")</f>
        <v/>
      </c>
      <c r="S141" s="8">
        <f>IF(AND(L141&gt;0,G141&gt;0),L141/G141,"")</f>
        <v/>
      </c>
      <c r="T141" s="8">
        <f>IF(AND(M141&gt;0,G141&gt;0),M141/G141,"")</f>
        <v/>
      </c>
      <c r="U141" s="5">
        <f>IF(AND(M141&gt;0,N141&gt;0),M141/N141,"")</f>
        <v/>
      </c>
      <c r="V141" s="6">
        <f>IF(AND(I141&gt;=0,L141&gt;0),I141/L141*100,"")</f>
        <v/>
      </c>
      <c r="W141" s="9">
        <f>IF(AND(L141&gt;0,H141&gt;0,J141&gt;0),(L141-I141)/(H141*J141),"")</f>
        <v/>
      </c>
      <c r="X141" s="5">
        <f>IF(AND(M141&gt;0,N141&gt;0),M141/N141*0.7,"")</f>
        <v/>
      </c>
    </row>
    <row r="142">
      <c r="A142" s="2" t="inlineStr">
        <is>
          <t>2026-03</t>
        </is>
      </c>
      <c r="B142" s="2" t="inlineStr">
        <is>
          <t>金条</t>
        </is>
      </c>
      <c r="C142" s="2" t="inlineStr">
        <is>
          <t>复贷</t>
        </is>
      </c>
      <c r="D142" s="2" t="inlineStr">
        <is>
          <t>人工</t>
        </is>
      </c>
      <c r="E142" s="2" t="inlineStr">
        <is>
          <t>人和</t>
        </is>
      </c>
      <c r="F142" s="3" t="n">
        <v>118336</v>
      </c>
      <c r="G142" s="3" t="n">
        <v>5025</v>
      </c>
      <c r="H142" s="3" t="n">
        <v>205418900</v>
      </c>
      <c r="I142" s="3" t="n">
        <v>18521</v>
      </c>
      <c r="J142" s="4" t="n">
        <v>0.36</v>
      </c>
      <c r="K142" s="3" t="n">
        <v>1.068</v>
      </c>
      <c r="L142" s="3" t="n">
        <v>238702</v>
      </c>
      <c r="M142" s="3" t="n">
        <v>206162</v>
      </c>
      <c r="N142" s="3" t="n">
        <v>25</v>
      </c>
      <c r="O142" s="5">
        <f>IF(L142&gt;0,L142-I142,"")</f>
        <v/>
      </c>
      <c r="P142" s="6">
        <f>IF(AND(M142&gt;0,L142&gt;0),M142/L142*100,"")</f>
        <v/>
      </c>
      <c r="Q142" s="7">
        <f>IF(AND(G142&gt;0,F142&gt;0),G142/F142*100,"")</f>
        <v/>
      </c>
      <c r="R142" s="5">
        <f>IF(AND(H142&gt;0,G142&gt;0),H142/G142,"")</f>
        <v/>
      </c>
      <c r="S142" s="8">
        <f>IF(AND(L142&gt;0,G142&gt;0),L142/G142,"")</f>
        <v/>
      </c>
      <c r="T142" s="8">
        <f>IF(AND(M142&gt;0,G142&gt;0),M142/G142,"")</f>
        <v/>
      </c>
      <c r="U142" s="5">
        <f>IF(AND(M142&gt;0,N142&gt;0),M142/N142,"")</f>
        <v/>
      </c>
      <c r="V142" s="6">
        <f>IF(AND(I142&gt;=0,L142&gt;0),I142/L142*100,"")</f>
        <v/>
      </c>
      <c r="W142" s="9">
        <f>IF(AND(L142&gt;0,H142&gt;0,J142&gt;0),(L142-I142)/(H142*J142),"")</f>
        <v/>
      </c>
      <c r="X142" s="5">
        <f>IF(AND(M142&gt;0,N142&gt;0),M142/N142*0.7,"")</f>
        <v/>
      </c>
    </row>
    <row r="143">
      <c r="A143" s="2" t="inlineStr">
        <is>
          <t>2026-03</t>
        </is>
      </c>
      <c r="B143" s="2" t="inlineStr">
        <is>
          <t>金条</t>
        </is>
      </c>
      <c r="C143" s="2" t="inlineStr">
        <is>
          <t>首贷</t>
        </is>
      </c>
      <c r="D143" s="2" t="inlineStr">
        <is>
          <t>人工</t>
        </is>
      </c>
      <c r="E143" s="2" t="inlineStr">
        <is>
          <t>赛维斯</t>
        </is>
      </c>
      <c r="F143" s="3" t="n">
        <v>251493</v>
      </c>
      <c r="G143" s="3" t="n">
        <v>2416</v>
      </c>
      <c r="H143" s="3" t="n">
        <v>103550500</v>
      </c>
      <c r="I143" s="3" t="n">
        <v>33325</v>
      </c>
      <c r="J143" s="4" t="n">
        <v>0.07000000000000001</v>
      </c>
      <c r="K143" s="3" t="n">
        <v>1.068</v>
      </c>
      <c r="L143" s="3" t="n">
        <v>494771</v>
      </c>
      <c r="M143" s="3" t="n">
        <v>432065</v>
      </c>
      <c r="N143" s="3" t="n">
        <v>56</v>
      </c>
      <c r="O143" s="5">
        <f>IF(L143&gt;0,L143-I143,"")</f>
        <v/>
      </c>
      <c r="P143" s="6">
        <f>IF(AND(M143&gt;0,L143&gt;0),M143/L143*100,"")</f>
        <v/>
      </c>
      <c r="Q143" s="7">
        <f>IF(AND(G143&gt;0,F143&gt;0),G143/F143*100,"")</f>
        <v/>
      </c>
      <c r="R143" s="5">
        <f>IF(AND(H143&gt;0,G143&gt;0),H143/G143,"")</f>
        <v/>
      </c>
      <c r="S143" s="8">
        <f>IF(AND(L143&gt;0,G143&gt;0),L143/G143,"")</f>
        <v/>
      </c>
      <c r="T143" s="8">
        <f>IF(AND(M143&gt;0,G143&gt;0),M143/G143,"")</f>
        <v/>
      </c>
      <c r="U143" s="5">
        <f>IF(AND(M143&gt;0,N143&gt;0),M143/N143,"")</f>
        <v/>
      </c>
      <c r="V143" s="6">
        <f>IF(AND(I143&gt;=0,L143&gt;0),I143/L143*100,"")</f>
        <v/>
      </c>
      <c r="W143" s="9">
        <f>IF(AND(L143&gt;0,H143&gt;0,J143&gt;0),(L143-I143)/(H143*J143),"")</f>
        <v/>
      </c>
      <c r="X143" s="5">
        <f>IF(AND(M143&gt;0,N143&gt;0),M143/N143*0.7,"")</f>
        <v/>
      </c>
    </row>
    <row r="144">
      <c r="A144" s="2" t="inlineStr">
        <is>
          <t>2026-03</t>
        </is>
      </c>
      <c r="B144" s="2" t="inlineStr">
        <is>
          <t>金条</t>
        </is>
      </c>
      <c r="C144" s="2" t="inlineStr">
        <is>
          <t>复贷</t>
        </is>
      </c>
      <c r="D144" s="2" t="inlineStr">
        <is>
          <t>人工</t>
        </is>
      </c>
      <c r="E144" s="2" t="inlineStr">
        <is>
          <t>赛维斯</t>
        </is>
      </c>
      <c r="F144" s="3" t="n">
        <v>346495</v>
      </c>
      <c r="G144" s="3" t="n">
        <v>15529</v>
      </c>
      <c r="H144" s="3" t="n">
        <v>583818700</v>
      </c>
      <c r="I144" s="3" t="n">
        <v>53962</v>
      </c>
      <c r="J144" s="4" t="n">
        <v>0.36</v>
      </c>
      <c r="K144" s="3" t="n">
        <v>1.068</v>
      </c>
      <c r="L144" s="3" t="n">
        <v>694532</v>
      </c>
      <c r="M144" s="3" t="n">
        <v>599785</v>
      </c>
      <c r="N144" s="3" t="n">
        <v>74</v>
      </c>
      <c r="O144" s="5">
        <f>IF(L144&gt;0,L144-I144,"")</f>
        <v/>
      </c>
      <c r="P144" s="6">
        <f>IF(AND(M144&gt;0,L144&gt;0),M144/L144*100,"")</f>
        <v/>
      </c>
      <c r="Q144" s="7">
        <f>IF(AND(G144&gt;0,F144&gt;0),G144/F144*100,"")</f>
        <v/>
      </c>
      <c r="R144" s="5">
        <f>IF(AND(H144&gt;0,G144&gt;0),H144/G144,"")</f>
        <v/>
      </c>
      <c r="S144" s="8">
        <f>IF(AND(L144&gt;0,G144&gt;0),L144/G144,"")</f>
        <v/>
      </c>
      <c r="T144" s="8">
        <f>IF(AND(M144&gt;0,G144&gt;0),M144/G144,"")</f>
        <v/>
      </c>
      <c r="U144" s="5">
        <f>IF(AND(M144&gt;0,N144&gt;0),M144/N144,"")</f>
        <v/>
      </c>
      <c r="V144" s="6">
        <f>IF(AND(I144&gt;=0,L144&gt;0),I144/L144*100,"")</f>
        <v/>
      </c>
      <c r="W144" s="9">
        <f>IF(AND(L144&gt;0,H144&gt;0,J144&gt;0),(L144-I144)/(H144*J144),"")</f>
        <v/>
      </c>
      <c r="X144" s="5">
        <f>IF(AND(M144&gt;0,N144&gt;0),M144/N144*0.7,"")</f>
        <v/>
      </c>
    </row>
    <row r="145">
      <c r="A145" s="2" t="inlineStr">
        <is>
          <t>2026-03</t>
        </is>
      </c>
      <c r="B145" s="2" t="inlineStr">
        <is>
          <t>金条</t>
        </is>
      </c>
      <c r="C145" s="2" t="inlineStr">
        <is>
          <t>首贷</t>
        </is>
      </c>
      <c r="D145" s="2" t="inlineStr">
        <is>
          <t>人工</t>
        </is>
      </c>
      <c r="E145" s="2" t="inlineStr">
        <is>
          <t>宿迁兆科</t>
        </is>
      </c>
      <c r="F145" s="3" t="n">
        <v>47913</v>
      </c>
      <c r="G145" s="3" t="n">
        <v>616</v>
      </c>
      <c r="H145" s="3" t="n">
        <v>14365400</v>
      </c>
      <c r="I145" s="3" t="n">
        <v>7480</v>
      </c>
      <c r="J145" s="4" t="n">
        <v>0.07000000000000001</v>
      </c>
      <c r="K145" s="3" t="n">
        <v>1.068</v>
      </c>
      <c r="L145" s="3" t="n">
        <v>70082</v>
      </c>
      <c r="M145" s="3" t="n">
        <v>58617</v>
      </c>
      <c r="N145" s="3" t="n">
        <v>10</v>
      </c>
      <c r="O145" s="5">
        <f>IF(L145&gt;0,L145-I145,"")</f>
        <v/>
      </c>
      <c r="P145" s="6">
        <f>IF(AND(M145&gt;0,L145&gt;0),M145/L145*100,"")</f>
        <v/>
      </c>
      <c r="Q145" s="7">
        <f>IF(AND(G145&gt;0,F145&gt;0),G145/F145*100,"")</f>
        <v/>
      </c>
      <c r="R145" s="5">
        <f>IF(AND(H145&gt;0,G145&gt;0),H145/G145,"")</f>
        <v/>
      </c>
      <c r="S145" s="8">
        <f>IF(AND(L145&gt;0,G145&gt;0),L145/G145,"")</f>
        <v/>
      </c>
      <c r="T145" s="8">
        <f>IF(AND(M145&gt;0,G145&gt;0),M145/G145,"")</f>
        <v/>
      </c>
      <c r="U145" s="5">
        <f>IF(AND(M145&gt;0,N145&gt;0),M145/N145,"")</f>
        <v/>
      </c>
      <c r="V145" s="6">
        <f>IF(AND(I145&gt;=0,L145&gt;0),I145/L145*100,"")</f>
        <v/>
      </c>
      <c r="W145" s="9">
        <f>IF(AND(L145&gt;0,H145&gt;0,J145&gt;0),(L145-I145)/(H145*J145),"")</f>
        <v/>
      </c>
      <c r="X145" s="5">
        <f>IF(AND(M145&gt;0,N145&gt;0),M145/N145*0.7,"")</f>
        <v/>
      </c>
    </row>
    <row r="146">
      <c r="A146" s="2" t="inlineStr">
        <is>
          <t>2026-03</t>
        </is>
      </c>
      <c r="B146" s="2" t="inlineStr">
        <is>
          <t>金条</t>
        </is>
      </c>
      <c r="C146" s="2" t="inlineStr">
        <is>
          <t>复贷</t>
        </is>
      </c>
      <c r="D146" s="2" t="inlineStr">
        <is>
          <t>人工</t>
        </is>
      </c>
      <c r="E146" s="2" t="inlineStr">
        <is>
          <t>宿迁兆科</t>
        </is>
      </c>
      <c r="F146" s="3" t="n">
        <v>69519</v>
      </c>
      <c r="G146" s="3" t="n">
        <v>2957</v>
      </c>
      <c r="H146" s="3" t="n">
        <v>146568300</v>
      </c>
      <c r="I146" s="3" t="n">
        <v>10932</v>
      </c>
      <c r="J146" s="4" t="n">
        <v>0.36</v>
      </c>
      <c r="K146" s="3" t="n">
        <v>1.068</v>
      </c>
      <c r="L146" s="3" t="n">
        <v>169606</v>
      </c>
      <c r="M146" s="3" t="n">
        <v>148572</v>
      </c>
      <c r="N146" s="3" t="n">
        <v>14</v>
      </c>
      <c r="O146" s="5">
        <f>IF(L146&gt;0,L146-I146,"")</f>
        <v/>
      </c>
      <c r="P146" s="6">
        <f>IF(AND(M146&gt;0,L146&gt;0),M146/L146*100,"")</f>
        <v/>
      </c>
      <c r="Q146" s="7">
        <f>IF(AND(G146&gt;0,F146&gt;0),G146/F146*100,"")</f>
        <v/>
      </c>
      <c r="R146" s="5">
        <f>IF(AND(H146&gt;0,G146&gt;0),H146/G146,"")</f>
        <v/>
      </c>
      <c r="S146" s="8">
        <f>IF(AND(L146&gt;0,G146&gt;0),L146/G146,"")</f>
        <v/>
      </c>
      <c r="T146" s="8">
        <f>IF(AND(M146&gt;0,G146&gt;0),M146/G146,"")</f>
        <v/>
      </c>
      <c r="U146" s="5">
        <f>IF(AND(M146&gt;0,N146&gt;0),M146/N146,"")</f>
        <v/>
      </c>
      <c r="V146" s="6">
        <f>IF(AND(I146&gt;=0,L146&gt;0),I146/L146*100,"")</f>
        <v/>
      </c>
      <c r="W146" s="9">
        <f>IF(AND(L146&gt;0,H146&gt;0,J146&gt;0),(L146-I146)/(H146*J146),"")</f>
        <v/>
      </c>
      <c r="X146" s="5">
        <f>IF(AND(M146&gt;0,N146&gt;0),M146/N146*0.7,"")</f>
        <v/>
      </c>
    </row>
    <row r="147">
      <c r="A147" s="2" t="inlineStr">
        <is>
          <t>2026-03</t>
        </is>
      </c>
      <c r="B147" s="2" t="inlineStr">
        <is>
          <t>金条</t>
        </is>
      </c>
      <c r="C147" s="2" t="inlineStr">
        <is>
          <t>首贷</t>
        </is>
      </c>
      <c r="D147" s="2" t="inlineStr">
        <is>
          <t>人工</t>
        </is>
      </c>
      <c r="E147" s="2" t="inlineStr">
        <is>
          <t>毅航合肥</t>
        </is>
      </c>
      <c r="F147" s="3" t="n">
        <v>932441</v>
      </c>
      <c r="G147" s="3" t="n">
        <v>11138</v>
      </c>
      <c r="H147" s="3" t="n">
        <v>507960100</v>
      </c>
      <c r="I147" s="3" t="n">
        <v>150478</v>
      </c>
      <c r="J147" s="4" t="n">
        <v>0.07000000000000001</v>
      </c>
      <c r="K147" s="3" t="n">
        <v>1.068</v>
      </c>
      <c r="L147" s="3" t="n">
        <v>2375047</v>
      </c>
      <c r="M147" s="3" t="n">
        <v>2082930</v>
      </c>
      <c r="N147" s="3" t="n">
        <v>195</v>
      </c>
      <c r="O147" s="5">
        <f>IF(L147&gt;0,L147-I147,"")</f>
        <v/>
      </c>
      <c r="P147" s="6">
        <f>IF(AND(M147&gt;0,L147&gt;0),M147/L147*100,"")</f>
        <v/>
      </c>
      <c r="Q147" s="7">
        <f>IF(AND(G147&gt;0,F147&gt;0),G147/F147*100,"")</f>
        <v/>
      </c>
      <c r="R147" s="5">
        <f>IF(AND(H147&gt;0,G147&gt;0),H147/G147,"")</f>
        <v/>
      </c>
      <c r="S147" s="8">
        <f>IF(AND(L147&gt;0,G147&gt;0),L147/G147,"")</f>
        <v/>
      </c>
      <c r="T147" s="8">
        <f>IF(AND(M147&gt;0,G147&gt;0),M147/G147,"")</f>
        <v/>
      </c>
      <c r="U147" s="5">
        <f>IF(AND(M147&gt;0,N147&gt;0),M147/N147,"")</f>
        <v/>
      </c>
      <c r="V147" s="6">
        <f>IF(AND(I147&gt;=0,L147&gt;0),I147/L147*100,"")</f>
        <v/>
      </c>
      <c r="W147" s="9">
        <f>IF(AND(L147&gt;0,H147&gt;0,J147&gt;0),(L147-I147)/(H147*J147),"")</f>
        <v/>
      </c>
      <c r="X147" s="5">
        <f>IF(AND(M147&gt;0,N147&gt;0),M147/N147*0.7,"")</f>
        <v/>
      </c>
    </row>
    <row r="148">
      <c r="A148" s="2" t="inlineStr">
        <is>
          <t>2026-03</t>
        </is>
      </c>
      <c r="B148" s="2" t="inlineStr">
        <is>
          <t>金条</t>
        </is>
      </c>
      <c r="C148" s="2" t="inlineStr">
        <is>
          <t>复贷</t>
        </is>
      </c>
      <c r="D148" s="2" t="inlineStr">
        <is>
          <t>人工</t>
        </is>
      </c>
      <c r="E148" s="2" t="inlineStr">
        <is>
          <t>毅航合肥</t>
        </is>
      </c>
      <c r="F148" s="3" t="n">
        <v>697035</v>
      </c>
      <c r="G148" s="3" t="n">
        <v>32640</v>
      </c>
      <c r="H148" s="3" t="n">
        <v>1670536800</v>
      </c>
      <c r="I148" s="3" t="n">
        <v>116471</v>
      </c>
      <c r="J148" s="4" t="n">
        <v>0.36</v>
      </c>
      <c r="K148" s="3" t="n">
        <v>1.068</v>
      </c>
      <c r="L148" s="3" t="n">
        <v>1988757</v>
      </c>
      <c r="M148" s="3" t="n">
        <v>1753077</v>
      </c>
      <c r="N148" s="3" t="n">
        <v>145</v>
      </c>
      <c r="O148" s="5">
        <f>IF(L148&gt;0,L148-I148,"")</f>
        <v/>
      </c>
      <c r="P148" s="6">
        <f>IF(AND(M148&gt;0,L148&gt;0),M148/L148*100,"")</f>
        <v/>
      </c>
      <c r="Q148" s="7">
        <f>IF(AND(G148&gt;0,F148&gt;0),G148/F148*100,"")</f>
        <v/>
      </c>
      <c r="R148" s="5">
        <f>IF(AND(H148&gt;0,G148&gt;0),H148/G148,"")</f>
        <v/>
      </c>
      <c r="S148" s="8">
        <f>IF(AND(L148&gt;0,G148&gt;0),L148/G148,"")</f>
        <v/>
      </c>
      <c r="T148" s="8">
        <f>IF(AND(M148&gt;0,G148&gt;0),M148/G148,"")</f>
        <v/>
      </c>
      <c r="U148" s="5">
        <f>IF(AND(M148&gt;0,N148&gt;0),M148/N148,"")</f>
        <v/>
      </c>
      <c r="V148" s="6">
        <f>IF(AND(I148&gt;=0,L148&gt;0),I148/L148*100,"")</f>
        <v/>
      </c>
      <c r="W148" s="9">
        <f>IF(AND(L148&gt;0,H148&gt;0,J148&gt;0),(L148-I148)/(H148*J148),"")</f>
        <v/>
      </c>
      <c r="X148" s="5">
        <f>IF(AND(M148&gt;0,N148&gt;0),M148/N148*0.7,"")</f>
        <v/>
      </c>
    </row>
    <row r="149">
      <c r="A149" s="2" t="inlineStr">
        <is>
          <t>2026-03</t>
        </is>
      </c>
      <c r="B149" s="2" t="inlineStr">
        <is>
          <t>金条</t>
        </is>
      </c>
      <c r="C149" s="2" t="inlineStr">
        <is>
          <t>首贷</t>
        </is>
      </c>
      <c r="D149" s="2" t="inlineStr">
        <is>
          <t>纯机</t>
        </is>
      </c>
      <c r="E149" s="2" t="inlineStr">
        <is>
          <t>电话邦</t>
        </is>
      </c>
      <c r="F149" s="3" t="n">
        <v>879690</v>
      </c>
      <c r="G149" s="3" t="n">
        <v>730</v>
      </c>
      <c r="H149" s="3" t="n">
        <v>7788700</v>
      </c>
      <c r="I149" s="3" t="n">
        <v>89108</v>
      </c>
      <c r="J149" s="4" t="n">
        <v>0.07000000000000001</v>
      </c>
      <c r="K149" s="3" t="n">
        <v>1.068</v>
      </c>
      <c r="L149" s="3" t="n">
        <v>101835</v>
      </c>
      <c r="M149" s="3" t="n">
        <v>11916</v>
      </c>
      <c r="N149" s="2" t="n"/>
      <c r="O149" s="5">
        <f>IF(L149&gt;0,L149-I149,"")</f>
        <v/>
      </c>
      <c r="P149" s="6">
        <f>IF(AND(M149&gt;0,L149&gt;0),M149/L149*100,"")</f>
        <v/>
      </c>
      <c r="Q149" s="7">
        <f>IF(AND(G149&gt;0,F149&gt;0),G149/F149*100,"")</f>
        <v/>
      </c>
      <c r="R149" s="5">
        <f>IF(AND(H149&gt;0,G149&gt;0),H149/G149,"")</f>
        <v/>
      </c>
      <c r="S149" s="8">
        <f>IF(AND(L149&gt;0,G149&gt;0),L149/G149,"")</f>
        <v/>
      </c>
      <c r="T149" s="8">
        <f>IF(AND(M149&gt;0,G149&gt;0),M149/G149,"")</f>
        <v/>
      </c>
      <c r="U149" s="5">
        <f>IF(AND(M149&gt;0,N149&gt;0),M149/N149,"")</f>
        <v/>
      </c>
      <c r="V149" s="6">
        <f>IF(AND(I149&gt;=0,L149&gt;0),I149/L149*100,"")</f>
        <v/>
      </c>
      <c r="W149" s="9">
        <f>IF(AND(L149&gt;0,H149&gt;0,J149&gt;0),(L149-I149)/(H149*J149),"")</f>
        <v/>
      </c>
      <c r="X149" s="5">
        <f>IF(AND(M149&gt;0,N149&gt;0),M149/N149*0.7,"")</f>
        <v/>
      </c>
    </row>
    <row r="150">
      <c r="A150" s="2" t="inlineStr">
        <is>
          <t>2026-03</t>
        </is>
      </c>
      <c r="B150" s="2" t="inlineStr">
        <is>
          <t>金条</t>
        </is>
      </c>
      <c r="C150" s="2" t="inlineStr">
        <is>
          <t>首贷</t>
        </is>
      </c>
      <c r="D150" s="2" t="inlineStr">
        <is>
          <t>纯机</t>
        </is>
      </c>
      <c r="E150" s="2" t="inlineStr">
        <is>
          <t>九四</t>
        </is>
      </c>
      <c r="F150" s="3" t="n">
        <v>1200021</v>
      </c>
      <c r="G150" s="3" t="n">
        <v>891</v>
      </c>
      <c r="H150" s="3" t="n">
        <v>6642800</v>
      </c>
      <c r="I150" s="3" t="n">
        <v>101065</v>
      </c>
      <c r="J150" s="4" t="n">
        <v>0.07000000000000001</v>
      </c>
      <c r="K150" s="3" t="n">
        <v>1.068</v>
      </c>
      <c r="L150" s="3" t="n">
        <v>124294</v>
      </c>
      <c r="M150" s="3" t="n">
        <v>21751</v>
      </c>
      <c r="N150" s="2" t="n"/>
      <c r="O150" s="5">
        <f>IF(L150&gt;0,L150-I150,"")</f>
        <v/>
      </c>
      <c r="P150" s="6">
        <f>IF(AND(M150&gt;0,L150&gt;0),M150/L150*100,"")</f>
        <v/>
      </c>
      <c r="Q150" s="7">
        <f>IF(AND(G150&gt;0,F150&gt;0),G150/F150*100,"")</f>
        <v/>
      </c>
      <c r="R150" s="5">
        <f>IF(AND(H150&gt;0,G150&gt;0),H150/G150,"")</f>
        <v/>
      </c>
      <c r="S150" s="8">
        <f>IF(AND(L150&gt;0,G150&gt;0),L150/G150,"")</f>
        <v/>
      </c>
      <c r="T150" s="8">
        <f>IF(AND(M150&gt;0,G150&gt;0),M150/G150,"")</f>
        <v/>
      </c>
      <c r="U150" s="5">
        <f>IF(AND(M150&gt;0,N150&gt;0),M150/N150,"")</f>
        <v/>
      </c>
      <c r="V150" s="6">
        <f>IF(AND(I150&gt;=0,L150&gt;0),I150/L150*100,"")</f>
        <v/>
      </c>
      <c r="W150" s="9">
        <f>IF(AND(L150&gt;0,H150&gt;0,J150&gt;0),(L150-I150)/(H150*J150),"")</f>
        <v/>
      </c>
      <c r="X150" s="5">
        <f>IF(AND(M150&gt;0,N150&gt;0),M150/N150*0.7,"")</f>
        <v/>
      </c>
    </row>
    <row r="151">
      <c r="A151" s="2" t="inlineStr">
        <is>
          <t>2026-03</t>
        </is>
      </c>
      <c r="B151" s="2" t="inlineStr">
        <is>
          <t>金条</t>
        </is>
      </c>
      <c r="C151" s="2" t="inlineStr">
        <is>
          <t>首贷</t>
        </is>
      </c>
      <c r="D151" s="2" t="inlineStr">
        <is>
          <t>纯机</t>
        </is>
      </c>
      <c r="E151" s="2" t="inlineStr">
        <is>
          <t>零犀</t>
        </is>
      </c>
      <c r="F151" s="3" t="n">
        <v>16714872</v>
      </c>
      <c r="G151" s="3" t="n">
        <v>19299</v>
      </c>
      <c r="H151" s="3" t="n">
        <v>346103900</v>
      </c>
      <c r="I151" s="3" t="n">
        <v>1727518</v>
      </c>
      <c r="J151" s="4" t="n">
        <v>0.07000000000000001</v>
      </c>
      <c r="K151" s="3" t="n">
        <v>1.068</v>
      </c>
      <c r="L151" s="3" t="n">
        <v>2692211</v>
      </c>
      <c r="M151" s="3" t="n">
        <v>903270</v>
      </c>
      <c r="N151" s="2" t="n"/>
      <c r="O151" s="5">
        <f>IF(L151&gt;0,L151-I151,"")</f>
        <v/>
      </c>
      <c r="P151" s="6">
        <f>IF(AND(M151&gt;0,L151&gt;0),M151/L151*100,"")</f>
        <v/>
      </c>
      <c r="Q151" s="7">
        <f>IF(AND(G151&gt;0,F151&gt;0),G151/F151*100,"")</f>
        <v/>
      </c>
      <c r="R151" s="5">
        <f>IF(AND(H151&gt;0,G151&gt;0),H151/G151,"")</f>
        <v/>
      </c>
      <c r="S151" s="8">
        <f>IF(AND(L151&gt;0,G151&gt;0),L151/G151,"")</f>
        <v/>
      </c>
      <c r="T151" s="8">
        <f>IF(AND(M151&gt;0,G151&gt;0),M151/G151,"")</f>
        <v/>
      </c>
      <c r="U151" s="5">
        <f>IF(AND(M151&gt;0,N151&gt;0),M151/N151,"")</f>
        <v/>
      </c>
      <c r="V151" s="6">
        <f>IF(AND(I151&gt;=0,L151&gt;0),I151/L151*100,"")</f>
        <v/>
      </c>
      <c r="W151" s="9">
        <f>IF(AND(L151&gt;0,H151&gt;0,J151&gt;0),(L151-I151)/(H151*J151),"")</f>
        <v/>
      </c>
      <c r="X151" s="5">
        <f>IF(AND(M151&gt;0,N151&gt;0),M151/N151*0.7,"")</f>
        <v/>
      </c>
    </row>
    <row r="152">
      <c r="A152" s="2" t="inlineStr">
        <is>
          <t>2026-03</t>
        </is>
      </c>
      <c r="B152" s="2" t="inlineStr">
        <is>
          <t>金条</t>
        </is>
      </c>
      <c r="C152" s="2" t="inlineStr">
        <is>
          <t>复贷</t>
        </is>
      </c>
      <c r="D152" s="2" t="inlineStr">
        <is>
          <t>纯机</t>
        </is>
      </c>
      <c r="E152" s="2" t="inlineStr">
        <is>
          <t>零犀</t>
        </is>
      </c>
      <c r="F152" s="3" t="n">
        <v>509342</v>
      </c>
      <c r="G152" s="3" t="n">
        <v>36306</v>
      </c>
      <c r="H152" s="3" t="n">
        <v>1240670900</v>
      </c>
      <c r="I152" s="3" t="n">
        <v>65530</v>
      </c>
      <c r="J152" s="4" t="n">
        <v>0.36</v>
      </c>
      <c r="K152" s="3" t="n">
        <v>1.068</v>
      </c>
      <c r="L152" s="3" t="n">
        <v>190567</v>
      </c>
      <c r="M152" s="3" t="n">
        <v>117076</v>
      </c>
      <c r="N152" s="2" t="n"/>
      <c r="O152" s="5">
        <f>IF(L152&gt;0,L152-I152,"")</f>
        <v/>
      </c>
      <c r="P152" s="6">
        <f>IF(AND(M152&gt;0,L152&gt;0),M152/L152*100,"")</f>
        <v/>
      </c>
      <c r="Q152" s="7">
        <f>IF(AND(G152&gt;0,F152&gt;0),G152/F152*100,"")</f>
        <v/>
      </c>
      <c r="R152" s="5">
        <f>IF(AND(H152&gt;0,G152&gt;0),H152/G152,"")</f>
        <v/>
      </c>
      <c r="S152" s="8">
        <f>IF(AND(L152&gt;0,G152&gt;0),L152/G152,"")</f>
        <v/>
      </c>
      <c r="T152" s="8">
        <f>IF(AND(M152&gt;0,G152&gt;0),M152/G152,"")</f>
        <v/>
      </c>
      <c r="U152" s="5">
        <f>IF(AND(M152&gt;0,N152&gt;0),M152/N152,"")</f>
        <v/>
      </c>
      <c r="V152" s="6">
        <f>IF(AND(I152&gt;=0,L152&gt;0),I152/L152*100,"")</f>
        <v/>
      </c>
      <c r="W152" s="9">
        <f>IF(AND(L152&gt;0,H152&gt;0,J152&gt;0),(L152-I152)/(H152*J152),"")</f>
        <v/>
      </c>
      <c r="X152" s="5">
        <f>IF(AND(M152&gt;0,N152&gt;0),M152/N152*0.7,"")</f>
        <v/>
      </c>
    </row>
    <row r="153">
      <c r="A153" s="2" t="inlineStr">
        <is>
          <t>2026-03</t>
        </is>
      </c>
      <c r="B153" s="2" t="inlineStr">
        <is>
          <t>金条</t>
        </is>
      </c>
      <c r="C153" s="2" t="inlineStr">
        <is>
          <t>首贷</t>
        </is>
      </c>
      <c r="D153" s="2" t="inlineStr">
        <is>
          <t>纯机</t>
        </is>
      </c>
      <c r="E153" s="2" t="inlineStr">
        <is>
          <t>言犀赛夫</t>
        </is>
      </c>
      <c r="F153" s="3" t="n">
        <v>6756249</v>
      </c>
      <c r="G153" s="3" t="n">
        <v>6354</v>
      </c>
      <c r="H153" s="3" t="n">
        <v>83365600</v>
      </c>
      <c r="I153" s="3" t="n">
        <v>600283</v>
      </c>
      <c r="J153" s="4" t="n">
        <v>0.07000000000000001</v>
      </c>
      <c r="K153" s="3" t="n">
        <v>1.068</v>
      </c>
      <c r="L153" s="3" t="n">
        <v>886383</v>
      </c>
      <c r="M153" s="3" t="n">
        <v>267884</v>
      </c>
      <c r="N153" s="2" t="n"/>
      <c r="O153" s="5">
        <f>IF(L153&gt;0,L153-I153,"")</f>
        <v/>
      </c>
      <c r="P153" s="6">
        <f>IF(AND(M153&gt;0,L153&gt;0),M153/L153*100,"")</f>
        <v/>
      </c>
      <c r="Q153" s="7">
        <f>IF(AND(G153&gt;0,F153&gt;0),G153/F153*100,"")</f>
        <v/>
      </c>
      <c r="R153" s="5">
        <f>IF(AND(H153&gt;0,G153&gt;0),H153/G153,"")</f>
        <v/>
      </c>
      <c r="S153" s="8">
        <f>IF(AND(L153&gt;0,G153&gt;0),L153/G153,"")</f>
        <v/>
      </c>
      <c r="T153" s="8">
        <f>IF(AND(M153&gt;0,G153&gt;0),M153/G153,"")</f>
        <v/>
      </c>
      <c r="U153" s="5">
        <f>IF(AND(M153&gt;0,N153&gt;0),M153/N153,"")</f>
        <v/>
      </c>
      <c r="V153" s="6">
        <f>IF(AND(I153&gt;=0,L153&gt;0),I153/L153*100,"")</f>
        <v/>
      </c>
      <c r="W153" s="9">
        <f>IF(AND(L153&gt;0,H153&gt;0,J153&gt;0),(L153-I153)/(H153*J153),"")</f>
        <v/>
      </c>
      <c r="X153" s="5">
        <f>IF(AND(M153&gt;0,N153&gt;0),M153/N153*0.7,"")</f>
        <v/>
      </c>
    </row>
    <row r="154">
      <c r="A154" s="2" t="inlineStr">
        <is>
          <t>2026-03</t>
        </is>
      </c>
      <c r="B154" s="2" t="inlineStr">
        <is>
          <t>金条</t>
        </is>
      </c>
      <c r="C154" s="2" t="inlineStr">
        <is>
          <t>复贷</t>
        </is>
      </c>
      <c r="D154" s="2" t="inlineStr">
        <is>
          <t>纯机</t>
        </is>
      </c>
      <c r="E154" s="2" t="inlineStr">
        <is>
          <t>言犀赛夫</t>
        </is>
      </c>
      <c r="F154" s="3" t="n">
        <v>344837</v>
      </c>
      <c r="G154" s="3" t="n">
        <v>25300</v>
      </c>
      <c r="H154" s="3" t="n">
        <v>844152200</v>
      </c>
      <c r="I154" s="3" t="n">
        <v>48408</v>
      </c>
      <c r="J154" s="4" t="n">
        <v>0.36</v>
      </c>
      <c r="K154" s="3" t="n">
        <v>1.068</v>
      </c>
      <c r="L154" s="3" t="n">
        <v>129662</v>
      </c>
      <c r="M154" s="3" t="n">
        <v>76080</v>
      </c>
      <c r="N154" s="2" t="n"/>
      <c r="O154" s="5">
        <f>IF(L154&gt;0,L154-I154,"")</f>
        <v/>
      </c>
      <c r="P154" s="6">
        <f>IF(AND(M154&gt;0,L154&gt;0),M154/L154*100,"")</f>
        <v/>
      </c>
      <c r="Q154" s="7">
        <f>IF(AND(G154&gt;0,F154&gt;0),G154/F154*100,"")</f>
        <v/>
      </c>
      <c r="R154" s="5">
        <f>IF(AND(H154&gt;0,G154&gt;0),H154/G154,"")</f>
        <v/>
      </c>
      <c r="S154" s="8">
        <f>IF(AND(L154&gt;0,G154&gt;0),L154/G154,"")</f>
        <v/>
      </c>
      <c r="T154" s="8">
        <f>IF(AND(M154&gt;0,G154&gt;0),M154/G154,"")</f>
        <v/>
      </c>
      <c r="U154" s="5">
        <f>IF(AND(M154&gt;0,N154&gt;0),M154/N154,"")</f>
        <v/>
      </c>
      <c r="V154" s="6">
        <f>IF(AND(I154&gt;=0,L154&gt;0),I154/L154*100,"")</f>
        <v/>
      </c>
      <c r="W154" s="9">
        <f>IF(AND(L154&gt;0,H154&gt;0,J154&gt;0),(L154-I154)/(H154*J154),"")</f>
        <v/>
      </c>
      <c r="X154" s="5">
        <f>IF(AND(M154&gt;0,N154&gt;0),M154/N154*0.7,"")</f>
        <v/>
      </c>
    </row>
    <row r="155">
      <c r="A155" s="2" t="inlineStr">
        <is>
          <t>2026-04</t>
        </is>
      </c>
      <c r="B155" s="2" t="inlineStr">
        <is>
          <t>金条</t>
        </is>
      </c>
      <c r="C155" s="2" t="inlineStr">
        <is>
          <t>首贷</t>
        </is>
      </c>
      <c r="D155" s="2" t="inlineStr">
        <is>
          <t>人机</t>
        </is>
      </c>
      <c r="E155" s="2" t="inlineStr">
        <is>
          <t>零犀伽玛</t>
        </is>
      </c>
      <c r="F155" s="3" t="n">
        <v>1842708</v>
      </c>
      <c r="G155" s="3" t="n">
        <v>5810</v>
      </c>
      <c r="H155" s="3" t="n">
        <v>86552400</v>
      </c>
      <c r="I155" s="3" t="n">
        <v>240739</v>
      </c>
      <c r="J155" s="4" t="n">
        <v>0.07000000000000001</v>
      </c>
      <c r="K155" s="3" t="n">
        <v>1.068</v>
      </c>
      <c r="L155" s="3" t="n">
        <v>495619</v>
      </c>
      <c r="M155" s="3" t="n">
        <v>238652</v>
      </c>
      <c r="N155" s="3" t="n">
        <v>24</v>
      </c>
      <c r="O155" s="5">
        <f>IF(L155&gt;0,L155-I155,"")</f>
        <v/>
      </c>
      <c r="P155" s="6">
        <f>IF(AND(M155&gt;0,L155&gt;0),M155/L155*100,"")</f>
        <v/>
      </c>
      <c r="Q155" s="7">
        <f>IF(AND(G155&gt;0,F155&gt;0),G155/F155*100,"")</f>
        <v/>
      </c>
      <c r="R155" s="5">
        <f>IF(AND(H155&gt;0,G155&gt;0),H155/G155,"")</f>
        <v/>
      </c>
      <c r="S155" s="8">
        <f>IF(AND(L155&gt;0,G155&gt;0),L155/G155,"")</f>
        <v/>
      </c>
      <c r="T155" s="8">
        <f>IF(AND(M155&gt;0,G155&gt;0),M155/G155,"")</f>
        <v/>
      </c>
      <c r="U155" s="5">
        <f>IF(AND(M155&gt;0,N155&gt;0),M155/N155,"")</f>
        <v/>
      </c>
      <c r="V155" s="6">
        <f>IF(AND(I155&gt;=0,L155&gt;0),I155/L155*100,"")</f>
        <v/>
      </c>
      <c r="W155" s="9">
        <f>IF(AND(L155&gt;0,H155&gt;0,J155&gt;0),(L155-I155)/(H155*J155),"")</f>
        <v/>
      </c>
      <c r="X155" s="5">
        <f>IF(AND(M155&gt;0,N155&gt;0),M155/N155*0.7,"")</f>
        <v/>
      </c>
    </row>
    <row r="156">
      <c r="A156" s="2" t="inlineStr">
        <is>
          <t>2026-04</t>
        </is>
      </c>
      <c r="B156" s="2" t="inlineStr">
        <is>
          <t>金条</t>
        </is>
      </c>
      <c r="C156" s="2" t="inlineStr">
        <is>
          <t>首贷</t>
        </is>
      </c>
      <c r="D156" s="2" t="inlineStr">
        <is>
          <t>人机</t>
        </is>
      </c>
      <c r="E156" s="2" t="inlineStr">
        <is>
          <t>零犀</t>
        </is>
      </c>
      <c r="F156" s="3" t="n">
        <v>9338995</v>
      </c>
      <c r="G156" s="3" t="n">
        <v>31247</v>
      </c>
      <c r="H156" s="3" t="n">
        <v>504906100</v>
      </c>
      <c r="I156" s="3" t="n">
        <v>1062867</v>
      </c>
      <c r="J156" s="4" t="n">
        <v>0.07000000000000001</v>
      </c>
      <c r="K156" s="3" t="n">
        <v>1.068</v>
      </c>
      <c r="L156" s="3" t="n">
        <v>2848274</v>
      </c>
      <c r="M156" s="3" t="n">
        <v>1671729</v>
      </c>
      <c r="N156" s="3" t="n">
        <v>67</v>
      </c>
      <c r="O156" s="5">
        <f>IF(L156&gt;0,L156-I156,"")</f>
        <v/>
      </c>
      <c r="P156" s="6">
        <f>IF(AND(M156&gt;0,L156&gt;0),M156/L156*100,"")</f>
        <v/>
      </c>
      <c r="Q156" s="7">
        <f>IF(AND(G156&gt;0,F156&gt;0),G156/F156*100,"")</f>
        <v/>
      </c>
      <c r="R156" s="5">
        <f>IF(AND(H156&gt;0,G156&gt;0),H156/G156,"")</f>
        <v/>
      </c>
      <c r="S156" s="8">
        <f>IF(AND(L156&gt;0,G156&gt;0),L156/G156,"")</f>
        <v/>
      </c>
      <c r="T156" s="8">
        <f>IF(AND(M156&gt;0,G156&gt;0),M156/G156,"")</f>
        <v/>
      </c>
      <c r="U156" s="5">
        <f>IF(AND(M156&gt;0,N156&gt;0),M156/N156,"")</f>
        <v/>
      </c>
      <c r="V156" s="6">
        <f>IF(AND(I156&gt;=0,L156&gt;0),I156/L156*100,"")</f>
        <v/>
      </c>
      <c r="W156" s="9">
        <f>IF(AND(L156&gt;0,H156&gt;0,J156&gt;0),(L156-I156)/(H156*J156),"")</f>
        <v/>
      </c>
      <c r="X156" s="5">
        <f>IF(AND(M156&gt;0,N156&gt;0),M156/N156*0.7,"")</f>
        <v/>
      </c>
    </row>
    <row r="157">
      <c r="A157" s="2" t="inlineStr">
        <is>
          <t>2026-04</t>
        </is>
      </c>
      <c r="B157" s="2" t="inlineStr">
        <is>
          <t>金条</t>
        </is>
      </c>
      <c r="C157" s="2" t="inlineStr">
        <is>
          <t>复贷</t>
        </is>
      </c>
      <c r="D157" s="2" t="inlineStr">
        <is>
          <t>人机</t>
        </is>
      </c>
      <c r="E157" s="2" t="inlineStr">
        <is>
          <t>零犀</t>
        </is>
      </c>
      <c r="F157" s="3" t="n">
        <v>2412643</v>
      </c>
      <c r="G157" s="3" t="n">
        <v>19719</v>
      </c>
      <c r="H157" s="3" t="n">
        <v>762706600</v>
      </c>
      <c r="I157" s="3" t="n">
        <v>218939</v>
      </c>
      <c r="J157" s="4" t="n">
        <v>0.36</v>
      </c>
      <c r="K157" s="3" t="n">
        <v>1.068</v>
      </c>
      <c r="L157" s="3" t="n">
        <v>598097</v>
      </c>
      <c r="M157" s="3" t="n">
        <v>355017</v>
      </c>
      <c r="N157" s="3" t="n">
        <v>11</v>
      </c>
      <c r="O157" s="5">
        <f>IF(L157&gt;0,L157-I157,"")</f>
        <v/>
      </c>
      <c r="P157" s="6">
        <f>IF(AND(M157&gt;0,L157&gt;0),M157/L157*100,"")</f>
        <v/>
      </c>
      <c r="Q157" s="7">
        <f>IF(AND(G157&gt;0,F157&gt;0),G157/F157*100,"")</f>
        <v/>
      </c>
      <c r="R157" s="5">
        <f>IF(AND(H157&gt;0,G157&gt;0),H157/G157,"")</f>
        <v/>
      </c>
      <c r="S157" s="8">
        <f>IF(AND(L157&gt;0,G157&gt;0),L157/G157,"")</f>
        <v/>
      </c>
      <c r="T157" s="8">
        <f>IF(AND(M157&gt;0,G157&gt;0),M157/G157,"")</f>
        <v/>
      </c>
      <c r="U157" s="5">
        <f>IF(AND(M157&gt;0,N157&gt;0),M157/N157,"")</f>
        <v/>
      </c>
      <c r="V157" s="6">
        <f>IF(AND(I157&gt;=0,L157&gt;0),I157/L157*100,"")</f>
        <v/>
      </c>
      <c r="W157" s="9">
        <f>IF(AND(L157&gt;0,H157&gt;0,J157&gt;0),(L157-I157)/(H157*J157),"")</f>
        <v/>
      </c>
      <c r="X157" s="5">
        <f>IF(AND(M157&gt;0,N157&gt;0),M157/N157*0.7,"")</f>
        <v/>
      </c>
    </row>
    <row r="158">
      <c r="A158" s="2" t="inlineStr">
        <is>
          <t>2026-04</t>
        </is>
      </c>
      <c r="B158" s="2" t="inlineStr">
        <is>
          <t>金条</t>
        </is>
      </c>
      <c r="C158" s="2" t="inlineStr">
        <is>
          <t>首贷</t>
        </is>
      </c>
      <c r="D158" s="2" t="inlineStr">
        <is>
          <t>人机</t>
        </is>
      </c>
      <c r="E158" s="2" t="inlineStr">
        <is>
          <t>零犀毛毛虫</t>
        </is>
      </c>
      <c r="F158" s="3" t="n">
        <v>2046767</v>
      </c>
      <c r="G158" s="3" t="n">
        <v>6698</v>
      </c>
      <c r="H158" s="3" t="n">
        <v>97070000</v>
      </c>
      <c r="I158" s="3" t="n">
        <v>280276</v>
      </c>
      <c r="J158" s="4" t="n">
        <v>0.07000000000000001</v>
      </c>
      <c r="K158" s="3" t="n">
        <v>1.068</v>
      </c>
      <c r="L158" s="3" t="n">
        <v>551470</v>
      </c>
      <c r="M158" s="3" t="n">
        <v>253927</v>
      </c>
      <c r="N158" s="3" t="n">
        <v>26</v>
      </c>
      <c r="O158" s="5">
        <f>IF(L158&gt;0,L158-I158,"")</f>
        <v/>
      </c>
      <c r="P158" s="6">
        <f>IF(AND(M158&gt;0,L158&gt;0),M158/L158*100,"")</f>
        <v/>
      </c>
      <c r="Q158" s="7">
        <f>IF(AND(G158&gt;0,F158&gt;0),G158/F158*100,"")</f>
        <v/>
      </c>
      <c r="R158" s="5">
        <f>IF(AND(H158&gt;0,G158&gt;0),H158/G158,"")</f>
        <v/>
      </c>
      <c r="S158" s="8">
        <f>IF(AND(L158&gt;0,G158&gt;0),L158/G158,"")</f>
        <v/>
      </c>
      <c r="T158" s="8">
        <f>IF(AND(M158&gt;0,G158&gt;0),M158/G158,"")</f>
        <v/>
      </c>
      <c r="U158" s="5">
        <f>IF(AND(M158&gt;0,N158&gt;0),M158/N158,"")</f>
        <v/>
      </c>
      <c r="V158" s="6">
        <f>IF(AND(I158&gt;=0,L158&gt;0),I158/L158*100,"")</f>
        <v/>
      </c>
      <c r="W158" s="9">
        <f>IF(AND(L158&gt;0,H158&gt;0,J158&gt;0),(L158-I158)/(H158*J158),"")</f>
        <v/>
      </c>
      <c r="X158" s="5">
        <f>IF(AND(M158&gt;0,N158&gt;0),M158/N158*0.7,"")</f>
        <v/>
      </c>
    </row>
    <row r="159">
      <c r="A159" s="2" t="inlineStr">
        <is>
          <t>2026-04</t>
        </is>
      </c>
      <c r="B159" s="2" t="inlineStr">
        <is>
          <t>金条</t>
        </is>
      </c>
      <c r="C159" s="2" t="inlineStr">
        <is>
          <t>复贷</t>
        </is>
      </c>
      <c r="D159" s="2" t="inlineStr">
        <is>
          <t>人机</t>
        </is>
      </c>
      <c r="E159" s="2" t="inlineStr">
        <is>
          <t>零犀岐力</t>
        </is>
      </c>
      <c r="F159" s="3" t="n">
        <v>400927</v>
      </c>
      <c r="G159" s="3" t="n">
        <v>1806</v>
      </c>
      <c r="H159" s="3" t="n">
        <v>59458400</v>
      </c>
      <c r="I159" s="3" t="n">
        <v>33362</v>
      </c>
      <c r="J159" s="4" t="n">
        <v>0.36</v>
      </c>
      <c r="K159" s="3" t="n">
        <v>1.068</v>
      </c>
      <c r="L159" s="3" t="n">
        <v>38628</v>
      </c>
      <c r="M159" s="3" t="n">
        <v>4931</v>
      </c>
      <c r="N159" s="2" t="n"/>
      <c r="O159" s="5">
        <f>IF(L159&gt;0,L159-I159,"")</f>
        <v/>
      </c>
      <c r="P159" s="6">
        <f>IF(AND(M159&gt;0,L159&gt;0),M159/L159*100,"")</f>
        <v/>
      </c>
      <c r="Q159" s="7">
        <f>IF(AND(G159&gt;0,F159&gt;0),G159/F159*100,"")</f>
        <v/>
      </c>
      <c r="R159" s="5">
        <f>IF(AND(H159&gt;0,G159&gt;0),H159/G159,"")</f>
        <v/>
      </c>
      <c r="S159" s="8">
        <f>IF(AND(L159&gt;0,G159&gt;0),L159/G159,"")</f>
        <v/>
      </c>
      <c r="T159" s="8">
        <f>IF(AND(M159&gt;0,G159&gt;0),M159/G159,"")</f>
        <v/>
      </c>
      <c r="U159" s="5">
        <f>IF(AND(M159&gt;0,N159&gt;0),M159/N159,"")</f>
        <v/>
      </c>
      <c r="V159" s="6">
        <f>IF(AND(I159&gt;=0,L159&gt;0),I159/L159*100,"")</f>
        <v/>
      </c>
      <c r="W159" s="9">
        <f>IF(AND(L159&gt;0,H159&gt;0,J159&gt;0),(L159-I159)/(H159*J159),"")</f>
        <v/>
      </c>
      <c r="X159" s="5">
        <f>IF(AND(M159&gt;0,N159&gt;0),M159/N159*0.7,"")</f>
        <v/>
      </c>
    </row>
    <row r="160">
      <c r="A160" s="2" t="inlineStr">
        <is>
          <t>2026-04</t>
        </is>
      </c>
      <c r="B160" s="2" t="inlineStr">
        <is>
          <t>金条</t>
        </is>
      </c>
      <c r="C160" s="2" t="inlineStr">
        <is>
          <t>首贷</t>
        </is>
      </c>
      <c r="D160" s="2" t="inlineStr">
        <is>
          <t>人机</t>
        </is>
      </c>
      <c r="E160" s="2" t="inlineStr">
        <is>
          <t>零犀赛维斯</t>
        </is>
      </c>
      <c r="F160" s="3" t="n">
        <v>1568552</v>
      </c>
      <c r="G160" s="3" t="n">
        <v>5455</v>
      </c>
      <c r="H160" s="3" t="n">
        <v>78840700</v>
      </c>
      <c r="I160" s="3" t="n">
        <v>223276</v>
      </c>
      <c r="J160" s="4" t="n">
        <v>0.07000000000000001</v>
      </c>
      <c r="K160" s="3" t="n">
        <v>1.068</v>
      </c>
      <c r="L160" s="3" t="n">
        <v>448690</v>
      </c>
      <c r="M160" s="3" t="n">
        <v>211062</v>
      </c>
      <c r="N160" s="3" t="n">
        <v>18</v>
      </c>
      <c r="O160" s="5">
        <f>IF(L160&gt;0,L160-I160,"")</f>
        <v/>
      </c>
      <c r="P160" s="6">
        <f>IF(AND(M160&gt;0,L160&gt;0),M160/L160*100,"")</f>
        <v/>
      </c>
      <c r="Q160" s="7">
        <f>IF(AND(G160&gt;0,F160&gt;0),G160/F160*100,"")</f>
        <v/>
      </c>
      <c r="R160" s="5">
        <f>IF(AND(H160&gt;0,G160&gt;0),H160/G160,"")</f>
        <v/>
      </c>
      <c r="S160" s="8">
        <f>IF(AND(L160&gt;0,G160&gt;0),L160/G160,"")</f>
        <v/>
      </c>
      <c r="T160" s="8">
        <f>IF(AND(M160&gt;0,G160&gt;0),M160/G160,"")</f>
        <v/>
      </c>
      <c r="U160" s="5">
        <f>IF(AND(M160&gt;0,N160&gt;0),M160/N160,"")</f>
        <v/>
      </c>
      <c r="V160" s="6">
        <f>IF(AND(I160&gt;=0,L160&gt;0),I160/L160*100,"")</f>
        <v/>
      </c>
      <c r="W160" s="9">
        <f>IF(AND(L160&gt;0,H160&gt;0,J160&gt;0),(L160-I160)/(H160*J160),"")</f>
        <v/>
      </c>
      <c r="X160" s="5">
        <f>IF(AND(M160&gt;0,N160&gt;0),M160/N160*0.7,"")</f>
        <v/>
      </c>
    </row>
    <row r="161">
      <c r="A161" s="2" t="inlineStr">
        <is>
          <t>2026-04</t>
        </is>
      </c>
      <c r="B161" s="2" t="inlineStr">
        <is>
          <t>金条</t>
        </is>
      </c>
      <c r="C161" s="2" t="inlineStr">
        <is>
          <t>首贷</t>
        </is>
      </c>
      <c r="D161" s="2" t="inlineStr">
        <is>
          <t>人机</t>
        </is>
      </c>
      <c r="E161" s="2" t="inlineStr">
        <is>
          <t>零犀毅航</t>
        </is>
      </c>
      <c r="F161" s="3" t="n">
        <v>3874420</v>
      </c>
      <c r="G161" s="3" t="n">
        <v>13398</v>
      </c>
      <c r="H161" s="3" t="n">
        <v>225161700</v>
      </c>
      <c r="I161" s="3" t="n">
        <v>465938</v>
      </c>
      <c r="J161" s="4" t="n">
        <v>0.07000000000000001</v>
      </c>
      <c r="K161" s="3" t="n">
        <v>1.068</v>
      </c>
      <c r="L161" s="3" t="n">
        <v>1275039</v>
      </c>
      <c r="M161" s="3" t="n">
        <v>757585</v>
      </c>
      <c r="N161" s="3" t="n">
        <v>43</v>
      </c>
      <c r="O161" s="5">
        <f>IF(L161&gt;0,L161-I161,"")</f>
        <v/>
      </c>
      <c r="P161" s="6">
        <f>IF(AND(M161&gt;0,L161&gt;0),M161/L161*100,"")</f>
        <v/>
      </c>
      <c r="Q161" s="7">
        <f>IF(AND(G161&gt;0,F161&gt;0),G161/F161*100,"")</f>
        <v/>
      </c>
      <c r="R161" s="5">
        <f>IF(AND(H161&gt;0,G161&gt;0),H161/G161,"")</f>
        <v/>
      </c>
      <c r="S161" s="8">
        <f>IF(AND(L161&gt;0,G161&gt;0),L161/G161,"")</f>
        <v/>
      </c>
      <c r="T161" s="8">
        <f>IF(AND(M161&gt;0,G161&gt;0),M161/G161,"")</f>
        <v/>
      </c>
      <c r="U161" s="5">
        <f>IF(AND(M161&gt;0,N161&gt;0),M161/N161,"")</f>
        <v/>
      </c>
      <c r="V161" s="6">
        <f>IF(AND(I161&gt;=0,L161&gt;0),I161/L161*100,"")</f>
        <v/>
      </c>
      <c r="W161" s="9">
        <f>IF(AND(L161&gt;0,H161&gt;0,J161&gt;0),(L161-I161)/(H161*J161),"")</f>
        <v/>
      </c>
      <c r="X161" s="5">
        <f>IF(AND(M161&gt;0,N161&gt;0),M161/N161*0.7,"")</f>
        <v/>
      </c>
    </row>
    <row r="162">
      <c r="A162" s="2" t="inlineStr">
        <is>
          <t>2026-04</t>
        </is>
      </c>
      <c r="B162" s="2" t="inlineStr">
        <is>
          <t>金条</t>
        </is>
      </c>
      <c r="C162" s="2" t="inlineStr">
        <is>
          <t>首贷</t>
        </is>
      </c>
      <c r="D162" s="2" t="inlineStr">
        <is>
          <t>人机</t>
        </is>
      </c>
      <c r="E162" s="2" t="inlineStr">
        <is>
          <t>赛维斯</t>
        </is>
      </c>
      <c r="F162" s="3" t="n">
        <v>2068765</v>
      </c>
      <c r="G162" s="3" t="n">
        <v>6788</v>
      </c>
      <c r="H162" s="3" t="n">
        <v>95119200</v>
      </c>
      <c r="I162" s="3" t="n">
        <v>329843</v>
      </c>
      <c r="J162" s="4" t="n">
        <v>0.07000000000000001</v>
      </c>
      <c r="K162" s="3" t="n">
        <v>1.068</v>
      </c>
      <c r="L162" s="3" t="n">
        <v>527150</v>
      </c>
      <c r="M162" s="3" t="n">
        <v>184745</v>
      </c>
      <c r="N162" s="3" t="n">
        <v>25</v>
      </c>
      <c r="O162" s="5">
        <f>IF(L162&gt;0,L162-I162,"")</f>
        <v/>
      </c>
      <c r="P162" s="6">
        <f>IF(AND(M162&gt;0,L162&gt;0),M162/L162*100,"")</f>
        <v/>
      </c>
      <c r="Q162" s="7">
        <f>IF(AND(G162&gt;0,F162&gt;0),G162/F162*100,"")</f>
        <v/>
      </c>
      <c r="R162" s="5">
        <f>IF(AND(H162&gt;0,G162&gt;0),H162/G162,"")</f>
        <v/>
      </c>
      <c r="S162" s="8">
        <f>IF(AND(L162&gt;0,G162&gt;0),L162/G162,"")</f>
        <v/>
      </c>
      <c r="T162" s="8">
        <f>IF(AND(M162&gt;0,G162&gt;0),M162/G162,"")</f>
        <v/>
      </c>
      <c r="U162" s="5">
        <f>IF(AND(M162&gt;0,N162&gt;0),M162/N162,"")</f>
        <v/>
      </c>
      <c r="V162" s="6">
        <f>IF(AND(I162&gt;=0,L162&gt;0),I162/L162*100,"")</f>
        <v/>
      </c>
      <c r="W162" s="9">
        <f>IF(AND(L162&gt;0,H162&gt;0,J162&gt;0),(L162-I162)/(H162*J162),"")</f>
        <v/>
      </c>
      <c r="X162" s="5">
        <f>IF(AND(M162&gt;0,N162&gt;0),M162/N162*0.7,"")</f>
        <v/>
      </c>
    </row>
    <row r="163">
      <c r="A163" s="2" t="inlineStr">
        <is>
          <t>2026-04</t>
        </is>
      </c>
      <c r="B163" s="2" t="inlineStr">
        <is>
          <t>金条</t>
        </is>
      </c>
      <c r="C163" s="2" t="inlineStr">
        <is>
          <t>复贷</t>
        </is>
      </c>
      <c r="D163" s="2" t="inlineStr">
        <is>
          <t>人机</t>
        </is>
      </c>
      <c r="E163" s="2" t="inlineStr">
        <is>
          <t>赛维斯</t>
        </is>
      </c>
      <c r="F163" s="3" t="n">
        <v>1597108</v>
      </c>
      <c r="G163" s="3" t="n">
        <v>14155</v>
      </c>
      <c r="H163" s="3" t="n">
        <v>483831700</v>
      </c>
      <c r="I163" s="3" t="n">
        <v>218099</v>
      </c>
      <c r="J163" s="4" t="n">
        <v>0.36</v>
      </c>
      <c r="K163" s="3" t="n">
        <v>1.068</v>
      </c>
      <c r="L163" s="3" t="n">
        <v>384855</v>
      </c>
      <c r="M163" s="3" t="n">
        <v>156139</v>
      </c>
      <c r="N163" s="3" t="n">
        <v>10</v>
      </c>
      <c r="O163" s="5">
        <f>IF(L163&gt;0,L163-I163,"")</f>
        <v/>
      </c>
      <c r="P163" s="6">
        <f>IF(AND(M163&gt;0,L163&gt;0),M163/L163*100,"")</f>
        <v/>
      </c>
      <c r="Q163" s="7">
        <f>IF(AND(G163&gt;0,F163&gt;0),G163/F163*100,"")</f>
        <v/>
      </c>
      <c r="R163" s="5">
        <f>IF(AND(H163&gt;0,G163&gt;0),H163/G163,"")</f>
        <v/>
      </c>
      <c r="S163" s="8">
        <f>IF(AND(L163&gt;0,G163&gt;0),L163/G163,"")</f>
        <v/>
      </c>
      <c r="T163" s="8">
        <f>IF(AND(M163&gt;0,G163&gt;0),M163/G163,"")</f>
        <v/>
      </c>
      <c r="U163" s="5">
        <f>IF(AND(M163&gt;0,N163&gt;0),M163/N163,"")</f>
        <v/>
      </c>
      <c r="V163" s="6">
        <f>IF(AND(I163&gt;=0,L163&gt;0),I163/L163*100,"")</f>
        <v/>
      </c>
      <c r="W163" s="9">
        <f>IF(AND(L163&gt;0,H163&gt;0,J163&gt;0),(L163-I163)/(H163*J163),"")</f>
        <v/>
      </c>
      <c r="X163" s="5">
        <f>IF(AND(M163&gt;0,N163&gt;0),M163/N163*0.7,"")</f>
        <v/>
      </c>
    </row>
    <row r="164">
      <c r="A164" s="2" t="inlineStr">
        <is>
          <t>2026-04</t>
        </is>
      </c>
      <c r="B164" s="2" t="inlineStr">
        <is>
          <t>金条</t>
        </is>
      </c>
      <c r="C164" s="2" t="inlineStr">
        <is>
          <t>首贷</t>
        </is>
      </c>
      <c r="D164" s="2" t="inlineStr">
        <is>
          <t>人机</t>
        </is>
      </c>
      <c r="E164" s="2" t="inlineStr">
        <is>
          <t>宿迁兆科</t>
        </is>
      </c>
      <c r="F164" s="3" t="n">
        <v>1275592</v>
      </c>
      <c r="G164" s="3" t="n">
        <v>3775</v>
      </c>
      <c r="H164" s="3" t="n">
        <v>57906700</v>
      </c>
      <c r="I164" s="3" t="n">
        <v>138457</v>
      </c>
      <c r="J164" s="4" t="n">
        <v>0.07000000000000001</v>
      </c>
      <c r="K164" s="3" t="n">
        <v>1.068</v>
      </c>
      <c r="L164" s="3" t="n">
        <v>325335</v>
      </c>
      <c r="M164" s="3" t="n">
        <v>174979</v>
      </c>
      <c r="N164" s="3" t="n">
        <v>15</v>
      </c>
      <c r="O164" s="5">
        <f>IF(L164&gt;0,L164-I164,"")</f>
        <v/>
      </c>
      <c r="P164" s="6">
        <f>IF(AND(M164&gt;0,L164&gt;0),M164/L164*100,"")</f>
        <v/>
      </c>
      <c r="Q164" s="7">
        <f>IF(AND(G164&gt;0,F164&gt;0),G164/F164*100,"")</f>
        <v/>
      </c>
      <c r="R164" s="5">
        <f>IF(AND(H164&gt;0,G164&gt;0),H164/G164,"")</f>
        <v/>
      </c>
      <c r="S164" s="8">
        <f>IF(AND(L164&gt;0,G164&gt;0),L164/G164,"")</f>
        <v/>
      </c>
      <c r="T164" s="8">
        <f>IF(AND(M164&gt;0,G164&gt;0),M164/G164,"")</f>
        <v/>
      </c>
      <c r="U164" s="5">
        <f>IF(AND(M164&gt;0,N164&gt;0),M164/N164,"")</f>
        <v/>
      </c>
      <c r="V164" s="6">
        <f>IF(AND(I164&gt;=0,L164&gt;0),I164/L164*100,"")</f>
        <v/>
      </c>
      <c r="W164" s="9">
        <f>IF(AND(L164&gt;0,H164&gt;0,J164&gt;0),(L164-I164)/(H164*J164),"")</f>
        <v/>
      </c>
      <c r="X164" s="5">
        <f>IF(AND(M164&gt;0,N164&gt;0),M164/N164*0.7,"")</f>
        <v/>
      </c>
    </row>
    <row r="165">
      <c r="A165" s="2" t="inlineStr">
        <is>
          <t>2026-04</t>
        </is>
      </c>
      <c r="B165" s="2" t="inlineStr">
        <is>
          <t>金条</t>
        </is>
      </c>
      <c r="C165" s="2" t="inlineStr">
        <is>
          <t>首贷</t>
        </is>
      </c>
      <c r="D165" s="2" t="inlineStr">
        <is>
          <t>人工</t>
        </is>
      </c>
      <c r="E165" s="2" t="inlineStr">
        <is>
          <t>博岳石家庄</t>
        </is>
      </c>
      <c r="F165" s="3" t="n">
        <v>155908</v>
      </c>
      <c r="G165" s="3" t="n">
        <v>1624</v>
      </c>
      <c r="H165" s="3" t="n">
        <v>63425300</v>
      </c>
      <c r="I165" s="3" t="n">
        <v>26228</v>
      </c>
      <c r="J165" s="4" t="n">
        <v>0.07000000000000001</v>
      </c>
      <c r="K165" s="3" t="n">
        <v>1.068</v>
      </c>
      <c r="L165" s="3" t="n">
        <v>315734</v>
      </c>
      <c r="M165" s="3" t="n">
        <v>271073</v>
      </c>
      <c r="N165" s="3" t="n">
        <v>42</v>
      </c>
      <c r="O165" s="5">
        <f>IF(L165&gt;0,L165-I165,"")</f>
        <v/>
      </c>
      <c r="P165" s="6">
        <f>IF(AND(M165&gt;0,L165&gt;0),M165/L165*100,"")</f>
        <v/>
      </c>
      <c r="Q165" s="7">
        <f>IF(AND(G165&gt;0,F165&gt;0),G165/F165*100,"")</f>
        <v/>
      </c>
      <c r="R165" s="5">
        <f>IF(AND(H165&gt;0,G165&gt;0),H165/G165,"")</f>
        <v/>
      </c>
      <c r="S165" s="8">
        <f>IF(AND(L165&gt;0,G165&gt;0),L165/G165,"")</f>
        <v/>
      </c>
      <c r="T165" s="8">
        <f>IF(AND(M165&gt;0,G165&gt;0),M165/G165,"")</f>
        <v/>
      </c>
      <c r="U165" s="5">
        <f>IF(AND(M165&gt;0,N165&gt;0),M165/N165,"")</f>
        <v/>
      </c>
      <c r="V165" s="6">
        <f>IF(AND(I165&gt;=0,L165&gt;0),I165/L165*100,"")</f>
        <v/>
      </c>
      <c r="W165" s="9">
        <f>IF(AND(L165&gt;0,H165&gt;0,J165&gt;0),(L165-I165)/(H165*J165),"")</f>
        <v/>
      </c>
      <c r="X165" s="5">
        <f>IF(AND(M165&gt;0,N165&gt;0),M165/N165*0.7,"")</f>
        <v/>
      </c>
    </row>
    <row r="166">
      <c r="A166" s="2" t="inlineStr">
        <is>
          <t>2026-04</t>
        </is>
      </c>
      <c r="B166" s="2" t="inlineStr">
        <is>
          <t>金条</t>
        </is>
      </c>
      <c r="C166" s="2" t="inlineStr">
        <is>
          <t>复贷</t>
        </is>
      </c>
      <c r="D166" s="2" t="inlineStr">
        <is>
          <t>人工</t>
        </is>
      </c>
      <c r="E166" s="2" t="inlineStr">
        <is>
          <t>博岳石家庄</t>
        </is>
      </c>
      <c r="F166" s="3" t="n">
        <v>213115</v>
      </c>
      <c r="G166" s="3" t="n">
        <v>10825</v>
      </c>
      <c r="H166" s="3" t="n">
        <v>371168300</v>
      </c>
      <c r="I166" s="3" t="n">
        <v>34382</v>
      </c>
      <c r="J166" s="4" t="n">
        <v>0.36</v>
      </c>
      <c r="K166" s="3" t="n">
        <v>1.068</v>
      </c>
      <c r="L166" s="3" t="n">
        <v>438472</v>
      </c>
      <c r="M166" s="3" t="n">
        <v>378362</v>
      </c>
      <c r="N166" s="3" t="n">
        <v>47</v>
      </c>
      <c r="O166" s="5">
        <f>IF(L166&gt;0,L166-I166,"")</f>
        <v/>
      </c>
      <c r="P166" s="6">
        <f>IF(AND(M166&gt;0,L166&gt;0),M166/L166*100,"")</f>
        <v/>
      </c>
      <c r="Q166" s="7">
        <f>IF(AND(G166&gt;0,F166&gt;0),G166/F166*100,"")</f>
        <v/>
      </c>
      <c r="R166" s="5">
        <f>IF(AND(H166&gt;0,G166&gt;0),H166/G166,"")</f>
        <v/>
      </c>
      <c r="S166" s="8">
        <f>IF(AND(L166&gt;0,G166&gt;0),L166/G166,"")</f>
        <v/>
      </c>
      <c r="T166" s="8">
        <f>IF(AND(M166&gt;0,G166&gt;0),M166/G166,"")</f>
        <v/>
      </c>
      <c r="U166" s="5">
        <f>IF(AND(M166&gt;0,N166&gt;0),M166/N166,"")</f>
        <v/>
      </c>
      <c r="V166" s="6">
        <f>IF(AND(I166&gt;=0,L166&gt;0),I166/L166*100,"")</f>
        <v/>
      </c>
      <c r="W166" s="9">
        <f>IF(AND(L166&gt;0,H166&gt;0,J166&gt;0),(L166-I166)/(H166*J166),"")</f>
        <v/>
      </c>
      <c r="X166" s="5">
        <f>IF(AND(M166&gt;0,N166&gt;0),M166/N166*0.7,"")</f>
        <v/>
      </c>
    </row>
    <row r="167">
      <c r="A167" s="2" t="inlineStr">
        <is>
          <t>2026-04</t>
        </is>
      </c>
      <c r="B167" s="2" t="inlineStr">
        <is>
          <t>金条</t>
        </is>
      </c>
      <c r="C167" s="2" t="inlineStr">
        <is>
          <t>首贷</t>
        </is>
      </c>
      <c r="D167" s="2" t="inlineStr">
        <is>
          <t>人工</t>
        </is>
      </c>
      <c r="E167" s="2" t="inlineStr">
        <is>
          <t>伽玛</t>
        </is>
      </c>
      <c r="F167" s="3" t="n">
        <v>277550</v>
      </c>
      <c r="G167" s="3" t="n">
        <v>2336</v>
      </c>
      <c r="H167" s="3" t="n">
        <v>82023900</v>
      </c>
      <c r="I167" s="3" t="n">
        <v>44629</v>
      </c>
      <c r="J167" s="4" t="n">
        <v>0.07000000000000001</v>
      </c>
      <c r="K167" s="3" t="n">
        <v>1.068</v>
      </c>
      <c r="L167" s="3" t="n">
        <v>399464</v>
      </c>
      <c r="M167" s="3" t="n">
        <v>332242</v>
      </c>
      <c r="N167" s="3" t="n">
        <v>73</v>
      </c>
      <c r="O167" s="5">
        <f>IF(L167&gt;0,L167-I167,"")</f>
        <v/>
      </c>
      <c r="P167" s="6">
        <f>IF(AND(M167&gt;0,L167&gt;0),M167/L167*100,"")</f>
        <v/>
      </c>
      <c r="Q167" s="7">
        <f>IF(AND(G167&gt;0,F167&gt;0),G167/F167*100,"")</f>
        <v/>
      </c>
      <c r="R167" s="5">
        <f>IF(AND(H167&gt;0,G167&gt;0),H167/G167,"")</f>
        <v/>
      </c>
      <c r="S167" s="8">
        <f>IF(AND(L167&gt;0,G167&gt;0),L167/G167,"")</f>
        <v/>
      </c>
      <c r="T167" s="8">
        <f>IF(AND(M167&gt;0,G167&gt;0),M167/G167,"")</f>
        <v/>
      </c>
      <c r="U167" s="5">
        <f>IF(AND(M167&gt;0,N167&gt;0),M167/N167,"")</f>
        <v/>
      </c>
      <c r="V167" s="6">
        <f>IF(AND(I167&gt;=0,L167&gt;0),I167/L167*100,"")</f>
        <v/>
      </c>
      <c r="W167" s="9">
        <f>IF(AND(L167&gt;0,H167&gt;0,J167&gt;0),(L167-I167)/(H167*J167),"")</f>
        <v/>
      </c>
      <c r="X167" s="5">
        <f>IF(AND(M167&gt;0,N167&gt;0),M167/N167*0.7,"")</f>
        <v/>
      </c>
    </row>
    <row r="168">
      <c r="A168" s="2" t="inlineStr">
        <is>
          <t>2026-04</t>
        </is>
      </c>
      <c r="B168" s="2" t="inlineStr">
        <is>
          <t>金条</t>
        </is>
      </c>
      <c r="C168" s="2" t="inlineStr">
        <is>
          <t>复贷</t>
        </is>
      </c>
      <c r="D168" s="2" t="inlineStr">
        <is>
          <t>人工</t>
        </is>
      </c>
      <c r="E168" s="2" t="inlineStr">
        <is>
          <t>伽玛</t>
        </is>
      </c>
      <c r="F168" s="3" t="n">
        <v>406006</v>
      </c>
      <c r="G168" s="3" t="n">
        <v>20560</v>
      </c>
      <c r="H168" s="3" t="n">
        <v>786320000</v>
      </c>
      <c r="I168" s="3" t="n">
        <v>70623</v>
      </c>
      <c r="J168" s="4" t="n">
        <v>0.36</v>
      </c>
      <c r="K168" s="3" t="n">
        <v>1.068</v>
      </c>
      <c r="L168" s="3" t="n">
        <v>921585</v>
      </c>
      <c r="M168" s="3" t="n">
        <v>796781</v>
      </c>
      <c r="N168" s="3" t="n">
        <v>90</v>
      </c>
      <c r="O168" s="5">
        <f>IF(L168&gt;0,L168-I168,"")</f>
        <v/>
      </c>
      <c r="P168" s="6">
        <f>IF(AND(M168&gt;0,L168&gt;0),M168/L168*100,"")</f>
        <v/>
      </c>
      <c r="Q168" s="7">
        <f>IF(AND(G168&gt;0,F168&gt;0),G168/F168*100,"")</f>
        <v/>
      </c>
      <c r="R168" s="5">
        <f>IF(AND(H168&gt;0,G168&gt;0),H168/G168,"")</f>
        <v/>
      </c>
      <c r="S168" s="8">
        <f>IF(AND(L168&gt;0,G168&gt;0),L168/G168,"")</f>
        <v/>
      </c>
      <c r="T168" s="8">
        <f>IF(AND(M168&gt;0,G168&gt;0),M168/G168,"")</f>
        <v/>
      </c>
      <c r="U168" s="5">
        <f>IF(AND(M168&gt;0,N168&gt;0),M168/N168,"")</f>
        <v/>
      </c>
      <c r="V168" s="6">
        <f>IF(AND(I168&gt;=0,L168&gt;0),I168/L168*100,"")</f>
        <v/>
      </c>
      <c r="W168" s="9">
        <f>IF(AND(L168&gt;0,H168&gt;0,J168&gt;0),(L168-I168)/(H168*J168),"")</f>
        <v/>
      </c>
      <c r="X168" s="5">
        <f>IF(AND(M168&gt;0,N168&gt;0),M168/N168*0.7,"")</f>
        <v/>
      </c>
    </row>
    <row r="169">
      <c r="A169" s="2" t="inlineStr">
        <is>
          <t>2026-04</t>
        </is>
      </c>
      <c r="B169" s="2" t="inlineStr">
        <is>
          <t>金条</t>
        </is>
      </c>
      <c r="C169" s="2" t="inlineStr">
        <is>
          <t>首贷</t>
        </is>
      </c>
      <c r="D169" s="2" t="inlineStr">
        <is>
          <t>人工</t>
        </is>
      </c>
      <c r="E169" s="2" t="inlineStr">
        <is>
          <t>广达陕西</t>
        </is>
      </c>
      <c r="F169" s="3" t="n">
        <v>87540</v>
      </c>
      <c r="G169" s="3" t="n">
        <v>837</v>
      </c>
      <c r="H169" s="3" t="n">
        <v>33362700</v>
      </c>
      <c r="I169" s="3" t="n">
        <v>14092</v>
      </c>
      <c r="J169" s="4" t="n">
        <v>0.07000000000000001</v>
      </c>
      <c r="K169" s="3" t="n">
        <v>1.068</v>
      </c>
      <c r="L169" s="3" t="n">
        <v>159243</v>
      </c>
      <c r="M169" s="3" t="n">
        <v>135909</v>
      </c>
      <c r="N169" s="3" t="n">
        <v>24</v>
      </c>
      <c r="O169" s="5">
        <f>IF(L169&gt;0,L169-I169,"")</f>
        <v/>
      </c>
      <c r="P169" s="6">
        <f>IF(AND(M169&gt;0,L169&gt;0),M169/L169*100,"")</f>
        <v/>
      </c>
      <c r="Q169" s="7">
        <f>IF(AND(G169&gt;0,F169&gt;0),G169/F169*100,"")</f>
        <v/>
      </c>
      <c r="R169" s="5">
        <f>IF(AND(H169&gt;0,G169&gt;0),H169/G169,"")</f>
        <v/>
      </c>
      <c r="S169" s="8">
        <f>IF(AND(L169&gt;0,G169&gt;0),L169/G169,"")</f>
        <v/>
      </c>
      <c r="T169" s="8">
        <f>IF(AND(M169&gt;0,G169&gt;0),M169/G169,"")</f>
        <v/>
      </c>
      <c r="U169" s="5">
        <f>IF(AND(M169&gt;0,N169&gt;0),M169/N169,"")</f>
        <v/>
      </c>
      <c r="V169" s="6">
        <f>IF(AND(I169&gt;=0,L169&gt;0),I169/L169*100,"")</f>
        <v/>
      </c>
      <c r="W169" s="9">
        <f>IF(AND(L169&gt;0,H169&gt;0,J169&gt;0),(L169-I169)/(H169*J169),"")</f>
        <v/>
      </c>
      <c r="X169" s="5">
        <f>IF(AND(M169&gt;0,N169&gt;0),M169/N169*0.7,"")</f>
        <v/>
      </c>
    </row>
    <row r="170">
      <c r="A170" s="2" t="inlineStr">
        <is>
          <t>2026-04</t>
        </is>
      </c>
      <c r="B170" s="2" t="inlineStr">
        <is>
          <t>金条</t>
        </is>
      </c>
      <c r="C170" s="2" t="inlineStr">
        <is>
          <t>复贷</t>
        </is>
      </c>
      <c r="D170" s="2" t="inlineStr">
        <is>
          <t>人工</t>
        </is>
      </c>
      <c r="E170" s="2" t="inlineStr">
        <is>
          <t>广达陕西</t>
        </is>
      </c>
      <c r="F170" s="3" t="n">
        <v>117184</v>
      </c>
      <c r="G170" s="3" t="n">
        <v>6179</v>
      </c>
      <c r="H170" s="3" t="n">
        <v>204581500</v>
      </c>
      <c r="I170" s="3" t="n">
        <v>21566</v>
      </c>
      <c r="J170" s="4" t="n">
        <v>0.36</v>
      </c>
      <c r="K170" s="3" t="n">
        <v>1.068</v>
      </c>
      <c r="L170" s="3" t="n">
        <v>242270</v>
      </c>
      <c r="M170" s="3" t="n">
        <v>206652</v>
      </c>
      <c r="N170" s="3" t="n">
        <v>26</v>
      </c>
      <c r="O170" s="5">
        <f>IF(L170&gt;0,L170-I170,"")</f>
        <v/>
      </c>
      <c r="P170" s="6">
        <f>IF(AND(M170&gt;0,L170&gt;0),M170/L170*100,"")</f>
        <v/>
      </c>
      <c r="Q170" s="7">
        <f>IF(AND(G170&gt;0,F170&gt;0),G170/F170*100,"")</f>
        <v/>
      </c>
      <c r="R170" s="5">
        <f>IF(AND(H170&gt;0,G170&gt;0),H170/G170,"")</f>
        <v/>
      </c>
      <c r="S170" s="8">
        <f>IF(AND(L170&gt;0,G170&gt;0),L170/G170,"")</f>
        <v/>
      </c>
      <c r="T170" s="8">
        <f>IF(AND(M170&gt;0,G170&gt;0),M170/G170,"")</f>
        <v/>
      </c>
      <c r="U170" s="5">
        <f>IF(AND(M170&gt;0,N170&gt;0),M170/N170,"")</f>
        <v/>
      </c>
      <c r="V170" s="6">
        <f>IF(AND(I170&gt;=0,L170&gt;0),I170/L170*100,"")</f>
        <v/>
      </c>
      <c r="W170" s="9">
        <f>IF(AND(L170&gt;0,H170&gt;0,J170&gt;0),(L170-I170)/(H170*J170),"")</f>
        <v/>
      </c>
      <c r="X170" s="5">
        <f>IF(AND(M170&gt;0,N170&gt;0),M170/N170*0.7,"")</f>
        <v/>
      </c>
    </row>
    <row r="171">
      <c r="A171" s="2" t="inlineStr">
        <is>
          <t>2026-04</t>
        </is>
      </c>
      <c r="B171" s="2" t="inlineStr">
        <is>
          <t>金条</t>
        </is>
      </c>
      <c r="C171" s="2" t="inlineStr">
        <is>
          <t>首贷</t>
        </is>
      </c>
      <c r="D171" s="2" t="inlineStr">
        <is>
          <t>人工</t>
        </is>
      </c>
      <c r="E171" s="2" t="inlineStr">
        <is>
          <t>翰锐曲靖</t>
        </is>
      </c>
      <c r="F171" s="3" t="n">
        <v>81032</v>
      </c>
      <c r="G171" s="3" t="n">
        <v>825</v>
      </c>
      <c r="H171" s="3" t="n">
        <v>27136400</v>
      </c>
      <c r="I171" s="3" t="n">
        <v>13525</v>
      </c>
      <c r="J171" s="4" t="n">
        <v>0.07000000000000001</v>
      </c>
      <c r="K171" s="3" t="n">
        <v>1.068</v>
      </c>
      <c r="L171" s="3" t="n">
        <v>131704</v>
      </c>
      <c r="M171" s="3" t="n">
        <v>110654</v>
      </c>
      <c r="N171" s="3" t="n">
        <v>21</v>
      </c>
      <c r="O171" s="5">
        <f>IF(L171&gt;0,L171-I171,"")</f>
        <v/>
      </c>
      <c r="P171" s="6">
        <f>IF(AND(M171&gt;0,L171&gt;0),M171/L171*100,"")</f>
        <v/>
      </c>
      <c r="Q171" s="7">
        <f>IF(AND(G171&gt;0,F171&gt;0),G171/F171*100,"")</f>
        <v/>
      </c>
      <c r="R171" s="5">
        <f>IF(AND(H171&gt;0,G171&gt;0),H171/G171,"")</f>
        <v/>
      </c>
      <c r="S171" s="8">
        <f>IF(AND(L171&gt;0,G171&gt;0),L171/G171,"")</f>
        <v/>
      </c>
      <c r="T171" s="8">
        <f>IF(AND(M171&gt;0,G171&gt;0),M171/G171,"")</f>
        <v/>
      </c>
      <c r="U171" s="5">
        <f>IF(AND(M171&gt;0,N171&gt;0),M171/N171,"")</f>
        <v/>
      </c>
      <c r="V171" s="6">
        <f>IF(AND(I171&gt;=0,L171&gt;0),I171/L171*100,"")</f>
        <v/>
      </c>
      <c r="W171" s="9">
        <f>IF(AND(L171&gt;0,H171&gt;0,J171&gt;0),(L171-I171)/(H171*J171),"")</f>
        <v/>
      </c>
      <c r="X171" s="5">
        <f>IF(AND(M171&gt;0,N171&gt;0),M171/N171*0.7,"")</f>
        <v/>
      </c>
    </row>
    <row r="172">
      <c r="A172" s="2" t="inlineStr">
        <is>
          <t>2026-04</t>
        </is>
      </c>
      <c r="B172" s="2" t="inlineStr">
        <is>
          <t>金条</t>
        </is>
      </c>
      <c r="C172" s="2" t="inlineStr">
        <is>
          <t>复贷</t>
        </is>
      </c>
      <c r="D172" s="2" t="inlineStr">
        <is>
          <t>人工</t>
        </is>
      </c>
      <c r="E172" s="2" t="inlineStr">
        <is>
          <t>翰锐曲靖</t>
        </is>
      </c>
      <c r="F172" s="3" t="n">
        <v>218594</v>
      </c>
      <c r="G172" s="3" t="n">
        <v>12351</v>
      </c>
      <c r="H172" s="3" t="n">
        <v>433713500</v>
      </c>
      <c r="I172" s="3" t="n">
        <v>40427</v>
      </c>
      <c r="J172" s="4" t="n">
        <v>0.36</v>
      </c>
      <c r="K172" s="3" t="n">
        <v>1.068</v>
      </c>
      <c r="L172" s="3" t="n">
        <v>510905</v>
      </c>
      <c r="M172" s="3" t="n">
        <v>440523</v>
      </c>
      <c r="N172" s="3" t="n">
        <v>47</v>
      </c>
      <c r="O172" s="5">
        <f>IF(L172&gt;0,L172-I172,"")</f>
        <v/>
      </c>
      <c r="P172" s="6">
        <f>IF(AND(M172&gt;0,L172&gt;0),M172/L172*100,"")</f>
        <v/>
      </c>
      <c r="Q172" s="7">
        <f>IF(AND(G172&gt;0,F172&gt;0),G172/F172*100,"")</f>
        <v/>
      </c>
      <c r="R172" s="5">
        <f>IF(AND(H172&gt;0,G172&gt;0),H172/G172,"")</f>
        <v/>
      </c>
      <c r="S172" s="8">
        <f>IF(AND(L172&gt;0,G172&gt;0),L172/G172,"")</f>
        <v/>
      </c>
      <c r="T172" s="8">
        <f>IF(AND(M172&gt;0,G172&gt;0),M172/G172,"")</f>
        <v/>
      </c>
      <c r="U172" s="5">
        <f>IF(AND(M172&gt;0,N172&gt;0),M172/N172,"")</f>
        <v/>
      </c>
      <c r="V172" s="6">
        <f>IF(AND(I172&gt;=0,L172&gt;0),I172/L172*100,"")</f>
        <v/>
      </c>
      <c r="W172" s="9">
        <f>IF(AND(L172&gt;0,H172&gt;0,J172&gt;0),(L172-I172)/(H172*J172),"")</f>
        <v/>
      </c>
      <c r="X172" s="5">
        <f>IF(AND(M172&gt;0,N172&gt;0),M172/N172*0.7,"")</f>
        <v/>
      </c>
    </row>
    <row r="173">
      <c r="A173" s="2" t="inlineStr">
        <is>
          <t>2026-04</t>
        </is>
      </c>
      <c r="B173" s="2" t="inlineStr">
        <is>
          <t>金条</t>
        </is>
      </c>
      <c r="C173" s="2" t="inlineStr">
        <is>
          <t>首贷</t>
        </is>
      </c>
      <c r="D173" s="2" t="inlineStr">
        <is>
          <t>人工</t>
        </is>
      </c>
      <c r="E173" s="2" t="inlineStr">
        <is>
          <t>华啸</t>
        </is>
      </c>
      <c r="F173" s="3" t="n">
        <v>21548</v>
      </c>
      <c r="G173" s="3" t="n">
        <v>171</v>
      </c>
      <c r="H173" s="3" t="n">
        <v>4557900</v>
      </c>
      <c r="I173" s="3" t="n">
        <v>3672</v>
      </c>
      <c r="J173" s="4" t="n">
        <v>0.07000000000000001</v>
      </c>
      <c r="K173" s="3" t="n">
        <v>1.068</v>
      </c>
      <c r="L173" s="3" t="n">
        <v>23730</v>
      </c>
      <c r="M173" s="3" t="n">
        <v>18781</v>
      </c>
      <c r="N173" s="3" t="n">
        <v>5</v>
      </c>
      <c r="O173" s="5">
        <f>IF(L173&gt;0,L173-I173,"")</f>
        <v/>
      </c>
      <c r="P173" s="6">
        <f>IF(AND(M173&gt;0,L173&gt;0),M173/L173*100,"")</f>
        <v/>
      </c>
      <c r="Q173" s="7">
        <f>IF(AND(G173&gt;0,F173&gt;0),G173/F173*100,"")</f>
        <v/>
      </c>
      <c r="R173" s="5">
        <f>IF(AND(H173&gt;0,G173&gt;0),H173/G173,"")</f>
        <v/>
      </c>
      <c r="S173" s="8">
        <f>IF(AND(L173&gt;0,G173&gt;0),L173/G173,"")</f>
        <v/>
      </c>
      <c r="T173" s="8">
        <f>IF(AND(M173&gt;0,G173&gt;0),M173/G173,"")</f>
        <v/>
      </c>
      <c r="U173" s="5">
        <f>IF(AND(M173&gt;0,N173&gt;0),M173/N173,"")</f>
        <v/>
      </c>
      <c r="V173" s="6">
        <f>IF(AND(I173&gt;=0,L173&gt;0),I173/L173*100,"")</f>
        <v/>
      </c>
      <c r="W173" s="9">
        <f>IF(AND(L173&gt;0,H173&gt;0,J173&gt;0),(L173-I173)/(H173*J173),"")</f>
        <v/>
      </c>
      <c r="X173" s="5">
        <f>IF(AND(M173&gt;0,N173&gt;0),M173/N173*0.7,"")</f>
        <v/>
      </c>
    </row>
    <row r="174">
      <c r="A174" s="2" t="inlineStr">
        <is>
          <t>2026-04</t>
        </is>
      </c>
      <c r="B174" s="2" t="inlineStr">
        <is>
          <t>金条</t>
        </is>
      </c>
      <c r="C174" s="2" t="inlineStr">
        <is>
          <t>复贷</t>
        </is>
      </c>
      <c r="D174" s="2" t="inlineStr">
        <is>
          <t>人工</t>
        </is>
      </c>
      <c r="E174" s="2" t="inlineStr">
        <is>
          <t>华啸</t>
        </is>
      </c>
      <c r="F174" s="3" t="n">
        <v>120383</v>
      </c>
      <c r="G174" s="3" t="n">
        <v>6691</v>
      </c>
      <c r="H174" s="3" t="n">
        <v>247282400</v>
      </c>
      <c r="I174" s="3" t="n">
        <v>22672</v>
      </c>
      <c r="J174" s="4" t="n">
        <v>0.36</v>
      </c>
      <c r="K174" s="3" t="n">
        <v>1.068</v>
      </c>
      <c r="L174" s="3" t="n">
        <v>290379</v>
      </c>
      <c r="M174" s="3" t="n">
        <v>250662</v>
      </c>
      <c r="N174" s="3" t="n">
        <v>27</v>
      </c>
      <c r="O174" s="5">
        <f>IF(L174&gt;0,L174-I174,"")</f>
        <v/>
      </c>
      <c r="P174" s="6">
        <f>IF(AND(M174&gt;0,L174&gt;0),M174/L174*100,"")</f>
        <v/>
      </c>
      <c r="Q174" s="7">
        <f>IF(AND(G174&gt;0,F174&gt;0),G174/F174*100,"")</f>
        <v/>
      </c>
      <c r="R174" s="5">
        <f>IF(AND(H174&gt;0,G174&gt;0),H174/G174,"")</f>
        <v/>
      </c>
      <c r="S174" s="8">
        <f>IF(AND(L174&gt;0,G174&gt;0),L174/G174,"")</f>
        <v/>
      </c>
      <c r="T174" s="8">
        <f>IF(AND(M174&gt;0,G174&gt;0),M174/G174,"")</f>
        <v/>
      </c>
      <c r="U174" s="5">
        <f>IF(AND(M174&gt;0,N174&gt;0),M174/N174,"")</f>
        <v/>
      </c>
      <c r="V174" s="6">
        <f>IF(AND(I174&gt;=0,L174&gt;0),I174/L174*100,"")</f>
        <v/>
      </c>
      <c r="W174" s="9">
        <f>IF(AND(L174&gt;0,H174&gt;0,J174&gt;0),(L174-I174)/(H174*J174),"")</f>
        <v/>
      </c>
      <c r="X174" s="5">
        <f>IF(AND(M174&gt;0,N174&gt;0),M174/N174*0.7,"")</f>
        <v/>
      </c>
    </row>
    <row r="175">
      <c r="A175" s="2" t="inlineStr">
        <is>
          <t>2026-04</t>
        </is>
      </c>
      <c r="B175" s="2" t="inlineStr">
        <is>
          <t>金条</t>
        </is>
      </c>
      <c r="C175" s="2" t="inlineStr">
        <is>
          <t>首贷</t>
        </is>
      </c>
      <c r="D175" s="2" t="inlineStr">
        <is>
          <t>人工</t>
        </is>
      </c>
      <c r="E175" s="2" t="inlineStr">
        <is>
          <t>汇讯</t>
        </is>
      </c>
      <c r="F175" s="3" t="n">
        <v>262376</v>
      </c>
      <c r="G175" s="3" t="n">
        <v>2264</v>
      </c>
      <c r="H175" s="3" t="n">
        <v>83104000</v>
      </c>
      <c r="I175" s="3" t="n">
        <v>40071</v>
      </c>
      <c r="J175" s="4" t="n">
        <v>0.07000000000000001</v>
      </c>
      <c r="K175" s="3" t="n">
        <v>1.068</v>
      </c>
      <c r="L175" s="3" t="n">
        <v>396858</v>
      </c>
      <c r="M175" s="3" t="n">
        <v>334070</v>
      </c>
      <c r="N175" s="3" t="n">
        <v>70</v>
      </c>
      <c r="O175" s="5">
        <f>IF(L175&gt;0,L175-I175,"")</f>
        <v/>
      </c>
      <c r="P175" s="6">
        <f>IF(AND(M175&gt;0,L175&gt;0),M175/L175*100,"")</f>
        <v/>
      </c>
      <c r="Q175" s="7">
        <f>IF(AND(G175&gt;0,F175&gt;0),G175/F175*100,"")</f>
        <v/>
      </c>
      <c r="R175" s="5">
        <f>IF(AND(H175&gt;0,G175&gt;0),H175/G175,"")</f>
        <v/>
      </c>
      <c r="S175" s="8">
        <f>IF(AND(L175&gt;0,G175&gt;0),L175/G175,"")</f>
        <v/>
      </c>
      <c r="T175" s="8">
        <f>IF(AND(M175&gt;0,G175&gt;0),M175/G175,"")</f>
        <v/>
      </c>
      <c r="U175" s="5">
        <f>IF(AND(M175&gt;0,N175&gt;0),M175/N175,"")</f>
        <v/>
      </c>
      <c r="V175" s="6">
        <f>IF(AND(I175&gt;=0,L175&gt;0),I175/L175*100,"")</f>
        <v/>
      </c>
      <c r="W175" s="9">
        <f>IF(AND(L175&gt;0,H175&gt;0,J175&gt;0),(L175-I175)/(H175*J175),"")</f>
        <v/>
      </c>
      <c r="X175" s="5">
        <f>IF(AND(M175&gt;0,N175&gt;0),M175/N175*0.7,"")</f>
        <v/>
      </c>
    </row>
    <row r="176">
      <c r="A176" s="2" t="inlineStr">
        <is>
          <t>2026-04</t>
        </is>
      </c>
      <c r="B176" s="2" t="inlineStr">
        <is>
          <t>金条</t>
        </is>
      </c>
      <c r="C176" s="2" t="inlineStr">
        <is>
          <t>复贷</t>
        </is>
      </c>
      <c r="D176" s="2" t="inlineStr">
        <is>
          <t>人工</t>
        </is>
      </c>
      <c r="E176" s="2" t="inlineStr">
        <is>
          <t>汇讯</t>
        </is>
      </c>
      <c r="F176" s="3" t="n">
        <v>149478</v>
      </c>
      <c r="G176" s="3" t="n">
        <v>7099</v>
      </c>
      <c r="H176" s="3" t="n">
        <v>248143000</v>
      </c>
      <c r="I176" s="3" t="n">
        <v>21435</v>
      </c>
      <c r="J176" s="4" t="n">
        <v>0.36</v>
      </c>
      <c r="K176" s="3" t="n">
        <v>1.068</v>
      </c>
      <c r="L176" s="3" t="n">
        <v>290619</v>
      </c>
      <c r="M176" s="3" t="n">
        <v>252045</v>
      </c>
      <c r="N176" s="3" t="n">
        <v>33</v>
      </c>
      <c r="O176" s="5">
        <f>IF(L176&gt;0,L176-I176,"")</f>
        <v/>
      </c>
      <c r="P176" s="6">
        <f>IF(AND(M176&gt;0,L176&gt;0),M176/L176*100,"")</f>
        <v/>
      </c>
      <c r="Q176" s="7">
        <f>IF(AND(G176&gt;0,F176&gt;0),G176/F176*100,"")</f>
        <v/>
      </c>
      <c r="R176" s="5">
        <f>IF(AND(H176&gt;0,G176&gt;0),H176/G176,"")</f>
        <v/>
      </c>
      <c r="S176" s="8">
        <f>IF(AND(L176&gt;0,G176&gt;0),L176/G176,"")</f>
        <v/>
      </c>
      <c r="T176" s="8">
        <f>IF(AND(M176&gt;0,G176&gt;0),M176/G176,"")</f>
        <v/>
      </c>
      <c r="U176" s="5">
        <f>IF(AND(M176&gt;0,N176&gt;0),M176/N176,"")</f>
        <v/>
      </c>
      <c r="V176" s="6">
        <f>IF(AND(I176&gt;=0,L176&gt;0),I176/L176*100,"")</f>
        <v/>
      </c>
      <c r="W176" s="9">
        <f>IF(AND(L176&gt;0,H176&gt;0,J176&gt;0),(L176-I176)/(H176*J176),"")</f>
        <v/>
      </c>
      <c r="X176" s="5">
        <f>IF(AND(M176&gt;0,N176&gt;0),M176/N176*0.7,"")</f>
        <v/>
      </c>
    </row>
    <row r="177">
      <c r="A177" s="2" t="inlineStr">
        <is>
          <t>2026-04</t>
        </is>
      </c>
      <c r="B177" s="2" t="inlineStr">
        <is>
          <t>金条</t>
        </is>
      </c>
      <c r="C177" s="2" t="inlineStr">
        <is>
          <t>首贷</t>
        </is>
      </c>
      <c r="D177" s="2" t="inlineStr">
        <is>
          <t>人工</t>
        </is>
      </c>
      <c r="E177" s="2" t="inlineStr">
        <is>
          <t>毛毛虫</t>
        </is>
      </c>
      <c r="F177" s="3" t="n">
        <v>596991</v>
      </c>
      <c r="G177" s="3" t="n">
        <v>5946</v>
      </c>
      <c r="H177" s="3" t="n">
        <v>223125400</v>
      </c>
      <c r="I177" s="3" t="n">
        <v>96070</v>
      </c>
      <c r="J177" s="4" t="n">
        <v>0.07000000000000001</v>
      </c>
      <c r="K177" s="3" t="n">
        <v>1.068</v>
      </c>
      <c r="L177" s="3" t="n">
        <v>1119076</v>
      </c>
      <c r="M177" s="3" t="n">
        <v>957871</v>
      </c>
      <c r="N177" s="3" t="n">
        <v>158</v>
      </c>
      <c r="O177" s="5">
        <f>IF(L177&gt;0,L177-I177,"")</f>
        <v/>
      </c>
      <c r="P177" s="6">
        <f>IF(AND(M177&gt;0,L177&gt;0),M177/L177*100,"")</f>
        <v/>
      </c>
      <c r="Q177" s="7">
        <f>IF(AND(G177&gt;0,F177&gt;0),G177/F177*100,"")</f>
        <v/>
      </c>
      <c r="R177" s="5">
        <f>IF(AND(H177&gt;0,G177&gt;0),H177/G177,"")</f>
        <v/>
      </c>
      <c r="S177" s="8">
        <f>IF(AND(L177&gt;0,G177&gt;0),L177/G177,"")</f>
        <v/>
      </c>
      <c r="T177" s="8">
        <f>IF(AND(M177&gt;0,G177&gt;0),M177/G177,"")</f>
        <v/>
      </c>
      <c r="U177" s="5">
        <f>IF(AND(M177&gt;0,N177&gt;0),M177/N177,"")</f>
        <v/>
      </c>
      <c r="V177" s="6">
        <f>IF(AND(I177&gt;=0,L177&gt;0),I177/L177*100,"")</f>
        <v/>
      </c>
      <c r="W177" s="9">
        <f>IF(AND(L177&gt;0,H177&gt;0,J177&gt;0),(L177-I177)/(H177*J177),"")</f>
        <v/>
      </c>
      <c r="X177" s="5">
        <f>IF(AND(M177&gt;0,N177&gt;0),M177/N177*0.7,"")</f>
        <v/>
      </c>
    </row>
    <row r="178">
      <c r="A178" s="2" t="inlineStr">
        <is>
          <t>2026-04</t>
        </is>
      </c>
      <c r="B178" s="2" t="inlineStr">
        <is>
          <t>金条</t>
        </is>
      </c>
      <c r="C178" s="2" t="inlineStr">
        <is>
          <t>复贷</t>
        </is>
      </c>
      <c r="D178" s="2" t="inlineStr">
        <is>
          <t>人工</t>
        </is>
      </c>
      <c r="E178" s="2" t="inlineStr">
        <is>
          <t>毛毛虫</t>
        </is>
      </c>
      <c r="F178" s="3" t="n">
        <v>261507</v>
      </c>
      <c r="G178" s="3" t="n">
        <v>13761</v>
      </c>
      <c r="H178" s="3" t="n">
        <v>550516200</v>
      </c>
      <c r="I178" s="3" t="n">
        <v>45503</v>
      </c>
      <c r="J178" s="4" t="n">
        <v>0.36</v>
      </c>
      <c r="K178" s="3" t="n">
        <v>1.068</v>
      </c>
      <c r="L178" s="3" t="n">
        <v>669851</v>
      </c>
      <c r="M178" s="3" t="n">
        <v>584595</v>
      </c>
      <c r="N178" s="3" t="n">
        <v>58</v>
      </c>
      <c r="O178" s="5">
        <f>IF(L178&gt;0,L178-I178,"")</f>
        <v/>
      </c>
      <c r="P178" s="6">
        <f>IF(AND(M178&gt;0,L178&gt;0),M178/L178*100,"")</f>
        <v/>
      </c>
      <c r="Q178" s="7">
        <f>IF(AND(G178&gt;0,F178&gt;0),G178/F178*100,"")</f>
        <v/>
      </c>
      <c r="R178" s="5">
        <f>IF(AND(H178&gt;0,G178&gt;0),H178/G178,"")</f>
        <v/>
      </c>
      <c r="S178" s="8">
        <f>IF(AND(L178&gt;0,G178&gt;0),L178/G178,"")</f>
        <v/>
      </c>
      <c r="T178" s="8">
        <f>IF(AND(M178&gt;0,G178&gt;0),M178/G178,"")</f>
        <v/>
      </c>
      <c r="U178" s="5">
        <f>IF(AND(M178&gt;0,N178&gt;0),M178/N178,"")</f>
        <v/>
      </c>
      <c r="V178" s="6">
        <f>IF(AND(I178&gt;=0,L178&gt;0),I178/L178*100,"")</f>
        <v/>
      </c>
      <c r="W178" s="9">
        <f>IF(AND(L178&gt;0,H178&gt;0,J178&gt;0),(L178-I178)/(H178*J178),"")</f>
        <v/>
      </c>
      <c r="X178" s="5">
        <f>IF(AND(M178&gt;0,N178&gt;0),M178/N178*0.7,"")</f>
        <v/>
      </c>
    </row>
    <row r="179">
      <c r="A179" s="2" t="inlineStr">
        <is>
          <t>2026-04</t>
        </is>
      </c>
      <c r="B179" s="2" t="inlineStr">
        <is>
          <t>金条</t>
        </is>
      </c>
      <c r="C179" s="2" t="inlineStr">
        <is>
          <t>首贷</t>
        </is>
      </c>
      <c r="D179" s="2" t="inlineStr">
        <is>
          <t>人工</t>
        </is>
      </c>
      <c r="E179" s="2" t="inlineStr">
        <is>
          <t>岐力</t>
        </is>
      </c>
      <c r="F179" s="3" t="n">
        <v>26480</v>
      </c>
      <c r="G179" s="3" t="n">
        <v>231</v>
      </c>
      <c r="H179" s="3" t="n">
        <v>5671200</v>
      </c>
      <c r="I179" s="3" t="n">
        <v>4048</v>
      </c>
      <c r="J179" s="4" t="n">
        <v>0.07000000000000001</v>
      </c>
      <c r="K179" s="3" t="n">
        <v>1.068</v>
      </c>
      <c r="L179" s="3" t="n">
        <v>26870</v>
      </c>
      <c r="M179" s="3" t="n">
        <v>21369</v>
      </c>
      <c r="N179" s="3" t="n">
        <v>7</v>
      </c>
      <c r="O179" s="5">
        <f>IF(L179&gt;0,L179-I179,"")</f>
        <v/>
      </c>
      <c r="P179" s="6">
        <f>IF(AND(M179&gt;0,L179&gt;0),M179/L179*100,"")</f>
        <v/>
      </c>
      <c r="Q179" s="7">
        <f>IF(AND(G179&gt;0,F179&gt;0),G179/F179*100,"")</f>
        <v/>
      </c>
      <c r="R179" s="5">
        <f>IF(AND(H179&gt;0,G179&gt;0),H179/G179,"")</f>
        <v/>
      </c>
      <c r="S179" s="8">
        <f>IF(AND(L179&gt;0,G179&gt;0),L179/G179,"")</f>
        <v/>
      </c>
      <c r="T179" s="8">
        <f>IF(AND(M179&gt;0,G179&gt;0),M179/G179,"")</f>
        <v/>
      </c>
      <c r="U179" s="5">
        <f>IF(AND(M179&gt;0,N179&gt;0),M179/N179,"")</f>
        <v/>
      </c>
      <c r="V179" s="6">
        <f>IF(AND(I179&gt;=0,L179&gt;0),I179/L179*100,"")</f>
        <v/>
      </c>
      <c r="W179" s="9">
        <f>IF(AND(L179&gt;0,H179&gt;0,J179&gt;0),(L179-I179)/(H179*J179),"")</f>
        <v/>
      </c>
      <c r="X179" s="5">
        <f>IF(AND(M179&gt;0,N179&gt;0),M179/N179*0.7,"")</f>
        <v/>
      </c>
    </row>
    <row r="180">
      <c r="A180" s="2" t="inlineStr">
        <is>
          <t>2026-04</t>
        </is>
      </c>
      <c r="B180" s="2" t="inlineStr">
        <is>
          <t>金条</t>
        </is>
      </c>
      <c r="C180" s="2" t="inlineStr">
        <is>
          <t>复贷</t>
        </is>
      </c>
      <c r="D180" s="2" t="inlineStr">
        <is>
          <t>人工</t>
        </is>
      </c>
      <c r="E180" s="2" t="inlineStr">
        <is>
          <t>岐力</t>
        </is>
      </c>
      <c r="F180" s="3" t="n">
        <v>282012</v>
      </c>
      <c r="G180" s="3" t="n">
        <v>14182</v>
      </c>
      <c r="H180" s="3" t="n">
        <v>486882100</v>
      </c>
      <c r="I180" s="3" t="n">
        <v>43453</v>
      </c>
      <c r="J180" s="4" t="n">
        <v>0.36</v>
      </c>
      <c r="K180" s="3" t="n">
        <v>1.068</v>
      </c>
      <c r="L180" s="3" t="n">
        <v>579012</v>
      </c>
      <c r="M180" s="3" t="n">
        <v>501460</v>
      </c>
      <c r="N180" s="3" t="n">
        <v>60</v>
      </c>
      <c r="O180" s="5">
        <f>IF(L180&gt;0,L180-I180,"")</f>
        <v/>
      </c>
      <c r="P180" s="6">
        <f>IF(AND(M180&gt;0,L180&gt;0),M180/L180*100,"")</f>
        <v/>
      </c>
      <c r="Q180" s="7">
        <f>IF(AND(G180&gt;0,F180&gt;0),G180/F180*100,"")</f>
        <v/>
      </c>
      <c r="R180" s="5">
        <f>IF(AND(H180&gt;0,G180&gt;0),H180/G180,"")</f>
        <v/>
      </c>
      <c r="S180" s="8">
        <f>IF(AND(L180&gt;0,G180&gt;0),L180/G180,"")</f>
        <v/>
      </c>
      <c r="T180" s="8">
        <f>IF(AND(M180&gt;0,G180&gt;0),M180/G180,"")</f>
        <v/>
      </c>
      <c r="U180" s="5">
        <f>IF(AND(M180&gt;0,N180&gt;0),M180/N180,"")</f>
        <v/>
      </c>
      <c r="V180" s="6">
        <f>IF(AND(I180&gt;=0,L180&gt;0),I180/L180*100,"")</f>
        <v/>
      </c>
      <c r="W180" s="9">
        <f>IF(AND(L180&gt;0,H180&gt;0,J180&gt;0),(L180-I180)/(H180*J180),"")</f>
        <v/>
      </c>
      <c r="X180" s="5">
        <f>IF(AND(M180&gt;0,N180&gt;0),M180/N180*0.7,"")</f>
        <v/>
      </c>
    </row>
    <row r="181">
      <c r="A181" s="2" t="inlineStr">
        <is>
          <t>2026-04</t>
        </is>
      </c>
      <c r="B181" s="2" t="inlineStr">
        <is>
          <t>金条</t>
        </is>
      </c>
      <c r="C181" s="2" t="inlineStr">
        <is>
          <t>首贷</t>
        </is>
      </c>
      <c r="D181" s="2" t="inlineStr">
        <is>
          <t>人工</t>
        </is>
      </c>
      <c r="E181" s="2" t="inlineStr">
        <is>
          <t>人和</t>
        </is>
      </c>
      <c r="F181" s="3" t="n">
        <v>60606</v>
      </c>
      <c r="G181" s="3" t="n">
        <v>591</v>
      </c>
      <c r="H181" s="3" t="n">
        <v>17503200</v>
      </c>
      <c r="I181" s="3" t="n">
        <v>10805</v>
      </c>
      <c r="J181" s="4" t="n">
        <v>0.07000000000000001</v>
      </c>
      <c r="K181" s="3" t="n">
        <v>1.068</v>
      </c>
      <c r="L181" s="3" t="n">
        <v>85660</v>
      </c>
      <c r="M181" s="3" t="n">
        <v>70089</v>
      </c>
      <c r="N181" s="3" t="n">
        <v>17</v>
      </c>
      <c r="O181" s="5">
        <f>IF(L181&gt;0,L181-I181,"")</f>
        <v/>
      </c>
      <c r="P181" s="6">
        <f>IF(AND(M181&gt;0,L181&gt;0),M181/L181*100,"")</f>
        <v/>
      </c>
      <c r="Q181" s="7">
        <f>IF(AND(G181&gt;0,F181&gt;0),G181/F181*100,"")</f>
        <v/>
      </c>
      <c r="R181" s="5">
        <f>IF(AND(H181&gt;0,G181&gt;0),H181/G181,"")</f>
        <v/>
      </c>
      <c r="S181" s="8">
        <f>IF(AND(L181&gt;0,G181&gt;0),L181/G181,"")</f>
        <v/>
      </c>
      <c r="T181" s="8">
        <f>IF(AND(M181&gt;0,G181&gt;0),M181/G181,"")</f>
        <v/>
      </c>
      <c r="U181" s="5">
        <f>IF(AND(M181&gt;0,N181&gt;0),M181/N181,"")</f>
        <v/>
      </c>
      <c r="V181" s="6">
        <f>IF(AND(I181&gt;=0,L181&gt;0),I181/L181*100,"")</f>
        <v/>
      </c>
      <c r="W181" s="9">
        <f>IF(AND(L181&gt;0,H181&gt;0,J181&gt;0),(L181-I181)/(H181*J181),"")</f>
        <v/>
      </c>
      <c r="X181" s="5">
        <f>IF(AND(M181&gt;0,N181&gt;0),M181/N181*0.7,"")</f>
        <v/>
      </c>
    </row>
    <row r="182">
      <c r="A182" s="2" t="inlineStr">
        <is>
          <t>2026-04</t>
        </is>
      </c>
      <c r="B182" s="2" t="inlineStr">
        <is>
          <t>金条</t>
        </is>
      </c>
      <c r="C182" s="2" t="inlineStr">
        <is>
          <t>复贷</t>
        </is>
      </c>
      <c r="D182" s="2" t="inlineStr">
        <is>
          <t>人工</t>
        </is>
      </c>
      <c r="E182" s="2" t="inlineStr">
        <is>
          <t>人和</t>
        </is>
      </c>
      <c r="F182" s="3" t="n">
        <v>83636</v>
      </c>
      <c r="G182" s="3" t="n">
        <v>4760</v>
      </c>
      <c r="H182" s="3" t="n">
        <v>162907500</v>
      </c>
      <c r="I182" s="3" t="n">
        <v>15073</v>
      </c>
      <c r="J182" s="4" t="n">
        <v>0.36</v>
      </c>
      <c r="K182" s="3" t="n">
        <v>1.068</v>
      </c>
      <c r="L182" s="3" t="n">
        <v>190367</v>
      </c>
      <c r="M182" s="3" t="n">
        <v>164133</v>
      </c>
      <c r="N182" s="3" t="n">
        <v>18</v>
      </c>
      <c r="O182" s="5">
        <f>IF(L182&gt;0,L182-I182,"")</f>
        <v/>
      </c>
      <c r="P182" s="6">
        <f>IF(AND(M182&gt;0,L182&gt;0),M182/L182*100,"")</f>
        <v/>
      </c>
      <c r="Q182" s="7">
        <f>IF(AND(G182&gt;0,F182&gt;0),G182/F182*100,"")</f>
        <v/>
      </c>
      <c r="R182" s="5">
        <f>IF(AND(H182&gt;0,G182&gt;0),H182/G182,"")</f>
        <v/>
      </c>
      <c r="S182" s="8">
        <f>IF(AND(L182&gt;0,G182&gt;0),L182/G182,"")</f>
        <v/>
      </c>
      <c r="T182" s="8">
        <f>IF(AND(M182&gt;0,G182&gt;0),M182/G182,"")</f>
        <v/>
      </c>
      <c r="U182" s="5">
        <f>IF(AND(M182&gt;0,N182&gt;0),M182/N182,"")</f>
        <v/>
      </c>
      <c r="V182" s="6">
        <f>IF(AND(I182&gt;=0,L182&gt;0),I182/L182*100,"")</f>
        <v/>
      </c>
      <c r="W182" s="9">
        <f>IF(AND(L182&gt;0,H182&gt;0,J182&gt;0),(L182-I182)/(H182*J182),"")</f>
        <v/>
      </c>
      <c r="X182" s="5">
        <f>IF(AND(M182&gt;0,N182&gt;0),M182/N182*0.7,"")</f>
        <v/>
      </c>
    </row>
    <row r="183">
      <c r="A183" s="2" t="inlineStr">
        <is>
          <t>2026-04</t>
        </is>
      </c>
      <c r="B183" s="2" t="inlineStr">
        <is>
          <t>金条</t>
        </is>
      </c>
      <c r="C183" s="2" t="inlineStr">
        <is>
          <t>首贷</t>
        </is>
      </c>
      <c r="D183" s="2" t="inlineStr">
        <is>
          <t>人工</t>
        </is>
      </c>
      <c r="E183" s="2" t="inlineStr">
        <is>
          <t>赛维斯</t>
        </is>
      </c>
      <c r="F183" s="3" t="n">
        <v>204155</v>
      </c>
      <c r="G183" s="3" t="n">
        <v>2048</v>
      </c>
      <c r="H183" s="3" t="n">
        <v>76058700</v>
      </c>
      <c r="I183" s="3" t="n">
        <v>33469</v>
      </c>
      <c r="J183" s="4" t="n">
        <v>0.07000000000000001</v>
      </c>
      <c r="K183" s="3" t="n">
        <v>1.068</v>
      </c>
      <c r="L183" s="3" t="n">
        <v>384218</v>
      </c>
      <c r="M183" s="3" t="n">
        <v>328417</v>
      </c>
      <c r="N183" s="3" t="n">
        <v>54</v>
      </c>
      <c r="O183" s="5">
        <f>IF(L183&gt;0,L183-I183,"")</f>
        <v/>
      </c>
      <c r="P183" s="6">
        <f>IF(AND(M183&gt;0,L183&gt;0),M183/L183*100,"")</f>
        <v/>
      </c>
      <c r="Q183" s="7">
        <f>IF(AND(G183&gt;0,F183&gt;0),G183/F183*100,"")</f>
        <v/>
      </c>
      <c r="R183" s="5">
        <f>IF(AND(H183&gt;0,G183&gt;0),H183/G183,"")</f>
        <v/>
      </c>
      <c r="S183" s="8">
        <f>IF(AND(L183&gt;0,G183&gt;0),L183/G183,"")</f>
        <v/>
      </c>
      <c r="T183" s="8">
        <f>IF(AND(M183&gt;0,G183&gt;0),M183/G183,"")</f>
        <v/>
      </c>
      <c r="U183" s="5">
        <f>IF(AND(M183&gt;0,N183&gt;0),M183/N183,"")</f>
        <v/>
      </c>
      <c r="V183" s="6">
        <f>IF(AND(I183&gt;=0,L183&gt;0),I183/L183*100,"")</f>
        <v/>
      </c>
      <c r="W183" s="9">
        <f>IF(AND(L183&gt;0,H183&gt;0,J183&gt;0),(L183-I183)/(H183*J183),"")</f>
        <v/>
      </c>
      <c r="X183" s="5">
        <f>IF(AND(M183&gt;0,N183&gt;0),M183/N183*0.7,"")</f>
        <v/>
      </c>
    </row>
    <row r="184">
      <c r="A184" s="2" t="inlineStr">
        <is>
          <t>2026-04</t>
        </is>
      </c>
      <c r="B184" s="2" t="inlineStr">
        <is>
          <t>金条</t>
        </is>
      </c>
      <c r="C184" s="2" t="inlineStr">
        <is>
          <t>复贷</t>
        </is>
      </c>
      <c r="D184" s="2" t="inlineStr">
        <is>
          <t>人工</t>
        </is>
      </c>
      <c r="E184" s="2" t="inlineStr">
        <is>
          <t>赛维斯</t>
        </is>
      </c>
      <c r="F184" s="3" t="n">
        <v>369802</v>
      </c>
      <c r="G184" s="3" t="n">
        <v>19239</v>
      </c>
      <c r="H184" s="3" t="n">
        <v>671456400</v>
      </c>
      <c r="I184" s="3" t="n">
        <v>65337</v>
      </c>
      <c r="J184" s="4" t="n">
        <v>0.36</v>
      </c>
      <c r="K184" s="3" t="n">
        <v>1.068</v>
      </c>
      <c r="L184" s="3" t="n">
        <v>815130</v>
      </c>
      <c r="M184" s="3" t="n">
        <v>702053</v>
      </c>
      <c r="N184" s="3" t="n">
        <v>82</v>
      </c>
      <c r="O184" s="5">
        <f>IF(L184&gt;0,L184-I184,"")</f>
        <v/>
      </c>
      <c r="P184" s="6">
        <f>IF(AND(M184&gt;0,L184&gt;0),M184/L184*100,"")</f>
        <v/>
      </c>
      <c r="Q184" s="7">
        <f>IF(AND(G184&gt;0,F184&gt;0),G184/F184*100,"")</f>
        <v/>
      </c>
      <c r="R184" s="5">
        <f>IF(AND(H184&gt;0,G184&gt;0),H184/G184,"")</f>
        <v/>
      </c>
      <c r="S184" s="8">
        <f>IF(AND(L184&gt;0,G184&gt;0),L184/G184,"")</f>
        <v/>
      </c>
      <c r="T184" s="8">
        <f>IF(AND(M184&gt;0,G184&gt;0),M184/G184,"")</f>
        <v/>
      </c>
      <c r="U184" s="5">
        <f>IF(AND(M184&gt;0,N184&gt;0),M184/N184,"")</f>
        <v/>
      </c>
      <c r="V184" s="6">
        <f>IF(AND(I184&gt;=0,L184&gt;0),I184/L184*100,"")</f>
        <v/>
      </c>
      <c r="W184" s="9">
        <f>IF(AND(L184&gt;0,H184&gt;0,J184&gt;0),(L184-I184)/(H184*J184),"")</f>
        <v/>
      </c>
      <c r="X184" s="5">
        <f>IF(AND(M184&gt;0,N184&gt;0),M184/N184*0.7,"")</f>
        <v/>
      </c>
    </row>
    <row r="185">
      <c r="A185" s="2" t="inlineStr">
        <is>
          <t>2026-04</t>
        </is>
      </c>
      <c r="B185" s="2" t="inlineStr">
        <is>
          <t>金条</t>
        </is>
      </c>
      <c r="C185" s="2" t="inlineStr">
        <is>
          <t>首贷</t>
        </is>
      </c>
      <c r="D185" s="2" t="inlineStr">
        <is>
          <t>人工</t>
        </is>
      </c>
      <c r="E185" s="2" t="inlineStr">
        <is>
          <t>宿迁兆科</t>
        </is>
      </c>
      <c r="F185" s="3" t="n">
        <v>36482</v>
      </c>
      <c r="G185" s="3" t="n">
        <v>332</v>
      </c>
      <c r="H185" s="3" t="n">
        <v>5957600</v>
      </c>
      <c r="I185" s="3" t="n">
        <v>6018</v>
      </c>
      <c r="J185" s="4" t="n">
        <v>0.07000000000000001</v>
      </c>
      <c r="K185" s="3" t="n">
        <v>1.068</v>
      </c>
      <c r="L185" s="3" t="n">
        <v>29188</v>
      </c>
      <c r="M185" s="3" t="n">
        <v>21695</v>
      </c>
      <c r="N185" s="3" t="n">
        <v>10</v>
      </c>
      <c r="O185" s="5">
        <f>IF(L185&gt;0,L185-I185,"")</f>
        <v/>
      </c>
      <c r="P185" s="6">
        <f>IF(AND(M185&gt;0,L185&gt;0),M185/L185*100,"")</f>
        <v/>
      </c>
      <c r="Q185" s="7">
        <f>IF(AND(G185&gt;0,F185&gt;0),G185/F185*100,"")</f>
        <v/>
      </c>
      <c r="R185" s="5">
        <f>IF(AND(H185&gt;0,G185&gt;0),H185/G185,"")</f>
        <v/>
      </c>
      <c r="S185" s="8">
        <f>IF(AND(L185&gt;0,G185&gt;0),L185/G185,"")</f>
        <v/>
      </c>
      <c r="T185" s="8">
        <f>IF(AND(M185&gt;0,G185&gt;0),M185/G185,"")</f>
        <v/>
      </c>
      <c r="U185" s="5">
        <f>IF(AND(M185&gt;0,N185&gt;0),M185/N185,"")</f>
        <v/>
      </c>
      <c r="V185" s="6">
        <f>IF(AND(I185&gt;=0,L185&gt;0),I185/L185*100,"")</f>
        <v/>
      </c>
      <c r="W185" s="9">
        <f>IF(AND(L185&gt;0,H185&gt;0,J185&gt;0),(L185-I185)/(H185*J185),"")</f>
        <v/>
      </c>
      <c r="X185" s="5">
        <f>IF(AND(M185&gt;0,N185&gt;0),M185/N185*0.7,"")</f>
        <v/>
      </c>
    </row>
    <row r="186">
      <c r="A186" s="2" t="inlineStr">
        <is>
          <t>2026-04</t>
        </is>
      </c>
      <c r="B186" s="2" t="inlineStr">
        <is>
          <t>金条</t>
        </is>
      </c>
      <c r="C186" s="2" t="inlineStr">
        <is>
          <t>复贷</t>
        </is>
      </c>
      <c r="D186" s="2" t="inlineStr">
        <is>
          <t>人工</t>
        </is>
      </c>
      <c r="E186" s="2" t="inlineStr">
        <is>
          <t>宿迁兆科</t>
        </is>
      </c>
      <c r="F186" s="3" t="n">
        <v>57318</v>
      </c>
      <c r="G186" s="3" t="n">
        <v>2723</v>
      </c>
      <c r="H186" s="3" t="n">
        <v>96523400</v>
      </c>
      <c r="I186" s="3" t="n">
        <v>7532</v>
      </c>
      <c r="J186" s="4" t="n">
        <v>0.36</v>
      </c>
      <c r="K186" s="3" t="n">
        <v>1.068</v>
      </c>
      <c r="L186" s="3" t="n">
        <v>113288</v>
      </c>
      <c r="M186" s="3" t="n">
        <v>99022</v>
      </c>
      <c r="N186" s="3" t="n">
        <v>13</v>
      </c>
      <c r="O186" s="5">
        <f>IF(L186&gt;0,L186-I186,"")</f>
        <v/>
      </c>
      <c r="P186" s="6">
        <f>IF(AND(M186&gt;0,L186&gt;0),M186/L186*100,"")</f>
        <v/>
      </c>
      <c r="Q186" s="7">
        <f>IF(AND(G186&gt;0,F186&gt;0),G186/F186*100,"")</f>
        <v/>
      </c>
      <c r="R186" s="5">
        <f>IF(AND(H186&gt;0,G186&gt;0),H186/G186,"")</f>
        <v/>
      </c>
      <c r="S186" s="8">
        <f>IF(AND(L186&gt;0,G186&gt;0),L186/G186,"")</f>
        <v/>
      </c>
      <c r="T186" s="8">
        <f>IF(AND(M186&gt;0,G186&gt;0),M186/G186,"")</f>
        <v/>
      </c>
      <c r="U186" s="5">
        <f>IF(AND(M186&gt;0,N186&gt;0),M186/N186,"")</f>
        <v/>
      </c>
      <c r="V186" s="6">
        <f>IF(AND(I186&gt;=0,L186&gt;0),I186/L186*100,"")</f>
        <v/>
      </c>
      <c r="W186" s="9">
        <f>IF(AND(L186&gt;0,H186&gt;0,J186&gt;0),(L186-I186)/(H186*J186),"")</f>
        <v/>
      </c>
      <c r="X186" s="5">
        <f>IF(AND(M186&gt;0,N186&gt;0),M186/N186*0.7,"")</f>
        <v/>
      </c>
    </row>
    <row r="187">
      <c r="A187" s="2" t="inlineStr">
        <is>
          <t>2026-04</t>
        </is>
      </c>
      <c r="B187" s="2" t="inlineStr">
        <is>
          <t>金条</t>
        </is>
      </c>
      <c r="C187" s="2" t="inlineStr">
        <is>
          <t>首贷</t>
        </is>
      </c>
      <c r="D187" s="2" t="inlineStr">
        <is>
          <t>人工</t>
        </is>
      </c>
      <c r="E187" s="2" t="inlineStr">
        <is>
          <t>毅航合肥</t>
        </is>
      </c>
      <c r="F187" s="3" t="n">
        <v>784928</v>
      </c>
      <c r="G187" s="3" t="n">
        <v>8618</v>
      </c>
      <c r="H187" s="3" t="n">
        <v>322973600</v>
      </c>
      <c r="I187" s="3" t="n">
        <v>136891</v>
      </c>
      <c r="J187" s="4" t="n">
        <v>0.07000000000000001</v>
      </c>
      <c r="K187" s="3" t="n">
        <v>1.068</v>
      </c>
      <c r="L187" s="3" t="n">
        <v>1582213</v>
      </c>
      <c r="M187" s="3" t="n">
        <v>1353298</v>
      </c>
      <c r="N187" s="3" t="n">
        <v>206</v>
      </c>
      <c r="O187" s="5">
        <f>IF(L187&gt;0,L187-I187,"")</f>
        <v/>
      </c>
      <c r="P187" s="6">
        <f>IF(AND(M187&gt;0,L187&gt;0),M187/L187*100,"")</f>
        <v/>
      </c>
      <c r="Q187" s="7">
        <f>IF(AND(G187&gt;0,F187&gt;0),G187/F187*100,"")</f>
        <v/>
      </c>
      <c r="R187" s="5">
        <f>IF(AND(H187&gt;0,G187&gt;0),H187/G187,"")</f>
        <v/>
      </c>
      <c r="S187" s="8">
        <f>IF(AND(L187&gt;0,G187&gt;0),L187/G187,"")</f>
        <v/>
      </c>
      <c r="T187" s="8">
        <f>IF(AND(M187&gt;0,G187&gt;0),M187/G187,"")</f>
        <v/>
      </c>
      <c r="U187" s="5">
        <f>IF(AND(M187&gt;0,N187&gt;0),M187/N187,"")</f>
        <v/>
      </c>
      <c r="V187" s="6">
        <f>IF(AND(I187&gt;=0,L187&gt;0),I187/L187*100,"")</f>
        <v/>
      </c>
      <c r="W187" s="9">
        <f>IF(AND(L187&gt;0,H187&gt;0,J187&gt;0),(L187-I187)/(H187*J187),"")</f>
        <v/>
      </c>
      <c r="X187" s="5">
        <f>IF(AND(M187&gt;0,N187&gt;0),M187/N187*0.7,"")</f>
        <v/>
      </c>
    </row>
    <row r="188">
      <c r="A188" s="2" t="inlineStr">
        <is>
          <t>2026-04</t>
        </is>
      </c>
      <c r="B188" s="2" t="inlineStr">
        <is>
          <t>金条</t>
        </is>
      </c>
      <c r="C188" s="2" t="inlineStr">
        <is>
          <t>复贷</t>
        </is>
      </c>
      <c r="D188" s="2" t="inlineStr">
        <is>
          <t>人工</t>
        </is>
      </c>
      <c r="E188" s="2" t="inlineStr">
        <is>
          <t>毅航合肥</t>
        </is>
      </c>
      <c r="F188" s="3" t="n">
        <v>719622</v>
      </c>
      <c r="G188" s="3" t="n">
        <v>36827</v>
      </c>
      <c r="H188" s="3" t="n">
        <v>1646275300</v>
      </c>
      <c r="I188" s="3" t="n">
        <v>127047</v>
      </c>
      <c r="J188" s="4" t="n">
        <v>0.36</v>
      </c>
      <c r="K188" s="3" t="n">
        <v>1.068</v>
      </c>
      <c r="L188" s="3" t="n">
        <v>1972517</v>
      </c>
      <c r="M188" s="3" t="n">
        <v>1727967</v>
      </c>
      <c r="N188" s="3" t="n">
        <v>159</v>
      </c>
      <c r="O188" s="5">
        <f>IF(L188&gt;0,L188-I188,"")</f>
        <v/>
      </c>
      <c r="P188" s="6">
        <f>IF(AND(M188&gt;0,L188&gt;0),M188/L188*100,"")</f>
        <v/>
      </c>
      <c r="Q188" s="7">
        <f>IF(AND(G188&gt;0,F188&gt;0),G188/F188*100,"")</f>
        <v/>
      </c>
      <c r="R188" s="5">
        <f>IF(AND(H188&gt;0,G188&gt;0),H188/G188,"")</f>
        <v/>
      </c>
      <c r="S188" s="8">
        <f>IF(AND(L188&gt;0,G188&gt;0),L188/G188,"")</f>
        <v/>
      </c>
      <c r="T188" s="8">
        <f>IF(AND(M188&gt;0,G188&gt;0),M188/G188,"")</f>
        <v/>
      </c>
      <c r="U188" s="5">
        <f>IF(AND(M188&gt;0,N188&gt;0),M188/N188,"")</f>
        <v/>
      </c>
      <c r="V188" s="6">
        <f>IF(AND(I188&gt;=0,L188&gt;0),I188/L188*100,"")</f>
        <v/>
      </c>
      <c r="W188" s="9">
        <f>IF(AND(L188&gt;0,H188&gt;0,J188&gt;0),(L188-I188)/(H188*J188),"")</f>
        <v/>
      </c>
      <c r="X188" s="5">
        <f>IF(AND(M188&gt;0,N188&gt;0),M188/N188*0.7,"")</f>
        <v/>
      </c>
    </row>
    <row r="189">
      <c r="A189" s="2" t="inlineStr">
        <is>
          <t>2026-04</t>
        </is>
      </c>
      <c r="B189" s="2" t="inlineStr">
        <is>
          <t>金条</t>
        </is>
      </c>
      <c r="C189" s="2" t="inlineStr">
        <is>
          <t>首贷</t>
        </is>
      </c>
      <c r="D189" s="2" t="inlineStr">
        <is>
          <t>纯机</t>
        </is>
      </c>
      <c r="E189" s="2" t="inlineStr">
        <is>
          <t>电话邦</t>
        </is>
      </c>
      <c r="F189" s="3" t="n">
        <v>774909</v>
      </c>
      <c r="G189" s="3" t="n">
        <v>522</v>
      </c>
      <c r="H189" s="3" t="n">
        <v>4807700</v>
      </c>
      <c r="I189" s="3" t="n">
        <v>75273</v>
      </c>
      <c r="J189" s="4" t="n">
        <v>0.07000000000000001</v>
      </c>
      <c r="K189" s="3" t="n">
        <v>1.068</v>
      </c>
      <c r="L189" s="3" t="n">
        <v>72819</v>
      </c>
      <c r="M189" s="3" t="n">
        <v>-2298</v>
      </c>
      <c r="N189" s="2" t="n"/>
      <c r="O189" s="5">
        <f>IF(L189&gt;0,L189-I189,"")</f>
        <v/>
      </c>
      <c r="P189" s="6">
        <f>IF(AND(M189&gt;0,L189&gt;0),M189/L189*100,"")</f>
        <v/>
      </c>
      <c r="Q189" s="7">
        <f>IF(AND(G189&gt;0,F189&gt;0),G189/F189*100,"")</f>
        <v/>
      </c>
      <c r="R189" s="5">
        <f>IF(AND(H189&gt;0,G189&gt;0),H189/G189,"")</f>
        <v/>
      </c>
      <c r="S189" s="8">
        <f>IF(AND(L189&gt;0,G189&gt;0),L189/G189,"")</f>
        <v/>
      </c>
      <c r="T189" s="8">
        <f>IF(AND(M189&gt;0,G189&gt;0),M189/G189,"")</f>
        <v/>
      </c>
      <c r="U189" s="5">
        <f>IF(AND(M189&gt;0,N189&gt;0),M189/N189,"")</f>
        <v/>
      </c>
      <c r="V189" s="6">
        <f>IF(AND(I189&gt;=0,L189&gt;0),I189/L189*100,"")</f>
        <v/>
      </c>
      <c r="W189" s="9">
        <f>IF(AND(L189&gt;0,H189&gt;0,J189&gt;0),(L189-I189)/(H189*J189),"")</f>
        <v/>
      </c>
      <c r="X189" s="5">
        <f>IF(AND(M189&gt;0,N189&gt;0),M189/N189*0.7,"")</f>
        <v/>
      </c>
    </row>
    <row r="190">
      <c r="A190" s="2" t="inlineStr">
        <is>
          <t>2026-04</t>
        </is>
      </c>
      <c r="B190" s="2" t="inlineStr">
        <is>
          <t>金条</t>
        </is>
      </c>
      <c r="C190" s="2" t="inlineStr">
        <is>
          <t>首贷</t>
        </is>
      </c>
      <c r="D190" s="2" t="inlineStr">
        <is>
          <t>纯机</t>
        </is>
      </c>
      <c r="E190" s="2" t="inlineStr">
        <is>
          <t>九四</t>
        </is>
      </c>
      <c r="F190" s="3" t="n">
        <v>1119853</v>
      </c>
      <c r="G190" s="3" t="n">
        <v>711</v>
      </c>
      <c r="H190" s="3" t="n">
        <v>5133500</v>
      </c>
      <c r="I190" s="3" t="n">
        <v>97806</v>
      </c>
      <c r="J190" s="4" t="n">
        <v>0.07000000000000001</v>
      </c>
      <c r="K190" s="3" t="n">
        <v>1.068</v>
      </c>
      <c r="L190" s="3" t="n">
        <v>99185</v>
      </c>
      <c r="M190" s="3" t="n">
        <v>1291</v>
      </c>
      <c r="N190" s="2" t="n"/>
      <c r="O190" s="5">
        <f>IF(L190&gt;0,L190-I190,"")</f>
        <v/>
      </c>
      <c r="P190" s="6">
        <f>IF(AND(M190&gt;0,L190&gt;0),M190/L190*100,"")</f>
        <v/>
      </c>
      <c r="Q190" s="7">
        <f>IF(AND(G190&gt;0,F190&gt;0),G190/F190*100,"")</f>
        <v/>
      </c>
      <c r="R190" s="5">
        <f>IF(AND(H190&gt;0,G190&gt;0),H190/G190,"")</f>
        <v/>
      </c>
      <c r="S190" s="8">
        <f>IF(AND(L190&gt;0,G190&gt;0),L190/G190,"")</f>
        <v/>
      </c>
      <c r="T190" s="8">
        <f>IF(AND(M190&gt;0,G190&gt;0),M190/G190,"")</f>
        <v/>
      </c>
      <c r="U190" s="5">
        <f>IF(AND(M190&gt;0,N190&gt;0),M190/N190,"")</f>
        <v/>
      </c>
      <c r="V190" s="6">
        <f>IF(AND(I190&gt;=0,L190&gt;0),I190/L190*100,"")</f>
        <v/>
      </c>
      <c r="W190" s="9">
        <f>IF(AND(L190&gt;0,H190&gt;0,J190&gt;0),(L190-I190)/(H190*J190),"")</f>
        <v/>
      </c>
      <c r="X190" s="5">
        <f>IF(AND(M190&gt;0,N190&gt;0),M190/N190*0.7,"")</f>
        <v/>
      </c>
    </row>
    <row r="191">
      <c r="A191" s="2" t="inlineStr">
        <is>
          <t>2026-04</t>
        </is>
      </c>
      <c r="B191" s="2" t="inlineStr">
        <is>
          <t>金条</t>
        </is>
      </c>
      <c r="C191" s="2" t="inlineStr">
        <is>
          <t>首贷</t>
        </is>
      </c>
      <c r="D191" s="2" t="inlineStr">
        <is>
          <t>纯机</t>
        </is>
      </c>
      <c r="E191" s="2" t="inlineStr">
        <is>
          <t>零犀</t>
        </is>
      </c>
      <c r="F191" s="3" t="n">
        <v>15196022</v>
      </c>
      <c r="G191" s="3" t="n">
        <v>13584</v>
      </c>
      <c r="H191" s="3" t="n">
        <v>198402200</v>
      </c>
      <c r="I191" s="3" t="n">
        <v>1561714</v>
      </c>
      <c r="J191" s="4" t="n">
        <v>0.07000000000000001</v>
      </c>
      <c r="K191" s="3" t="n">
        <v>1.068</v>
      </c>
      <c r="L191" s="3" t="n">
        <v>1894968</v>
      </c>
      <c r="M191" s="3" t="n">
        <v>312036</v>
      </c>
      <c r="N191" s="2" t="n"/>
      <c r="O191" s="5">
        <f>IF(L191&gt;0,L191-I191,"")</f>
        <v/>
      </c>
      <c r="P191" s="6">
        <f>IF(AND(M191&gt;0,L191&gt;0),M191/L191*100,"")</f>
        <v/>
      </c>
      <c r="Q191" s="7">
        <f>IF(AND(G191&gt;0,F191&gt;0),G191/F191*100,"")</f>
        <v/>
      </c>
      <c r="R191" s="5">
        <f>IF(AND(H191&gt;0,G191&gt;0),H191/G191,"")</f>
        <v/>
      </c>
      <c r="S191" s="8">
        <f>IF(AND(L191&gt;0,G191&gt;0),L191/G191,"")</f>
        <v/>
      </c>
      <c r="T191" s="8">
        <f>IF(AND(M191&gt;0,G191&gt;0),M191/G191,"")</f>
        <v/>
      </c>
      <c r="U191" s="5">
        <f>IF(AND(M191&gt;0,N191&gt;0),M191/N191,"")</f>
        <v/>
      </c>
      <c r="V191" s="6">
        <f>IF(AND(I191&gt;=0,L191&gt;0),I191/L191*100,"")</f>
        <v/>
      </c>
      <c r="W191" s="9">
        <f>IF(AND(L191&gt;0,H191&gt;0,J191&gt;0),(L191-I191)/(H191*J191),"")</f>
        <v/>
      </c>
      <c r="X191" s="5">
        <f>IF(AND(M191&gt;0,N191&gt;0),M191/N191*0.7,"")</f>
        <v/>
      </c>
    </row>
    <row r="192">
      <c r="A192" s="2" t="inlineStr">
        <is>
          <t>2026-04</t>
        </is>
      </c>
      <c r="B192" s="2" t="inlineStr">
        <is>
          <t>金条</t>
        </is>
      </c>
      <c r="C192" s="2" t="inlineStr">
        <is>
          <t>复贷</t>
        </is>
      </c>
      <c r="D192" s="2" t="inlineStr">
        <is>
          <t>纯机</t>
        </is>
      </c>
      <c r="E192" s="2" t="inlineStr">
        <is>
          <t>零犀</t>
        </is>
      </c>
      <c r="F192" s="3" t="n">
        <v>1116202</v>
      </c>
      <c r="G192" s="3" t="n">
        <v>67064</v>
      </c>
      <c r="H192" s="3" t="n">
        <v>1950643200</v>
      </c>
      <c r="I192" s="3" t="n">
        <v>115933</v>
      </c>
      <c r="J192" s="4" t="n">
        <v>0.36</v>
      </c>
      <c r="K192" s="3" t="n">
        <v>1.068</v>
      </c>
      <c r="L192" s="3" t="n">
        <v>299619</v>
      </c>
      <c r="M192" s="3" t="n">
        <v>171990</v>
      </c>
      <c r="N192" s="2" t="n"/>
      <c r="O192" s="5">
        <f>IF(L192&gt;0,L192-I192,"")</f>
        <v/>
      </c>
      <c r="P192" s="6">
        <f>IF(AND(M192&gt;0,L192&gt;0),M192/L192*100,"")</f>
        <v/>
      </c>
      <c r="Q192" s="7">
        <f>IF(AND(G192&gt;0,F192&gt;0),G192/F192*100,"")</f>
        <v/>
      </c>
      <c r="R192" s="5">
        <f>IF(AND(H192&gt;0,G192&gt;0),H192/G192,"")</f>
        <v/>
      </c>
      <c r="S192" s="8">
        <f>IF(AND(L192&gt;0,G192&gt;0),L192/G192,"")</f>
        <v/>
      </c>
      <c r="T192" s="8">
        <f>IF(AND(M192&gt;0,G192&gt;0),M192/G192,"")</f>
        <v/>
      </c>
      <c r="U192" s="5">
        <f>IF(AND(M192&gt;0,N192&gt;0),M192/N192,"")</f>
        <v/>
      </c>
      <c r="V192" s="6">
        <f>IF(AND(I192&gt;=0,L192&gt;0),I192/L192*100,"")</f>
        <v/>
      </c>
      <c r="W192" s="9">
        <f>IF(AND(L192&gt;0,H192&gt;0,J192&gt;0),(L192-I192)/(H192*J192),"")</f>
        <v/>
      </c>
      <c r="X192" s="5">
        <f>IF(AND(M192&gt;0,N192&gt;0),M192/N192*0.7,"")</f>
        <v/>
      </c>
    </row>
    <row r="193">
      <c r="A193" s="2" t="inlineStr">
        <is>
          <t>2026-04</t>
        </is>
      </c>
      <c r="B193" s="2" t="inlineStr">
        <is>
          <t>金条</t>
        </is>
      </c>
      <c r="C193" s="2" t="inlineStr">
        <is>
          <t>首贷</t>
        </is>
      </c>
      <c r="D193" s="2" t="inlineStr">
        <is>
          <t>纯机</t>
        </is>
      </c>
      <c r="E193" s="2" t="inlineStr">
        <is>
          <t>言犀赛夫</t>
        </is>
      </c>
      <c r="F193" s="3" t="n">
        <v>6327464</v>
      </c>
      <c r="G193" s="3" t="n">
        <v>4901</v>
      </c>
      <c r="H193" s="3" t="n">
        <v>56866000</v>
      </c>
      <c r="I193" s="3" t="n">
        <v>635916</v>
      </c>
      <c r="J193" s="4" t="n">
        <v>0.07000000000000001</v>
      </c>
      <c r="K193" s="3" t="n">
        <v>1.068</v>
      </c>
      <c r="L193" s="3" t="n">
        <v>683690</v>
      </c>
      <c r="M193" s="3" t="n">
        <v>44732</v>
      </c>
      <c r="N193" s="2" t="n"/>
      <c r="O193" s="5">
        <f>IF(L193&gt;0,L193-I193,"")</f>
        <v/>
      </c>
      <c r="P193" s="6">
        <f>IF(AND(M193&gt;0,L193&gt;0),M193/L193*100,"")</f>
        <v/>
      </c>
      <c r="Q193" s="7">
        <f>IF(AND(G193&gt;0,F193&gt;0),G193/F193*100,"")</f>
        <v/>
      </c>
      <c r="R193" s="5">
        <f>IF(AND(H193&gt;0,G193&gt;0),H193/G193,"")</f>
        <v/>
      </c>
      <c r="S193" s="8">
        <f>IF(AND(L193&gt;0,G193&gt;0),L193/G193,"")</f>
        <v/>
      </c>
      <c r="T193" s="8">
        <f>IF(AND(M193&gt;0,G193&gt;0),M193/G193,"")</f>
        <v/>
      </c>
      <c r="U193" s="5">
        <f>IF(AND(M193&gt;0,N193&gt;0),M193/N193,"")</f>
        <v/>
      </c>
      <c r="V193" s="6">
        <f>IF(AND(I193&gt;=0,L193&gt;0),I193/L193*100,"")</f>
        <v/>
      </c>
      <c r="W193" s="9">
        <f>IF(AND(L193&gt;0,H193&gt;0,J193&gt;0),(L193-I193)/(H193*J193),"")</f>
        <v/>
      </c>
      <c r="X193" s="5">
        <f>IF(AND(M193&gt;0,N193&gt;0),M193/N193*0.7,"")</f>
        <v/>
      </c>
    </row>
    <row r="194">
      <c r="A194" s="2" t="inlineStr">
        <is>
          <t>2026-04</t>
        </is>
      </c>
      <c r="B194" s="2" t="inlineStr">
        <is>
          <t>金条</t>
        </is>
      </c>
      <c r="C194" s="2" t="inlineStr">
        <is>
          <t>复贷</t>
        </is>
      </c>
      <c r="D194" s="2" t="inlineStr">
        <is>
          <t>纯机</t>
        </is>
      </c>
      <c r="E194" s="2" t="inlineStr">
        <is>
          <t>言犀赛夫</t>
        </is>
      </c>
      <c r="F194" s="3" t="n">
        <v>632185</v>
      </c>
      <c r="G194" s="3" t="n">
        <v>37616</v>
      </c>
      <c r="H194" s="3" t="n">
        <v>1106791800</v>
      </c>
      <c r="I194" s="3" t="n">
        <v>71192</v>
      </c>
      <c r="J194" s="4" t="n">
        <v>0.36</v>
      </c>
      <c r="K194" s="3" t="n">
        <v>1.068</v>
      </c>
      <c r="L194" s="3" t="n">
        <v>170003</v>
      </c>
      <c r="M194" s="3" t="n">
        <v>92520</v>
      </c>
      <c r="N194" s="2" t="n"/>
      <c r="O194" s="5">
        <f>IF(L194&gt;0,L194-I194,"")</f>
        <v/>
      </c>
      <c r="P194" s="6">
        <f>IF(AND(M194&gt;0,L194&gt;0),M194/L194*100,"")</f>
        <v/>
      </c>
      <c r="Q194" s="7">
        <f>IF(AND(G194&gt;0,F194&gt;0),G194/F194*100,"")</f>
        <v/>
      </c>
      <c r="R194" s="5">
        <f>IF(AND(H194&gt;0,G194&gt;0),H194/G194,"")</f>
        <v/>
      </c>
      <c r="S194" s="8">
        <f>IF(AND(L194&gt;0,G194&gt;0),L194/G194,"")</f>
        <v/>
      </c>
      <c r="T194" s="8">
        <f>IF(AND(M194&gt;0,G194&gt;0),M194/G194,"")</f>
        <v/>
      </c>
      <c r="U194" s="5">
        <f>IF(AND(M194&gt;0,N194&gt;0),M194/N194,"")</f>
        <v/>
      </c>
      <c r="V194" s="6">
        <f>IF(AND(I194&gt;=0,L194&gt;0),I194/L194*100,"")</f>
        <v/>
      </c>
      <c r="W194" s="9">
        <f>IF(AND(L194&gt;0,H194&gt;0,J194&gt;0),(L194-I194)/(H194*J194),"")</f>
        <v/>
      </c>
      <c r="X194" s="5">
        <f>IF(AND(M194&gt;0,N194&gt;0),M194/N194*0.7,"")</f>
        <v/>
      </c>
    </row>
    <row r="195">
      <c r="A195" s="2" t="inlineStr">
        <is>
          <t>2026-05</t>
        </is>
      </c>
      <c r="B195" s="2" t="inlineStr">
        <is>
          <t>金条</t>
        </is>
      </c>
      <c r="C195" s="2" t="inlineStr">
        <is>
          <t>首贷</t>
        </is>
      </c>
      <c r="D195" s="2" t="inlineStr">
        <is>
          <t>人机</t>
        </is>
      </c>
      <c r="E195" s="2" t="inlineStr">
        <is>
          <t>零犀伽玛</t>
        </is>
      </c>
      <c r="F195" s="3" t="n">
        <v>1736467</v>
      </c>
      <c r="G195" s="3" t="n">
        <v>4620</v>
      </c>
      <c r="H195" s="3" t="n">
        <v>60547900</v>
      </c>
      <c r="I195" s="3" t="n">
        <v>197911</v>
      </c>
      <c r="J195" s="4" t="n">
        <v>0.07000000000000001</v>
      </c>
      <c r="K195" s="3" t="n">
        <v>1.068</v>
      </c>
      <c r="L195" s="3" t="n">
        <v>330882</v>
      </c>
      <c r="M195" s="3" t="n">
        <v>124504</v>
      </c>
      <c r="N195" s="3" t="n">
        <v>24</v>
      </c>
      <c r="O195" s="5">
        <f>IF(L195&gt;0,L195-I195,"")</f>
        <v/>
      </c>
      <c r="P195" s="6">
        <f>IF(AND(M195&gt;0,L195&gt;0),M195/L195*100,"")</f>
        <v/>
      </c>
      <c r="Q195" s="7">
        <f>IF(AND(G195&gt;0,F195&gt;0),G195/F195*100,"")</f>
        <v/>
      </c>
      <c r="R195" s="5">
        <f>IF(AND(H195&gt;0,G195&gt;0),H195/G195,"")</f>
        <v/>
      </c>
      <c r="S195" s="8">
        <f>IF(AND(L195&gt;0,G195&gt;0),L195/G195,"")</f>
        <v/>
      </c>
      <c r="T195" s="8">
        <f>IF(AND(M195&gt;0,G195&gt;0),M195/G195,"")</f>
        <v/>
      </c>
      <c r="U195" s="5">
        <f>IF(AND(M195&gt;0,N195&gt;0),M195/N195,"")</f>
        <v/>
      </c>
      <c r="V195" s="6">
        <f>IF(AND(I195&gt;=0,L195&gt;0),I195/L195*100,"")</f>
        <v/>
      </c>
      <c r="W195" s="9">
        <f>IF(AND(L195&gt;0,H195&gt;0,J195&gt;0),(L195-I195)/(H195*J195),"")</f>
        <v/>
      </c>
      <c r="X195" s="5">
        <f>IF(AND(M195&gt;0,N195&gt;0),M195/N195*0.7,"")</f>
        <v/>
      </c>
    </row>
    <row r="196">
      <c r="A196" s="2" t="inlineStr">
        <is>
          <t>2026-05</t>
        </is>
      </c>
      <c r="B196" s="2" t="inlineStr">
        <is>
          <t>金条</t>
        </is>
      </c>
      <c r="C196" s="2" t="inlineStr">
        <is>
          <t>首贷</t>
        </is>
      </c>
      <c r="D196" s="2" t="inlineStr">
        <is>
          <t>人机</t>
        </is>
      </c>
      <c r="E196" s="2" t="inlineStr">
        <is>
          <t>零犀</t>
        </is>
      </c>
      <c r="F196" s="3" t="n">
        <v>9508251</v>
      </c>
      <c r="G196" s="3" t="n">
        <v>28042</v>
      </c>
      <c r="H196" s="3" t="n">
        <v>400126600</v>
      </c>
      <c r="I196" s="3" t="n">
        <v>955697</v>
      </c>
      <c r="J196" s="4" t="n">
        <v>0.07000000000000001</v>
      </c>
      <c r="K196" s="3" t="n">
        <v>1.068</v>
      </c>
      <c r="L196" s="3" t="n">
        <v>2166024</v>
      </c>
      <c r="M196" s="3" t="n">
        <v>1133265</v>
      </c>
      <c r="N196" s="3" t="n">
        <v>67</v>
      </c>
      <c r="O196" s="5">
        <f>IF(L196&gt;0,L196-I196,"")</f>
        <v/>
      </c>
      <c r="P196" s="6">
        <f>IF(AND(M196&gt;0,L196&gt;0),M196/L196*100,"")</f>
        <v/>
      </c>
      <c r="Q196" s="7">
        <f>IF(AND(G196&gt;0,F196&gt;0),G196/F196*100,"")</f>
        <v/>
      </c>
      <c r="R196" s="5">
        <f>IF(AND(H196&gt;0,G196&gt;0),H196/G196,"")</f>
        <v/>
      </c>
      <c r="S196" s="8">
        <f>IF(AND(L196&gt;0,G196&gt;0),L196/G196,"")</f>
        <v/>
      </c>
      <c r="T196" s="8">
        <f>IF(AND(M196&gt;0,G196&gt;0),M196/G196,"")</f>
        <v/>
      </c>
      <c r="U196" s="5">
        <f>IF(AND(M196&gt;0,N196&gt;0),M196/N196,"")</f>
        <v/>
      </c>
      <c r="V196" s="6">
        <f>IF(AND(I196&gt;=0,L196&gt;0),I196/L196*100,"")</f>
        <v/>
      </c>
      <c r="W196" s="9">
        <f>IF(AND(L196&gt;0,H196&gt;0,J196&gt;0),(L196-I196)/(H196*J196),"")</f>
        <v/>
      </c>
      <c r="X196" s="5">
        <f>IF(AND(M196&gt;0,N196&gt;0),M196/N196*0.7,"")</f>
        <v/>
      </c>
    </row>
    <row r="197">
      <c r="A197" s="2" t="inlineStr">
        <is>
          <t>2026-05</t>
        </is>
      </c>
      <c r="B197" s="2" t="inlineStr">
        <is>
          <t>金条</t>
        </is>
      </c>
      <c r="C197" s="2" t="inlineStr">
        <is>
          <t>复贷</t>
        </is>
      </c>
      <c r="D197" s="2" t="inlineStr">
        <is>
          <t>人机</t>
        </is>
      </c>
      <c r="E197" s="2" t="inlineStr">
        <is>
          <t>零犀</t>
        </is>
      </c>
      <c r="F197" s="3" t="n">
        <v>2469598</v>
      </c>
      <c r="G197" s="3" t="n">
        <v>19582</v>
      </c>
      <c r="H197" s="3" t="n">
        <v>757100100</v>
      </c>
      <c r="I197" s="3" t="n">
        <v>210609</v>
      </c>
      <c r="J197" s="4" t="n">
        <v>0.36</v>
      </c>
      <c r="K197" s="3" t="n">
        <v>1.068</v>
      </c>
      <c r="L197" s="3" t="n">
        <v>573951</v>
      </c>
      <c r="M197" s="3" t="n">
        <v>340208</v>
      </c>
      <c r="N197" s="3" t="n">
        <v>13</v>
      </c>
      <c r="O197" s="5">
        <f>IF(L197&gt;0,L197-I197,"")</f>
        <v/>
      </c>
      <c r="P197" s="6">
        <f>IF(AND(M197&gt;0,L197&gt;0),M197/L197*100,"")</f>
        <v/>
      </c>
      <c r="Q197" s="7">
        <f>IF(AND(G197&gt;0,F197&gt;0),G197/F197*100,"")</f>
        <v/>
      </c>
      <c r="R197" s="5">
        <f>IF(AND(H197&gt;0,G197&gt;0),H197/G197,"")</f>
        <v/>
      </c>
      <c r="S197" s="8">
        <f>IF(AND(L197&gt;0,G197&gt;0),L197/G197,"")</f>
        <v/>
      </c>
      <c r="T197" s="8">
        <f>IF(AND(M197&gt;0,G197&gt;0),M197/G197,"")</f>
        <v/>
      </c>
      <c r="U197" s="5">
        <f>IF(AND(M197&gt;0,N197&gt;0),M197/N197,"")</f>
        <v/>
      </c>
      <c r="V197" s="6">
        <f>IF(AND(I197&gt;=0,L197&gt;0),I197/L197*100,"")</f>
        <v/>
      </c>
      <c r="W197" s="9">
        <f>IF(AND(L197&gt;0,H197&gt;0,J197&gt;0),(L197-I197)/(H197*J197),"")</f>
        <v/>
      </c>
      <c r="X197" s="5">
        <f>IF(AND(M197&gt;0,N197&gt;0),M197/N197*0.7,"")</f>
        <v/>
      </c>
    </row>
    <row r="198">
      <c r="A198" s="2" t="inlineStr">
        <is>
          <t>2026-05</t>
        </is>
      </c>
      <c r="B198" s="2" t="inlineStr">
        <is>
          <t>金条</t>
        </is>
      </c>
      <c r="C198" s="2" t="inlineStr">
        <is>
          <t>首贷</t>
        </is>
      </c>
      <c r="D198" s="2" t="inlineStr">
        <is>
          <t>人机</t>
        </is>
      </c>
      <c r="E198" s="2" t="inlineStr">
        <is>
          <t>零犀毛毛虫</t>
        </is>
      </c>
      <c r="F198" s="3" t="n">
        <v>1994659</v>
      </c>
      <c r="G198" s="3" t="n">
        <v>5685</v>
      </c>
      <c r="H198" s="3" t="n">
        <v>71498600</v>
      </c>
      <c r="I198" s="3" t="n">
        <v>246528</v>
      </c>
      <c r="J198" s="4" t="n">
        <v>0.07000000000000001</v>
      </c>
      <c r="K198" s="3" t="n">
        <v>1.068</v>
      </c>
      <c r="L198" s="3" t="n">
        <v>396638</v>
      </c>
      <c r="M198" s="3" t="n">
        <v>140553</v>
      </c>
      <c r="N198" s="3" t="n">
        <v>23</v>
      </c>
      <c r="O198" s="5">
        <f>IF(L198&gt;0,L198-I198,"")</f>
        <v/>
      </c>
      <c r="P198" s="6">
        <f>IF(AND(M198&gt;0,L198&gt;0),M198/L198*100,"")</f>
        <v/>
      </c>
      <c r="Q198" s="7">
        <f>IF(AND(G198&gt;0,F198&gt;0),G198/F198*100,"")</f>
        <v/>
      </c>
      <c r="R198" s="5">
        <f>IF(AND(H198&gt;0,G198&gt;0),H198/G198,"")</f>
        <v/>
      </c>
      <c r="S198" s="8">
        <f>IF(AND(L198&gt;0,G198&gt;0),L198/G198,"")</f>
        <v/>
      </c>
      <c r="T198" s="8">
        <f>IF(AND(M198&gt;0,G198&gt;0),M198/G198,"")</f>
        <v/>
      </c>
      <c r="U198" s="5">
        <f>IF(AND(M198&gt;0,N198&gt;0),M198/N198,"")</f>
        <v/>
      </c>
      <c r="V198" s="6">
        <f>IF(AND(I198&gt;=0,L198&gt;0),I198/L198*100,"")</f>
        <v/>
      </c>
      <c r="W198" s="9">
        <f>IF(AND(L198&gt;0,H198&gt;0,J198&gt;0),(L198-I198)/(H198*J198),"")</f>
        <v/>
      </c>
      <c r="X198" s="5">
        <f>IF(AND(M198&gt;0,N198&gt;0),M198/N198*0.7,"")</f>
        <v/>
      </c>
    </row>
    <row r="199">
      <c r="A199" s="2" t="inlineStr">
        <is>
          <t>2026-05</t>
        </is>
      </c>
      <c r="B199" s="2" t="inlineStr">
        <is>
          <t>金条</t>
        </is>
      </c>
      <c r="C199" s="2" t="inlineStr">
        <is>
          <t>复贷</t>
        </is>
      </c>
      <c r="D199" s="2" t="inlineStr">
        <is>
          <t>人机</t>
        </is>
      </c>
      <c r="E199" s="2" t="inlineStr">
        <is>
          <t>零犀岐力</t>
        </is>
      </c>
      <c r="F199" s="3" t="n">
        <v>682974</v>
      </c>
      <c r="G199" s="3" t="n">
        <v>5319</v>
      </c>
      <c r="H199" s="3" t="n">
        <v>185917200</v>
      </c>
      <c r="I199" s="3" t="n">
        <v>70880</v>
      </c>
      <c r="J199" s="4" t="n">
        <v>0.36</v>
      </c>
      <c r="K199" s="3" t="n">
        <v>1.068</v>
      </c>
      <c r="L199" s="3" t="n">
        <v>134797</v>
      </c>
      <c r="M199" s="3" t="n">
        <v>59847</v>
      </c>
      <c r="N199" s="3" t="n">
        <v>13</v>
      </c>
      <c r="O199" s="5">
        <f>IF(L199&gt;0,L199-I199,"")</f>
        <v/>
      </c>
      <c r="P199" s="6">
        <f>IF(AND(M199&gt;0,L199&gt;0),M199/L199*100,"")</f>
        <v/>
      </c>
      <c r="Q199" s="7">
        <f>IF(AND(G199&gt;0,F199&gt;0),G199/F199*100,"")</f>
        <v/>
      </c>
      <c r="R199" s="5">
        <f>IF(AND(H199&gt;0,G199&gt;0),H199/G199,"")</f>
        <v/>
      </c>
      <c r="S199" s="8">
        <f>IF(AND(L199&gt;0,G199&gt;0),L199/G199,"")</f>
        <v/>
      </c>
      <c r="T199" s="8">
        <f>IF(AND(M199&gt;0,G199&gt;0),M199/G199,"")</f>
        <v/>
      </c>
      <c r="U199" s="5">
        <f>IF(AND(M199&gt;0,N199&gt;0),M199/N199,"")</f>
        <v/>
      </c>
      <c r="V199" s="6">
        <f>IF(AND(I199&gt;=0,L199&gt;0),I199/L199*100,"")</f>
        <v/>
      </c>
      <c r="W199" s="9">
        <f>IF(AND(L199&gt;0,H199&gt;0,J199&gt;0),(L199-I199)/(H199*J199),"")</f>
        <v/>
      </c>
      <c r="X199" s="5">
        <f>IF(AND(M199&gt;0,N199&gt;0),M199/N199*0.7,"")</f>
        <v/>
      </c>
    </row>
    <row r="200">
      <c r="A200" s="2" t="inlineStr">
        <is>
          <t>2026-05</t>
        </is>
      </c>
      <c r="B200" s="2" t="inlineStr">
        <is>
          <t>金条</t>
        </is>
      </c>
      <c r="C200" s="2" t="inlineStr">
        <is>
          <t>首贷</t>
        </is>
      </c>
      <c r="D200" s="2" t="inlineStr">
        <is>
          <t>人机</t>
        </is>
      </c>
      <c r="E200" s="2" t="inlineStr">
        <is>
          <t>零犀赛维斯</t>
        </is>
      </c>
      <c r="F200" s="3" t="n">
        <v>1582614</v>
      </c>
      <c r="G200" s="3" t="n">
        <v>4470</v>
      </c>
      <c r="H200" s="3" t="n">
        <v>57706600</v>
      </c>
      <c r="I200" s="3" t="n">
        <v>196911</v>
      </c>
      <c r="J200" s="4" t="n">
        <v>0.07000000000000001</v>
      </c>
      <c r="K200" s="3" t="n">
        <v>1.068</v>
      </c>
      <c r="L200" s="3" t="n">
        <v>321644</v>
      </c>
      <c r="M200" s="3" t="n">
        <v>116791</v>
      </c>
      <c r="N200" s="3" t="n">
        <v>18</v>
      </c>
      <c r="O200" s="5">
        <f>IF(L200&gt;0,L200-I200,"")</f>
        <v/>
      </c>
      <c r="P200" s="6">
        <f>IF(AND(M200&gt;0,L200&gt;0),M200/L200*100,"")</f>
        <v/>
      </c>
      <c r="Q200" s="7">
        <f>IF(AND(G200&gt;0,F200&gt;0),G200/F200*100,"")</f>
        <v/>
      </c>
      <c r="R200" s="5">
        <f>IF(AND(H200&gt;0,G200&gt;0),H200/G200,"")</f>
        <v/>
      </c>
      <c r="S200" s="8">
        <f>IF(AND(L200&gt;0,G200&gt;0),L200/G200,"")</f>
        <v/>
      </c>
      <c r="T200" s="8">
        <f>IF(AND(M200&gt;0,G200&gt;0),M200/G200,"")</f>
        <v/>
      </c>
      <c r="U200" s="5">
        <f>IF(AND(M200&gt;0,N200&gt;0),M200/N200,"")</f>
        <v/>
      </c>
      <c r="V200" s="6">
        <f>IF(AND(I200&gt;=0,L200&gt;0),I200/L200*100,"")</f>
        <v/>
      </c>
      <c r="W200" s="9">
        <f>IF(AND(L200&gt;0,H200&gt;0,J200&gt;0),(L200-I200)/(H200*J200),"")</f>
        <v/>
      </c>
      <c r="X200" s="5">
        <f>IF(AND(M200&gt;0,N200&gt;0),M200/N200*0.7,"")</f>
        <v/>
      </c>
    </row>
    <row r="201">
      <c r="A201" s="2" t="inlineStr">
        <is>
          <t>2026-05</t>
        </is>
      </c>
      <c r="B201" s="2" t="inlineStr">
        <is>
          <t>金条</t>
        </is>
      </c>
      <c r="C201" s="2" t="inlineStr">
        <is>
          <t>首贷</t>
        </is>
      </c>
      <c r="D201" s="2" t="inlineStr">
        <is>
          <t>人机</t>
        </is>
      </c>
      <c r="E201" s="2" t="inlineStr">
        <is>
          <t>零犀毅航</t>
        </is>
      </c>
      <c r="F201" s="3" t="n">
        <v>4189115</v>
      </c>
      <c r="G201" s="3" t="n">
        <v>12058</v>
      </c>
      <c r="H201" s="3" t="n">
        <v>206698300</v>
      </c>
      <c r="I201" s="3" t="n">
        <v>490088</v>
      </c>
      <c r="J201" s="4" t="n">
        <v>0.07000000000000001</v>
      </c>
      <c r="K201" s="3" t="n">
        <v>1.068</v>
      </c>
      <c r="L201" s="3" t="n">
        <v>1160244</v>
      </c>
      <c r="M201" s="3" t="n">
        <v>627487</v>
      </c>
      <c r="N201" s="3" t="n">
        <v>43</v>
      </c>
      <c r="O201" s="5">
        <f>IF(L201&gt;0,L201-I201,"")</f>
        <v/>
      </c>
      <c r="P201" s="6">
        <f>IF(AND(M201&gt;0,L201&gt;0),M201/L201*100,"")</f>
        <v/>
      </c>
      <c r="Q201" s="7">
        <f>IF(AND(G201&gt;0,F201&gt;0),G201/F201*100,"")</f>
        <v/>
      </c>
      <c r="R201" s="5">
        <f>IF(AND(H201&gt;0,G201&gt;0),H201/G201,"")</f>
        <v/>
      </c>
      <c r="S201" s="8">
        <f>IF(AND(L201&gt;0,G201&gt;0),L201/G201,"")</f>
        <v/>
      </c>
      <c r="T201" s="8">
        <f>IF(AND(M201&gt;0,G201&gt;0),M201/G201,"")</f>
        <v/>
      </c>
      <c r="U201" s="5">
        <f>IF(AND(M201&gt;0,N201&gt;0),M201/N201,"")</f>
        <v/>
      </c>
      <c r="V201" s="6">
        <f>IF(AND(I201&gt;=0,L201&gt;0),I201/L201*100,"")</f>
        <v/>
      </c>
      <c r="W201" s="9">
        <f>IF(AND(L201&gt;0,H201&gt;0,J201&gt;0),(L201-I201)/(H201*J201),"")</f>
        <v/>
      </c>
      <c r="X201" s="5">
        <f>IF(AND(M201&gt;0,N201&gt;0),M201/N201*0.7,"")</f>
        <v/>
      </c>
    </row>
    <row r="202">
      <c r="A202" s="2" t="inlineStr">
        <is>
          <t>2026-05</t>
        </is>
      </c>
      <c r="B202" s="2" t="inlineStr">
        <is>
          <t>金条</t>
        </is>
      </c>
      <c r="C202" s="2" t="inlineStr">
        <is>
          <t>首贷</t>
        </is>
      </c>
      <c r="D202" s="2" t="inlineStr">
        <is>
          <t>人机</t>
        </is>
      </c>
      <c r="E202" s="2" t="inlineStr">
        <is>
          <t>赛维斯</t>
        </is>
      </c>
      <c r="F202" s="3" t="n">
        <v>2119835</v>
      </c>
      <c r="G202" s="3" t="n">
        <v>5551</v>
      </c>
      <c r="H202" s="3" t="n">
        <v>75946300</v>
      </c>
      <c r="I202" s="3" t="n">
        <v>255010</v>
      </c>
      <c r="J202" s="4" t="n">
        <v>0.07000000000000001</v>
      </c>
      <c r="K202" s="3" t="n">
        <v>1.068</v>
      </c>
      <c r="L202" s="3" t="n">
        <v>413896</v>
      </c>
      <c r="M202" s="3" t="n">
        <v>148770</v>
      </c>
      <c r="N202" s="3" t="n">
        <v>25</v>
      </c>
      <c r="O202" s="5">
        <f>IF(L202&gt;0,L202-I202,"")</f>
        <v/>
      </c>
      <c r="P202" s="6">
        <f>IF(AND(M202&gt;0,L202&gt;0),M202/L202*100,"")</f>
        <v/>
      </c>
      <c r="Q202" s="7">
        <f>IF(AND(G202&gt;0,F202&gt;0),G202/F202*100,"")</f>
        <v/>
      </c>
      <c r="R202" s="5">
        <f>IF(AND(H202&gt;0,G202&gt;0),H202/G202,"")</f>
        <v/>
      </c>
      <c r="S202" s="8">
        <f>IF(AND(L202&gt;0,G202&gt;0),L202/G202,"")</f>
        <v/>
      </c>
      <c r="T202" s="8">
        <f>IF(AND(M202&gt;0,G202&gt;0),M202/G202,"")</f>
        <v/>
      </c>
      <c r="U202" s="5">
        <f>IF(AND(M202&gt;0,N202&gt;0),M202/N202,"")</f>
        <v/>
      </c>
      <c r="V202" s="6">
        <f>IF(AND(I202&gt;=0,L202&gt;0),I202/L202*100,"")</f>
        <v/>
      </c>
      <c r="W202" s="9">
        <f>IF(AND(L202&gt;0,H202&gt;0,J202&gt;0),(L202-I202)/(H202*J202),"")</f>
        <v/>
      </c>
      <c r="X202" s="5">
        <f>IF(AND(M202&gt;0,N202&gt;0),M202/N202*0.7,"")</f>
        <v/>
      </c>
    </row>
    <row r="203">
      <c r="A203" s="2" t="inlineStr">
        <is>
          <t>2026-05</t>
        </is>
      </c>
      <c r="B203" s="2" t="inlineStr">
        <is>
          <t>金条</t>
        </is>
      </c>
      <c r="C203" s="2" t="inlineStr">
        <is>
          <t>复贷</t>
        </is>
      </c>
      <c r="D203" s="2" t="inlineStr">
        <is>
          <t>人机</t>
        </is>
      </c>
      <c r="E203" s="2" t="inlineStr">
        <is>
          <t>赛维斯</t>
        </is>
      </c>
      <c r="F203" s="3" t="n">
        <v>1403193</v>
      </c>
      <c r="G203" s="3" t="n">
        <v>11983</v>
      </c>
      <c r="H203" s="3" t="n">
        <v>386782900</v>
      </c>
      <c r="I203" s="3" t="n">
        <v>162536</v>
      </c>
      <c r="J203" s="4" t="n">
        <v>0.36</v>
      </c>
      <c r="K203" s="3" t="n">
        <v>1.068</v>
      </c>
      <c r="L203" s="3" t="n">
        <v>290198</v>
      </c>
      <c r="M203" s="3" t="n">
        <v>119533</v>
      </c>
      <c r="N203" s="3" t="n">
        <v>13</v>
      </c>
      <c r="O203" s="5">
        <f>IF(L203&gt;0,L203-I203,"")</f>
        <v/>
      </c>
      <c r="P203" s="6">
        <f>IF(AND(M203&gt;0,L203&gt;0),M203/L203*100,"")</f>
        <v/>
      </c>
      <c r="Q203" s="7">
        <f>IF(AND(G203&gt;0,F203&gt;0),G203/F203*100,"")</f>
        <v/>
      </c>
      <c r="R203" s="5">
        <f>IF(AND(H203&gt;0,G203&gt;0),H203/G203,"")</f>
        <v/>
      </c>
      <c r="S203" s="8">
        <f>IF(AND(L203&gt;0,G203&gt;0),L203/G203,"")</f>
        <v/>
      </c>
      <c r="T203" s="8">
        <f>IF(AND(M203&gt;0,G203&gt;0),M203/G203,"")</f>
        <v/>
      </c>
      <c r="U203" s="5">
        <f>IF(AND(M203&gt;0,N203&gt;0),M203/N203,"")</f>
        <v/>
      </c>
      <c r="V203" s="6">
        <f>IF(AND(I203&gt;=0,L203&gt;0),I203/L203*100,"")</f>
        <v/>
      </c>
      <c r="W203" s="9">
        <f>IF(AND(L203&gt;0,H203&gt;0,J203&gt;0),(L203-I203)/(H203*J203),"")</f>
        <v/>
      </c>
      <c r="X203" s="5">
        <f>IF(AND(M203&gt;0,N203&gt;0),M203/N203*0.7,"")</f>
        <v/>
      </c>
    </row>
    <row r="204">
      <c r="A204" s="2" t="inlineStr">
        <is>
          <t>2026-05</t>
        </is>
      </c>
      <c r="B204" s="2" t="inlineStr">
        <is>
          <t>金条</t>
        </is>
      </c>
      <c r="C204" s="2" t="inlineStr">
        <is>
          <t>首贷</t>
        </is>
      </c>
      <c r="D204" s="2" t="inlineStr">
        <is>
          <t>人机</t>
        </is>
      </c>
      <c r="E204" s="2" t="inlineStr">
        <is>
          <t>宿迁兆科</t>
        </is>
      </c>
      <c r="F204" s="3" t="n">
        <v>1245348</v>
      </c>
      <c r="G204" s="3" t="n">
        <v>3963</v>
      </c>
      <c r="H204" s="3" t="n">
        <v>56408600</v>
      </c>
      <c r="I204" s="3" t="n">
        <v>149621</v>
      </c>
      <c r="J204" s="4" t="n">
        <v>0.07000000000000001</v>
      </c>
      <c r="K204" s="3" t="n">
        <v>1.068</v>
      </c>
      <c r="L204" s="3" t="n">
        <v>307088</v>
      </c>
      <c r="M204" s="3" t="n">
        <v>147441</v>
      </c>
      <c r="N204" s="3" t="n">
        <v>14</v>
      </c>
      <c r="O204" s="5">
        <f>IF(L204&gt;0,L204-I204,"")</f>
        <v/>
      </c>
      <c r="P204" s="6">
        <f>IF(AND(M204&gt;0,L204&gt;0),M204/L204*100,"")</f>
        <v/>
      </c>
      <c r="Q204" s="7">
        <f>IF(AND(G204&gt;0,F204&gt;0),G204/F204*100,"")</f>
        <v/>
      </c>
      <c r="R204" s="5">
        <f>IF(AND(H204&gt;0,G204&gt;0),H204/G204,"")</f>
        <v/>
      </c>
      <c r="S204" s="8">
        <f>IF(AND(L204&gt;0,G204&gt;0),L204/G204,"")</f>
        <v/>
      </c>
      <c r="T204" s="8">
        <f>IF(AND(M204&gt;0,G204&gt;0),M204/G204,"")</f>
        <v/>
      </c>
      <c r="U204" s="5">
        <f>IF(AND(M204&gt;0,N204&gt;0),M204/N204,"")</f>
        <v/>
      </c>
      <c r="V204" s="6">
        <f>IF(AND(I204&gt;=0,L204&gt;0),I204/L204*100,"")</f>
        <v/>
      </c>
      <c r="W204" s="9">
        <f>IF(AND(L204&gt;0,H204&gt;0,J204&gt;0),(L204-I204)/(H204*J204),"")</f>
        <v/>
      </c>
      <c r="X204" s="5">
        <f>IF(AND(M204&gt;0,N204&gt;0),M204/N204*0.7,"")</f>
        <v/>
      </c>
    </row>
    <row r="205">
      <c r="A205" s="2" t="inlineStr">
        <is>
          <t>2026-05</t>
        </is>
      </c>
      <c r="B205" s="2" t="inlineStr">
        <is>
          <t>金条</t>
        </is>
      </c>
      <c r="C205" s="2" t="inlineStr">
        <is>
          <t>首贷</t>
        </is>
      </c>
      <c r="D205" s="2" t="inlineStr">
        <is>
          <t>人工</t>
        </is>
      </c>
      <c r="E205" s="2" t="inlineStr">
        <is>
          <t>博岳石家庄</t>
        </is>
      </c>
      <c r="F205" s="3" t="n">
        <v>162840</v>
      </c>
      <c r="G205" s="3" t="n">
        <v>1407</v>
      </c>
      <c r="H205" s="3" t="n">
        <v>94131000</v>
      </c>
      <c r="I205" s="3" t="n">
        <v>20515</v>
      </c>
      <c r="J205" s="4" t="n">
        <v>0.07000000000000001</v>
      </c>
      <c r="K205" s="3" t="n">
        <v>1.068</v>
      </c>
      <c r="L205" s="3" t="n">
        <v>501571</v>
      </c>
      <c r="M205" s="3" t="n">
        <v>450428</v>
      </c>
      <c r="N205" s="3" t="n">
        <v>45</v>
      </c>
      <c r="O205" s="5">
        <f>IF(L205&gt;0,L205-I205,"")</f>
        <v/>
      </c>
      <c r="P205" s="6">
        <f>IF(AND(M205&gt;0,L205&gt;0),M205/L205*100,"")</f>
        <v/>
      </c>
      <c r="Q205" s="7">
        <f>IF(AND(G205&gt;0,F205&gt;0),G205/F205*100,"")</f>
        <v/>
      </c>
      <c r="R205" s="5">
        <f>IF(AND(H205&gt;0,G205&gt;0),H205/G205,"")</f>
        <v/>
      </c>
      <c r="S205" s="8">
        <f>IF(AND(L205&gt;0,G205&gt;0),L205/G205,"")</f>
        <v/>
      </c>
      <c r="T205" s="8">
        <f>IF(AND(M205&gt;0,G205&gt;0),M205/G205,"")</f>
        <v/>
      </c>
      <c r="U205" s="5">
        <f>IF(AND(M205&gt;0,N205&gt;0),M205/N205,"")</f>
        <v/>
      </c>
      <c r="V205" s="6">
        <f>IF(AND(I205&gt;=0,L205&gt;0),I205/L205*100,"")</f>
        <v/>
      </c>
      <c r="W205" s="9">
        <f>IF(AND(L205&gt;0,H205&gt;0,J205&gt;0),(L205-I205)/(H205*J205),"")</f>
        <v/>
      </c>
      <c r="X205" s="5">
        <f>IF(AND(M205&gt;0,N205&gt;0),M205/N205*0.7,"")</f>
        <v/>
      </c>
    </row>
    <row r="206">
      <c r="A206" s="2" t="inlineStr">
        <is>
          <t>2026-05</t>
        </is>
      </c>
      <c r="B206" s="2" t="inlineStr">
        <is>
          <t>金条</t>
        </is>
      </c>
      <c r="C206" s="2" t="inlineStr">
        <is>
          <t>复贷</t>
        </is>
      </c>
      <c r="D206" s="2" t="inlineStr">
        <is>
          <t>人工</t>
        </is>
      </c>
      <c r="E206" s="2" t="inlineStr">
        <is>
          <t>博岳石家庄</t>
        </is>
      </c>
      <c r="F206" s="3" t="n">
        <v>184173</v>
      </c>
      <c r="G206" s="3" t="n">
        <v>10336</v>
      </c>
      <c r="H206" s="3" t="n">
        <v>368899700</v>
      </c>
      <c r="I206" s="3" t="n">
        <v>27768</v>
      </c>
      <c r="J206" s="4" t="n">
        <v>0.36</v>
      </c>
      <c r="K206" s="3" t="n">
        <v>1.068</v>
      </c>
      <c r="L206" s="3" t="n">
        <v>432072</v>
      </c>
      <c r="M206" s="3" t="n">
        <v>378562</v>
      </c>
      <c r="N206" s="3" t="n">
        <v>47</v>
      </c>
      <c r="O206" s="5">
        <f>IF(L206&gt;0,L206-I206,"")</f>
        <v/>
      </c>
      <c r="P206" s="6">
        <f>IF(AND(M206&gt;0,L206&gt;0),M206/L206*100,"")</f>
        <v/>
      </c>
      <c r="Q206" s="7">
        <f>IF(AND(G206&gt;0,F206&gt;0),G206/F206*100,"")</f>
        <v/>
      </c>
      <c r="R206" s="5">
        <f>IF(AND(H206&gt;0,G206&gt;0),H206/G206,"")</f>
        <v/>
      </c>
      <c r="S206" s="8">
        <f>IF(AND(L206&gt;0,G206&gt;0),L206/G206,"")</f>
        <v/>
      </c>
      <c r="T206" s="8">
        <f>IF(AND(M206&gt;0,G206&gt;0),M206/G206,"")</f>
        <v/>
      </c>
      <c r="U206" s="5">
        <f>IF(AND(M206&gt;0,N206&gt;0),M206/N206,"")</f>
        <v/>
      </c>
      <c r="V206" s="6">
        <f>IF(AND(I206&gt;=0,L206&gt;0),I206/L206*100,"")</f>
        <v/>
      </c>
      <c r="W206" s="9">
        <f>IF(AND(L206&gt;0,H206&gt;0,J206&gt;0),(L206-I206)/(H206*J206),"")</f>
        <v/>
      </c>
      <c r="X206" s="5">
        <f>IF(AND(M206&gt;0,N206&gt;0),M206/N206*0.7,"")</f>
        <v/>
      </c>
    </row>
    <row r="207">
      <c r="A207" s="2" t="inlineStr">
        <is>
          <t>2026-05</t>
        </is>
      </c>
      <c r="B207" s="2" t="inlineStr">
        <is>
          <t>金条</t>
        </is>
      </c>
      <c r="C207" s="2" t="inlineStr">
        <is>
          <t>首贷</t>
        </is>
      </c>
      <c r="D207" s="2" t="inlineStr">
        <is>
          <t>人工</t>
        </is>
      </c>
      <c r="E207" s="2" t="inlineStr">
        <is>
          <t>伽玛</t>
        </is>
      </c>
      <c r="F207" s="3" t="n">
        <v>222038</v>
      </c>
      <c r="G207" s="3" t="n">
        <v>2193</v>
      </c>
      <c r="H207" s="3" t="n">
        <v>112459700</v>
      </c>
      <c r="I207" s="3" t="n">
        <v>39432</v>
      </c>
      <c r="J207" s="4" t="n">
        <v>0.07000000000000001</v>
      </c>
      <c r="K207" s="3" t="n">
        <v>1.068</v>
      </c>
      <c r="L207" s="3" t="n">
        <v>605879</v>
      </c>
      <c r="M207" s="3" t="n">
        <v>530381</v>
      </c>
      <c r="N207" s="3" t="n">
        <v>58</v>
      </c>
      <c r="O207" s="5">
        <f>IF(L207&gt;0,L207-I207,"")</f>
        <v/>
      </c>
      <c r="P207" s="6">
        <f>IF(AND(M207&gt;0,L207&gt;0),M207/L207*100,"")</f>
        <v/>
      </c>
      <c r="Q207" s="7">
        <f>IF(AND(G207&gt;0,F207&gt;0),G207/F207*100,"")</f>
        <v/>
      </c>
      <c r="R207" s="5">
        <f>IF(AND(H207&gt;0,G207&gt;0),H207/G207,"")</f>
        <v/>
      </c>
      <c r="S207" s="8">
        <f>IF(AND(L207&gt;0,G207&gt;0),L207/G207,"")</f>
        <v/>
      </c>
      <c r="T207" s="8">
        <f>IF(AND(M207&gt;0,G207&gt;0),M207/G207,"")</f>
        <v/>
      </c>
      <c r="U207" s="5">
        <f>IF(AND(M207&gt;0,N207&gt;0),M207/N207,"")</f>
        <v/>
      </c>
      <c r="V207" s="6">
        <f>IF(AND(I207&gt;=0,L207&gt;0),I207/L207*100,"")</f>
        <v/>
      </c>
      <c r="W207" s="9">
        <f>IF(AND(L207&gt;0,H207&gt;0,J207&gt;0),(L207-I207)/(H207*J207),"")</f>
        <v/>
      </c>
      <c r="X207" s="5">
        <f>IF(AND(M207&gt;0,N207&gt;0),M207/N207*0.7,"")</f>
        <v/>
      </c>
    </row>
    <row r="208">
      <c r="A208" s="2" t="inlineStr">
        <is>
          <t>2026-05</t>
        </is>
      </c>
      <c r="B208" s="2" t="inlineStr">
        <is>
          <t>金条</t>
        </is>
      </c>
      <c r="C208" s="2" t="inlineStr">
        <is>
          <t>复贷</t>
        </is>
      </c>
      <c r="D208" s="2" t="inlineStr">
        <is>
          <t>人工</t>
        </is>
      </c>
      <c r="E208" s="2" t="inlineStr">
        <is>
          <t>伽玛</t>
        </is>
      </c>
      <c r="F208" s="3" t="n">
        <v>302961</v>
      </c>
      <c r="G208" s="3" t="n">
        <v>19765</v>
      </c>
      <c r="H208" s="3" t="n">
        <v>704130100</v>
      </c>
      <c r="I208" s="3" t="n">
        <v>62479</v>
      </c>
      <c r="J208" s="4" t="n">
        <v>0.36</v>
      </c>
      <c r="K208" s="3" t="n">
        <v>1.068</v>
      </c>
      <c r="L208" s="3" t="n">
        <v>822714</v>
      </c>
      <c r="M208" s="3" t="n">
        <v>711831</v>
      </c>
      <c r="N208" s="3" t="n">
        <v>74</v>
      </c>
      <c r="O208" s="5">
        <f>IF(L208&gt;0,L208-I208,"")</f>
        <v/>
      </c>
      <c r="P208" s="6">
        <f>IF(AND(M208&gt;0,L208&gt;0),M208/L208*100,"")</f>
        <v/>
      </c>
      <c r="Q208" s="7">
        <f>IF(AND(G208&gt;0,F208&gt;0),G208/F208*100,"")</f>
        <v/>
      </c>
      <c r="R208" s="5">
        <f>IF(AND(H208&gt;0,G208&gt;0),H208/G208,"")</f>
        <v/>
      </c>
      <c r="S208" s="8">
        <f>IF(AND(L208&gt;0,G208&gt;0),L208/G208,"")</f>
        <v/>
      </c>
      <c r="T208" s="8">
        <f>IF(AND(M208&gt;0,G208&gt;0),M208/G208,"")</f>
        <v/>
      </c>
      <c r="U208" s="5">
        <f>IF(AND(M208&gt;0,N208&gt;0),M208/N208,"")</f>
        <v/>
      </c>
      <c r="V208" s="6">
        <f>IF(AND(I208&gt;=0,L208&gt;0),I208/L208*100,"")</f>
        <v/>
      </c>
      <c r="W208" s="9">
        <f>IF(AND(L208&gt;0,H208&gt;0,J208&gt;0),(L208-I208)/(H208*J208),"")</f>
        <v/>
      </c>
      <c r="X208" s="5">
        <f>IF(AND(M208&gt;0,N208&gt;0),M208/N208*0.7,"")</f>
        <v/>
      </c>
    </row>
    <row r="209">
      <c r="A209" s="2" t="inlineStr">
        <is>
          <t>2026-05</t>
        </is>
      </c>
      <c r="B209" s="2" t="inlineStr">
        <is>
          <t>金条</t>
        </is>
      </c>
      <c r="C209" s="2" t="inlineStr">
        <is>
          <t>首贷</t>
        </is>
      </c>
      <c r="D209" s="2" t="inlineStr">
        <is>
          <t>人工</t>
        </is>
      </c>
      <c r="E209" s="2" t="inlineStr">
        <is>
          <t>广达陕西</t>
        </is>
      </c>
      <c r="F209" s="3" t="n">
        <v>84075</v>
      </c>
      <c r="G209" s="3" t="n">
        <v>778</v>
      </c>
      <c r="H209" s="3" t="n">
        <v>44586000</v>
      </c>
      <c r="I209" s="3" t="n">
        <v>12653</v>
      </c>
      <c r="J209" s="4" t="n">
        <v>0.07000000000000001</v>
      </c>
      <c r="K209" s="3" t="n">
        <v>1.068</v>
      </c>
      <c r="L209" s="3" t="n">
        <v>244583</v>
      </c>
      <c r="M209" s="3" t="n">
        <v>217162</v>
      </c>
      <c r="N209" s="3" t="n">
        <v>24</v>
      </c>
      <c r="O209" s="5">
        <f>IF(L209&gt;0,L209-I209,"")</f>
        <v/>
      </c>
      <c r="P209" s="6">
        <f>IF(AND(M209&gt;0,L209&gt;0),M209/L209*100,"")</f>
        <v/>
      </c>
      <c r="Q209" s="7">
        <f>IF(AND(G209&gt;0,F209&gt;0),G209/F209*100,"")</f>
        <v/>
      </c>
      <c r="R209" s="5">
        <f>IF(AND(H209&gt;0,G209&gt;0),H209/G209,"")</f>
        <v/>
      </c>
      <c r="S209" s="8">
        <f>IF(AND(L209&gt;0,G209&gt;0),L209/G209,"")</f>
        <v/>
      </c>
      <c r="T209" s="8">
        <f>IF(AND(M209&gt;0,G209&gt;0),M209/G209,"")</f>
        <v/>
      </c>
      <c r="U209" s="5">
        <f>IF(AND(M209&gt;0,N209&gt;0),M209/N209,"")</f>
        <v/>
      </c>
      <c r="V209" s="6">
        <f>IF(AND(I209&gt;=0,L209&gt;0),I209/L209*100,"")</f>
        <v/>
      </c>
      <c r="W209" s="9">
        <f>IF(AND(L209&gt;0,H209&gt;0,J209&gt;0),(L209-I209)/(H209*J209),"")</f>
        <v/>
      </c>
      <c r="X209" s="5">
        <f>IF(AND(M209&gt;0,N209&gt;0),M209/N209*0.7,"")</f>
        <v/>
      </c>
    </row>
    <row r="210">
      <c r="A210" s="2" t="inlineStr">
        <is>
          <t>2026-05</t>
        </is>
      </c>
      <c r="B210" s="2" t="inlineStr">
        <is>
          <t>金条</t>
        </is>
      </c>
      <c r="C210" s="2" t="inlineStr">
        <is>
          <t>复贷</t>
        </is>
      </c>
      <c r="D210" s="2" t="inlineStr">
        <is>
          <t>人工</t>
        </is>
      </c>
      <c r="E210" s="2" t="inlineStr">
        <is>
          <t>广达陕西</t>
        </is>
      </c>
      <c r="F210" s="3" t="n">
        <v>86186</v>
      </c>
      <c r="G210" s="3" t="n">
        <v>5658</v>
      </c>
      <c r="H210" s="3" t="n">
        <v>221456200</v>
      </c>
      <c r="I210" s="3" t="n">
        <v>19145</v>
      </c>
      <c r="J210" s="4" t="n">
        <v>0.36</v>
      </c>
      <c r="K210" s="3" t="n">
        <v>1.068</v>
      </c>
      <c r="L210" s="3" t="n">
        <v>266637</v>
      </c>
      <c r="M210" s="3" t="n">
        <v>231734</v>
      </c>
      <c r="N210" s="3" t="n">
        <v>22</v>
      </c>
      <c r="O210" s="5">
        <f>IF(L210&gt;0,L210-I210,"")</f>
        <v/>
      </c>
      <c r="P210" s="6">
        <f>IF(AND(M210&gt;0,L210&gt;0),M210/L210*100,"")</f>
        <v/>
      </c>
      <c r="Q210" s="7">
        <f>IF(AND(G210&gt;0,F210&gt;0),G210/F210*100,"")</f>
        <v/>
      </c>
      <c r="R210" s="5">
        <f>IF(AND(H210&gt;0,G210&gt;0),H210/G210,"")</f>
        <v/>
      </c>
      <c r="S210" s="8">
        <f>IF(AND(L210&gt;0,G210&gt;0),L210/G210,"")</f>
        <v/>
      </c>
      <c r="T210" s="8">
        <f>IF(AND(M210&gt;0,G210&gt;0),M210/G210,"")</f>
        <v/>
      </c>
      <c r="U210" s="5">
        <f>IF(AND(M210&gt;0,N210&gt;0),M210/N210,"")</f>
        <v/>
      </c>
      <c r="V210" s="6">
        <f>IF(AND(I210&gt;=0,L210&gt;0),I210/L210*100,"")</f>
        <v/>
      </c>
      <c r="W210" s="9">
        <f>IF(AND(L210&gt;0,H210&gt;0,J210&gt;0),(L210-I210)/(H210*J210),"")</f>
        <v/>
      </c>
      <c r="X210" s="5">
        <f>IF(AND(M210&gt;0,N210&gt;0),M210/N210*0.7,"")</f>
        <v/>
      </c>
    </row>
    <row r="211">
      <c r="A211" s="2" t="inlineStr">
        <is>
          <t>2026-05</t>
        </is>
      </c>
      <c r="B211" s="2" t="inlineStr">
        <is>
          <t>金条</t>
        </is>
      </c>
      <c r="C211" s="2" t="inlineStr">
        <is>
          <t>首贷</t>
        </is>
      </c>
      <c r="D211" s="2" t="inlineStr">
        <is>
          <t>人工</t>
        </is>
      </c>
      <c r="E211" s="2" t="inlineStr">
        <is>
          <t>翰锐曲靖</t>
        </is>
      </c>
      <c r="F211" s="3" t="n">
        <v>73121</v>
      </c>
      <c r="G211" s="3" t="n">
        <v>815</v>
      </c>
      <c r="H211" s="3" t="n">
        <v>46613300</v>
      </c>
      <c r="I211" s="3" t="n">
        <v>11763</v>
      </c>
      <c r="J211" s="4" t="n">
        <v>0.07000000000000001</v>
      </c>
      <c r="K211" s="3" t="n">
        <v>1.068</v>
      </c>
      <c r="L211" s="3" t="n">
        <v>247931</v>
      </c>
      <c r="M211" s="3" t="n">
        <v>221131</v>
      </c>
      <c r="N211" s="3" t="n">
        <v>21</v>
      </c>
      <c r="O211" s="5">
        <f>IF(L211&gt;0,L211-I211,"")</f>
        <v/>
      </c>
      <c r="P211" s="6">
        <f>IF(AND(M211&gt;0,L211&gt;0),M211/L211*100,"")</f>
        <v/>
      </c>
      <c r="Q211" s="7">
        <f>IF(AND(G211&gt;0,F211&gt;0),G211/F211*100,"")</f>
        <v/>
      </c>
      <c r="R211" s="5">
        <f>IF(AND(H211&gt;0,G211&gt;0),H211/G211,"")</f>
        <v/>
      </c>
      <c r="S211" s="8">
        <f>IF(AND(L211&gt;0,G211&gt;0),L211/G211,"")</f>
        <v/>
      </c>
      <c r="T211" s="8">
        <f>IF(AND(M211&gt;0,G211&gt;0),M211/G211,"")</f>
        <v/>
      </c>
      <c r="U211" s="5">
        <f>IF(AND(M211&gt;0,N211&gt;0),M211/N211,"")</f>
        <v/>
      </c>
      <c r="V211" s="6">
        <f>IF(AND(I211&gt;=0,L211&gt;0),I211/L211*100,"")</f>
        <v/>
      </c>
      <c r="W211" s="9">
        <f>IF(AND(L211&gt;0,H211&gt;0,J211&gt;0),(L211-I211)/(H211*J211),"")</f>
        <v/>
      </c>
      <c r="X211" s="5">
        <f>IF(AND(M211&gt;0,N211&gt;0),M211/N211*0.7,"")</f>
        <v/>
      </c>
    </row>
    <row r="212">
      <c r="A212" s="2" t="inlineStr">
        <is>
          <t>2026-05</t>
        </is>
      </c>
      <c r="B212" s="2" t="inlineStr">
        <is>
          <t>金条</t>
        </is>
      </c>
      <c r="C212" s="2" t="inlineStr">
        <is>
          <t>复贷</t>
        </is>
      </c>
      <c r="D212" s="2" t="inlineStr">
        <is>
          <t>人工</t>
        </is>
      </c>
      <c r="E212" s="2" t="inlineStr">
        <is>
          <t>翰锐曲靖</t>
        </is>
      </c>
      <c r="F212" s="3" t="n">
        <v>180900</v>
      </c>
      <c r="G212" s="3" t="n">
        <v>11428</v>
      </c>
      <c r="H212" s="3" t="n">
        <v>418706300</v>
      </c>
      <c r="I212" s="3" t="n">
        <v>33887</v>
      </c>
      <c r="J212" s="4" t="n">
        <v>0.36</v>
      </c>
      <c r="K212" s="3" t="n">
        <v>1.068</v>
      </c>
      <c r="L212" s="3" t="n">
        <v>493455</v>
      </c>
      <c r="M212" s="3" t="n">
        <v>430307</v>
      </c>
      <c r="N212" s="3" t="n">
        <v>46</v>
      </c>
      <c r="O212" s="5">
        <f>IF(L212&gt;0,L212-I212,"")</f>
        <v/>
      </c>
      <c r="P212" s="6">
        <f>IF(AND(M212&gt;0,L212&gt;0),M212/L212*100,"")</f>
        <v/>
      </c>
      <c r="Q212" s="7">
        <f>IF(AND(G212&gt;0,F212&gt;0),G212/F212*100,"")</f>
        <v/>
      </c>
      <c r="R212" s="5">
        <f>IF(AND(H212&gt;0,G212&gt;0),H212/G212,"")</f>
        <v/>
      </c>
      <c r="S212" s="8">
        <f>IF(AND(L212&gt;0,G212&gt;0),L212/G212,"")</f>
        <v/>
      </c>
      <c r="T212" s="8">
        <f>IF(AND(M212&gt;0,G212&gt;0),M212/G212,"")</f>
        <v/>
      </c>
      <c r="U212" s="5">
        <f>IF(AND(M212&gt;0,N212&gt;0),M212/N212,"")</f>
        <v/>
      </c>
      <c r="V212" s="6">
        <f>IF(AND(I212&gt;=0,L212&gt;0),I212/L212*100,"")</f>
        <v/>
      </c>
      <c r="W212" s="9">
        <f>IF(AND(L212&gt;0,H212&gt;0,J212&gt;0),(L212-I212)/(H212*J212),"")</f>
        <v/>
      </c>
      <c r="X212" s="5">
        <f>IF(AND(M212&gt;0,N212&gt;0),M212/N212*0.7,"")</f>
        <v/>
      </c>
    </row>
    <row r="213">
      <c r="A213" s="2" t="inlineStr">
        <is>
          <t>2026-05</t>
        </is>
      </c>
      <c r="B213" s="2" t="inlineStr">
        <is>
          <t>金条</t>
        </is>
      </c>
      <c r="C213" s="2" t="inlineStr">
        <is>
          <t>首贷</t>
        </is>
      </c>
      <c r="D213" s="2" t="inlineStr">
        <is>
          <t>人工</t>
        </is>
      </c>
      <c r="E213" s="2" t="inlineStr">
        <is>
          <t>华啸</t>
        </is>
      </c>
      <c r="F213" s="3" t="n">
        <v>12938</v>
      </c>
      <c r="G213" s="3" t="n">
        <v>89</v>
      </c>
      <c r="H213" s="3" t="n">
        <v>4561600</v>
      </c>
      <c r="I213" s="3" t="n">
        <v>2019</v>
      </c>
      <c r="J213" s="4" t="n">
        <v>0.07000000000000001</v>
      </c>
      <c r="K213" s="3" t="n">
        <v>1.068</v>
      </c>
      <c r="L213" s="3" t="n">
        <v>25681</v>
      </c>
      <c r="M213" s="3" t="n">
        <v>22155</v>
      </c>
      <c r="N213" s="3" t="n">
        <v>3</v>
      </c>
      <c r="O213" s="5">
        <f>IF(L213&gt;0,L213-I213,"")</f>
        <v/>
      </c>
      <c r="P213" s="6">
        <f>IF(AND(M213&gt;0,L213&gt;0),M213/L213*100,"")</f>
        <v/>
      </c>
      <c r="Q213" s="7">
        <f>IF(AND(G213&gt;0,F213&gt;0),G213/F213*100,"")</f>
        <v/>
      </c>
      <c r="R213" s="5">
        <f>IF(AND(H213&gt;0,G213&gt;0),H213/G213,"")</f>
        <v/>
      </c>
      <c r="S213" s="8">
        <f>IF(AND(L213&gt;0,G213&gt;0),L213/G213,"")</f>
        <v/>
      </c>
      <c r="T213" s="8">
        <f>IF(AND(M213&gt;0,G213&gt;0),M213/G213,"")</f>
        <v/>
      </c>
      <c r="U213" s="5">
        <f>IF(AND(M213&gt;0,N213&gt;0),M213/N213,"")</f>
        <v/>
      </c>
      <c r="V213" s="6">
        <f>IF(AND(I213&gt;=0,L213&gt;0),I213/L213*100,"")</f>
        <v/>
      </c>
      <c r="W213" s="9">
        <f>IF(AND(L213&gt;0,H213&gt;0,J213&gt;0),(L213-I213)/(H213*J213),"")</f>
        <v/>
      </c>
      <c r="X213" s="5">
        <f>IF(AND(M213&gt;0,N213&gt;0),M213/N213*0.7,"")</f>
        <v/>
      </c>
    </row>
    <row r="214">
      <c r="A214" s="2" t="inlineStr">
        <is>
          <t>2026-05</t>
        </is>
      </c>
      <c r="B214" s="2" t="inlineStr">
        <is>
          <t>金条</t>
        </is>
      </c>
      <c r="C214" s="2" t="inlineStr">
        <is>
          <t>复贷</t>
        </is>
      </c>
      <c r="D214" s="2" t="inlineStr">
        <is>
          <t>人工</t>
        </is>
      </c>
      <c r="E214" s="2" t="inlineStr">
        <is>
          <t>华啸</t>
        </is>
      </c>
      <c r="F214" s="3" t="n">
        <v>119679</v>
      </c>
      <c r="G214" s="3" t="n">
        <v>6657</v>
      </c>
      <c r="H214" s="3" t="n">
        <v>271816000</v>
      </c>
      <c r="I214" s="3" t="n">
        <v>20668</v>
      </c>
      <c r="J214" s="4" t="n">
        <v>0.36</v>
      </c>
      <c r="K214" s="3" t="n">
        <v>1.068</v>
      </c>
      <c r="L214" s="3" t="n">
        <v>321599</v>
      </c>
      <c r="M214" s="3" t="n">
        <v>281771</v>
      </c>
      <c r="N214" s="3" t="n">
        <v>32</v>
      </c>
      <c r="O214" s="5">
        <f>IF(L214&gt;0,L214-I214,"")</f>
        <v/>
      </c>
      <c r="P214" s="6">
        <f>IF(AND(M214&gt;0,L214&gt;0),M214/L214*100,"")</f>
        <v/>
      </c>
      <c r="Q214" s="7">
        <f>IF(AND(G214&gt;0,F214&gt;0),G214/F214*100,"")</f>
        <v/>
      </c>
      <c r="R214" s="5">
        <f>IF(AND(H214&gt;0,G214&gt;0),H214/G214,"")</f>
        <v/>
      </c>
      <c r="S214" s="8">
        <f>IF(AND(L214&gt;0,G214&gt;0),L214/G214,"")</f>
        <v/>
      </c>
      <c r="T214" s="8">
        <f>IF(AND(M214&gt;0,G214&gt;0),M214/G214,"")</f>
        <v/>
      </c>
      <c r="U214" s="5">
        <f>IF(AND(M214&gt;0,N214&gt;0),M214/N214,"")</f>
        <v/>
      </c>
      <c r="V214" s="6">
        <f>IF(AND(I214&gt;=0,L214&gt;0),I214/L214*100,"")</f>
        <v/>
      </c>
      <c r="W214" s="9">
        <f>IF(AND(L214&gt;0,H214&gt;0,J214&gt;0),(L214-I214)/(H214*J214),"")</f>
        <v/>
      </c>
      <c r="X214" s="5">
        <f>IF(AND(M214&gt;0,N214&gt;0),M214/N214*0.7,"")</f>
        <v/>
      </c>
    </row>
    <row r="215">
      <c r="A215" s="2" t="inlineStr">
        <is>
          <t>2026-05</t>
        </is>
      </c>
      <c r="B215" s="2" t="inlineStr">
        <is>
          <t>金条</t>
        </is>
      </c>
      <c r="C215" s="2" t="inlineStr">
        <is>
          <t>首贷</t>
        </is>
      </c>
      <c r="D215" s="2" t="inlineStr">
        <is>
          <t>人工</t>
        </is>
      </c>
      <c r="E215" s="2" t="inlineStr">
        <is>
          <t>汇讯</t>
        </is>
      </c>
      <c r="F215" s="3" t="n">
        <v>256619</v>
      </c>
      <c r="G215" s="3" t="n">
        <v>2603</v>
      </c>
      <c r="H215" s="3" t="n">
        <v>140269600</v>
      </c>
      <c r="I215" s="3" t="n">
        <v>40473</v>
      </c>
      <c r="J215" s="4" t="n">
        <v>0.07000000000000001</v>
      </c>
      <c r="K215" s="3" t="n">
        <v>1.068</v>
      </c>
      <c r="L215" s="3" t="n">
        <v>731972</v>
      </c>
      <c r="M215" s="3" t="n">
        <v>647471</v>
      </c>
      <c r="N215" s="3" t="n">
        <v>69</v>
      </c>
      <c r="O215" s="5">
        <f>IF(L215&gt;0,L215-I215,"")</f>
        <v/>
      </c>
      <c r="P215" s="6">
        <f>IF(AND(M215&gt;0,L215&gt;0),M215/L215*100,"")</f>
        <v/>
      </c>
      <c r="Q215" s="7">
        <f>IF(AND(G215&gt;0,F215&gt;0),G215/F215*100,"")</f>
        <v/>
      </c>
      <c r="R215" s="5">
        <f>IF(AND(H215&gt;0,G215&gt;0),H215/G215,"")</f>
        <v/>
      </c>
      <c r="S215" s="8">
        <f>IF(AND(L215&gt;0,G215&gt;0),L215/G215,"")</f>
        <v/>
      </c>
      <c r="T215" s="8">
        <f>IF(AND(M215&gt;0,G215&gt;0),M215/G215,"")</f>
        <v/>
      </c>
      <c r="U215" s="5">
        <f>IF(AND(M215&gt;0,N215&gt;0),M215/N215,"")</f>
        <v/>
      </c>
      <c r="V215" s="6">
        <f>IF(AND(I215&gt;=0,L215&gt;0),I215/L215*100,"")</f>
        <v/>
      </c>
      <c r="W215" s="9">
        <f>IF(AND(L215&gt;0,H215&gt;0,J215&gt;0),(L215-I215)/(H215*J215),"")</f>
        <v/>
      </c>
      <c r="X215" s="5">
        <f>IF(AND(M215&gt;0,N215&gt;0),M215/N215*0.7,"")</f>
        <v/>
      </c>
    </row>
    <row r="216">
      <c r="A216" s="2" t="inlineStr">
        <is>
          <t>2026-05</t>
        </is>
      </c>
      <c r="B216" s="2" t="inlineStr">
        <is>
          <t>金条</t>
        </is>
      </c>
      <c r="C216" s="2" t="inlineStr">
        <is>
          <t>复贷</t>
        </is>
      </c>
      <c r="D216" s="2" t="inlineStr">
        <is>
          <t>人工</t>
        </is>
      </c>
      <c r="E216" s="2" t="inlineStr">
        <is>
          <t>汇讯</t>
        </is>
      </c>
      <c r="F216" s="3" t="n">
        <v>104977</v>
      </c>
      <c r="G216" s="3" t="n">
        <v>7016</v>
      </c>
      <c r="H216" s="3" t="n">
        <v>268894300</v>
      </c>
      <c r="I216" s="3" t="n">
        <v>20179</v>
      </c>
      <c r="J216" s="4" t="n">
        <v>0.36</v>
      </c>
      <c r="K216" s="3" t="n">
        <v>1.068</v>
      </c>
      <c r="L216" s="3" t="n">
        <v>313238</v>
      </c>
      <c r="M216" s="3" t="n">
        <v>274400</v>
      </c>
      <c r="N216" s="3" t="n">
        <v>26</v>
      </c>
      <c r="O216" s="5">
        <f>IF(L216&gt;0,L216-I216,"")</f>
        <v/>
      </c>
      <c r="P216" s="6">
        <f>IF(AND(M216&gt;0,L216&gt;0),M216/L216*100,"")</f>
        <v/>
      </c>
      <c r="Q216" s="7">
        <f>IF(AND(G216&gt;0,F216&gt;0),G216/F216*100,"")</f>
        <v/>
      </c>
      <c r="R216" s="5">
        <f>IF(AND(H216&gt;0,G216&gt;0),H216/G216,"")</f>
        <v/>
      </c>
      <c r="S216" s="8">
        <f>IF(AND(L216&gt;0,G216&gt;0),L216/G216,"")</f>
        <v/>
      </c>
      <c r="T216" s="8">
        <f>IF(AND(M216&gt;0,G216&gt;0),M216/G216,"")</f>
        <v/>
      </c>
      <c r="U216" s="5">
        <f>IF(AND(M216&gt;0,N216&gt;0),M216/N216,"")</f>
        <v/>
      </c>
      <c r="V216" s="6">
        <f>IF(AND(I216&gt;=0,L216&gt;0),I216/L216*100,"")</f>
        <v/>
      </c>
      <c r="W216" s="9">
        <f>IF(AND(L216&gt;0,H216&gt;0,J216&gt;0),(L216-I216)/(H216*J216),"")</f>
        <v/>
      </c>
      <c r="X216" s="5">
        <f>IF(AND(M216&gt;0,N216&gt;0),M216/N216*0.7,"")</f>
        <v/>
      </c>
    </row>
    <row r="217">
      <c r="A217" s="2" t="inlineStr">
        <is>
          <t>2026-05</t>
        </is>
      </c>
      <c r="B217" s="2" t="inlineStr">
        <is>
          <t>金条</t>
        </is>
      </c>
      <c r="C217" s="2" t="inlineStr">
        <is>
          <t>首贷</t>
        </is>
      </c>
      <c r="D217" s="2" t="inlineStr">
        <is>
          <t>人工</t>
        </is>
      </c>
      <c r="E217" s="2" t="inlineStr">
        <is>
          <t>毛毛虫</t>
        </is>
      </c>
      <c r="F217" s="3" t="n">
        <v>618387</v>
      </c>
      <c r="G217" s="3" t="n">
        <v>7467</v>
      </c>
      <c r="H217" s="3" t="n">
        <v>454391900</v>
      </c>
      <c r="I217" s="3" t="n">
        <v>94399</v>
      </c>
      <c r="J217" s="4" t="n">
        <v>0.07000000000000001</v>
      </c>
      <c r="K217" s="3" t="n">
        <v>1.068</v>
      </c>
      <c r="L217" s="3" t="n">
        <v>2422780</v>
      </c>
      <c r="M217" s="3" t="n">
        <v>2180132</v>
      </c>
      <c r="N217" s="3" t="n">
        <v>167</v>
      </c>
      <c r="O217" s="5">
        <f>IF(L217&gt;0,L217-I217,"")</f>
        <v/>
      </c>
      <c r="P217" s="6">
        <f>IF(AND(M217&gt;0,L217&gt;0),M217/L217*100,"")</f>
        <v/>
      </c>
      <c r="Q217" s="7">
        <f>IF(AND(G217&gt;0,F217&gt;0),G217/F217*100,"")</f>
        <v/>
      </c>
      <c r="R217" s="5">
        <f>IF(AND(H217&gt;0,G217&gt;0),H217/G217,"")</f>
        <v/>
      </c>
      <c r="S217" s="8">
        <f>IF(AND(L217&gt;0,G217&gt;0),L217/G217,"")</f>
        <v/>
      </c>
      <c r="T217" s="8">
        <f>IF(AND(M217&gt;0,G217&gt;0),M217/G217,"")</f>
        <v/>
      </c>
      <c r="U217" s="5">
        <f>IF(AND(M217&gt;0,N217&gt;0),M217/N217,"")</f>
        <v/>
      </c>
      <c r="V217" s="6">
        <f>IF(AND(I217&gt;=0,L217&gt;0),I217/L217*100,"")</f>
        <v/>
      </c>
      <c r="W217" s="9">
        <f>IF(AND(L217&gt;0,H217&gt;0,J217&gt;0),(L217-I217)/(H217*J217),"")</f>
        <v/>
      </c>
      <c r="X217" s="5">
        <f>IF(AND(M217&gt;0,N217&gt;0),M217/N217*0.7,"")</f>
        <v/>
      </c>
    </row>
    <row r="218">
      <c r="A218" s="2" t="inlineStr">
        <is>
          <t>2026-05</t>
        </is>
      </c>
      <c r="B218" s="2" t="inlineStr">
        <is>
          <t>金条</t>
        </is>
      </c>
      <c r="C218" s="2" t="inlineStr">
        <is>
          <t>复贷</t>
        </is>
      </c>
      <c r="D218" s="2" t="inlineStr">
        <is>
          <t>人工</t>
        </is>
      </c>
      <c r="E218" s="2" t="inlineStr">
        <is>
          <t>毛毛虫</t>
        </is>
      </c>
      <c r="F218" s="3" t="n">
        <v>235635</v>
      </c>
      <c r="G218" s="3" t="n">
        <v>14862</v>
      </c>
      <c r="H218" s="3" t="n">
        <v>604124700</v>
      </c>
      <c r="I218" s="3" t="n">
        <v>44278</v>
      </c>
      <c r="J218" s="4" t="n">
        <v>0.36</v>
      </c>
      <c r="K218" s="3" t="n">
        <v>1.068</v>
      </c>
      <c r="L218" s="3" t="n">
        <v>730725</v>
      </c>
      <c r="M218" s="3" t="n">
        <v>642741</v>
      </c>
      <c r="N218" s="3" t="n">
        <v>61</v>
      </c>
      <c r="O218" s="5">
        <f>IF(L218&gt;0,L218-I218,"")</f>
        <v/>
      </c>
      <c r="P218" s="6">
        <f>IF(AND(M218&gt;0,L218&gt;0),M218/L218*100,"")</f>
        <v/>
      </c>
      <c r="Q218" s="7">
        <f>IF(AND(G218&gt;0,F218&gt;0),G218/F218*100,"")</f>
        <v/>
      </c>
      <c r="R218" s="5">
        <f>IF(AND(H218&gt;0,G218&gt;0),H218/G218,"")</f>
        <v/>
      </c>
      <c r="S218" s="8">
        <f>IF(AND(L218&gt;0,G218&gt;0),L218/G218,"")</f>
        <v/>
      </c>
      <c r="T218" s="8">
        <f>IF(AND(M218&gt;0,G218&gt;0),M218/G218,"")</f>
        <v/>
      </c>
      <c r="U218" s="5">
        <f>IF(AND(M218&gt;0,N218&gt;0),M218/N218,"")</f>
        <v/>
      </c>
      <c r="V218" s="6">
        <f>IF(AND(I218&gt;=0,L218&gt;0),I218/L218*100,"")</f>
        <v/>
      </c>
      <c r="W218" s="9">
        <f>IF(AND(L218&gt;0,H218&gt;0,J218&gt;0),(L218-I218)/(H218*J218),"")</f>
        <v/>
      </c>
      <c r="X218" s="5">
        <f>IF(AND(M218&gt;0,N218&gt;0),M218/N218*0.7,"")</f>
        <v/>
      </c>
    </row>
    <row r="219">
      <c r="A219" s="2" t="inlineStr">
        <is>
          <t>2026-05</t>
        </is>
      </c>
      <c r="B219" s="2" t="inlineStr">
        <is>
          <t>金条</t>
        </is>
      </c>
      <c r="C219" s="2" t="inlineStr">
        <is>
          <t>首贷</t>
        </is>
      </c>
      <c r="D219" s="2" t="inlineStr">
        <is>
          <t>人工</t>
        </is>
      </c>
      <c r="E219" s="2" t="inlineStr">
        <is>
          <t>岐力</t>
        </is>
      </c>
      <c r="F219" s="3" t="n">
        <v>17663</v>
      </c>
      <c r="G219" s="3" t="n">
        <v>148</v>
      </c>
      <c r="H219" s="3" t="n">
        <v>6037700</v>
      </c>
      <c r="I219" s="3" t="n">
        <v>3141</v>
      </c>
      <c r="J219" s="4" t="n">
        <v>0.07000000000000001</v>
      </c>
      <c r="K219" s="3" t="n">
        <v>1.068</v>
      </c>
      <c r="L219" s="3" t="n">
        <v>30560</v>
      </c>
      <c r="M219" s="3" t="n">
        <v>25673</v>
      </c>
      <c r="N219" s="3" t="n">
        <v>5</v>
      </c>
      <c r="O219" s="5">
        <f>IF(L219&gt;0,L219-I219,"")</f>
        <v/>
      </c>
      <c r="P219" s="6">
        <f>IF(AND(M219&gt;0,L219&gt;0),M219/L219*100,"")</f>
        <v/>
      </c>
      <c r="Q219" s="7">
        <f>IF(AND(G219&gt;0,F219&gt;0),G219/F219*100,"")</f>
        <v/>
      </c>
      <c r="R219" s="5">
        <f>IF(AND(H219&gt;0,G219&gt;0),H219/G219,"")</f>
        <v/>
      </c>
      <c r="S219" s="8">
        <f>IF(AND(L219&gt;0,G219&gt;0),L219/G219,"")</f>
        <v/>
      </c>
      <c r="T219" s="8">
        <f>IF(AND(M219&gt;0,G219&gt;0),M219/G219,"")</f>
        <v/>
      </c>
      <c r="U219" s="5">
        <f>IF(AND(M219&gt;0,N219&gt;0),M219/N219,"")</f>
        <v/>
      </c>
      <c r="V219" s="6">
        <f>IF(AND(I219&gt;=0,L219&gt;0),I219/L219*100,"")</f>
        <v/>
      </c>
      <c r="W219" s="9">
        <f>IF(AND(L219&gt;0,H219&gt;0,J219&gt;0),(L219-I219)/(H219*J219),"")</f>
        <v/>
      </c>
      <c r="X219" s="5">
        <f>IF(AND(M219&gt;0,N219&gt;0),M219/N219*0.7,"")</f>
        <v/>
      </c>
    </row>
    <row r="220">
      <c r="A220" s="2" t="inlineStr">
        <is>
          <t>2026-05</t>
        </is>
      </c>
      <c r="B220" s="2" t="inlineStr">
        <is>
          <t>金条</t>
        </is>
      </c>
      <c r="C220" s="2" t="inlineStr">
        <is>
          <t>复贷</t>
        </is>
      </c>
      <c r="D220" s="2" t="inlineStr">
        <is>
          <t>人工</t>
        </is>
      </c>
      <c r="E220" s="2" t="inlineStr">
        <is>
          <t>岐力</t>
        </is>
      </c>
      <c r="F220" s="3" t="n">
        <v>232895</v>
      </c>
      <c r="G220" s="3" t="n">
        <v>12596</v>
      </c>
      <c r="H220" s="3" t="n">
        <v>417142600</v>
      </c>
      <c r="I220" s="3" t="n">
        <v>39805</v>
      </c>
      <c r="J220" s="4" t="n">
        <v>0.36</v>
      </c>
      <c r="K220" s="3" t="n">
        <v>1.068</v>
      </c>
      <c r="L220" s="3" t="n">
        <v>490896</v>
      </c>
      <c r="M220" s="3" t="n">
        <v>422370</v>
      </c>
      <c r="N220" s="3" t="n">
        <v>59</v>
      </c>
      <c r="O220" s="5">
        <f>IF(L220&gt;0,L220-I220,"")</f>
        <v/>
      </c>
      <c r="P220" s="6">
        <f>IF(AND(M220&gt;0,L220&gt;0),M220/L220*100,"")</f>
        <v/>
      </c>
      <c r="Q220" s="7">
        <f>IF(AND(G220&gt;0,F220&gt;0),G220/F220*100,"")</f>
        <v/>
      </c>
      <c r="R220" s="5">
        <f>IF(AND(H220&gt;0,G220&gt;0),H220/G220,"")</f>
        <v/>
      </c>
      <c r="S220" s="8">
        <f>IF(AND(L220&gt;0,G220&gt;0),L220/G220,"")</f>
        <v/>
      </c>
      <c r="T220" s="8">
        <f>IF(AND(M220&gt;0,G220&gt;0),M220/G220,"")</f>
        <v/>
      </c>
      <c r="U220" s="5">
        <f>IF(AND(M220&gt;0,N220&gt;0),M220/N220,"")</f>
        <v/>
      </c>
      <c r="V220" s="6">
        <f>IF(AND(I220&gt;=0,L220&gt;0),I220/L220*100,"")</f>
        <v/>
      </c>
      <c r="W220" s="9">
        <f>IF(AND(L220&gt;0,H220&gt;0,J220&gt;0),(L220-I220)/(H220*J220),"")</f>
        <v/>
      </c>
      <c r="X220" s="5">
        <f>IF(AND(M220&gt;0,N220&gt;0),M220/N220*0.7,"")</f>
        <v/>
      </c>
    </row>
    <row r="221">
      <c r="A221" s="2" t="inlineStr">
        <is>
          <t>2026-05</t>
        </is>
      </c>
      <c r="B221" s="2" t="inlineStr">
        <is>
          <t>金条</t>
        </is>
      </c>
      <c r="C221" s="2" t="inlineStr">
        <is>
          <t>首贷</t>
        </is>
      </c>
      <c r="D221" s="2" t="inlineStr">
        <is>
          <t>人工</t>
        </is>
      </c>
      <c r="E221" s="2" t="inlineStr">
        <is>
          <t>人和</t>
        </is>
      </c>
      <c r="F221" s="3" t="n">
        <v>60531</v>
      </c>
      <c r="G221" s="3" t="n">
        <v>561</v>
      </c>
      <c r="H221" s="3" t="n">
        <v>32226900</v>
      </c>
      <c r="I221" s="3" t="n">
        <v>9964</v>
      </c>
      <c r="J221" s="4" t="n">
        <v>0.07000000000000001</v>
      </c>
      <c r="K221" s="3" t="n">
        <v>1.068</v>
      </c>
      <c r="L221" s="3" t="n">
        <v>175566</v>
      </c>
      <c r="M221" s="3" t="n">
        <v>155058</v>
      </c>
      <c r="N221" s="3" t="n">
        <v>17</v>
      </c>
      <c r="O221" s="5">
        <f>IF(L221&gt;0,L221-I221,"")</f>
        <v/>
      </c>
      <c r="P221" s="6">
        <f>IF(AND(M221&gt;0,L221&gt;0),M221/L221*100,"")</f>
        <v/>
      </c>
      <c r="Q221" s="7">
        <f>IF(AND(G221&gt;0,F221&gt;0),G221/F221*100,"")</f>
        <v/>
      </c>
      <c r="R221" s="5">
        <f>IF(AND(H221&gt;0,G221&gt;0),H221/G221,"")</f>
        <v/>
      </c>
      <c r="S221" s="8">
        <f>IF(AND(L221&gt;0,G221&gt;0),L221/G221,"")</f>
        <v/>
      </c>
      <c r="T221" s="8">
        <f>IF(AND(M221&gt;0,G221&gt;0),M221/G221,"")</f>
        <v/>
      </c>
      <c r="U221" s="5">
        <f>IF(AND(M221&gt;0,N221&gt;0),M221/N221,"")</f>
        <v/>
      </c>
      <c r="V221" s="6">
        <f>IF(AND(I221&gt;=0,L221&gt;0),I221/L221*100,"")</f>
        <v/>
      </c>
      <c r="W221" s="9">
        <f>IF(AND(L221&gt;0,H221&gt;0,J221&gt;0),(L221-I221)/(H221*J221),"")</f>
        <v/>
      </c>
      <c r="X221" s="5">
        <f>IF(AND(M221&gt;0,N221&gt;0),M221/N221*0.7,"")</f>
        <v/>
      </c>
    </row>
    <row r="222">
      <c r="A222" s="2" t="inlineStr">
        <is>
          <t>2026-05</t>
        </is>
      </c>
      <c r="B222" s="2" t="inlineStr">
        <is>
          <t>金条</t>
        </is>
      </c>
      <c r="C222" s="2" t="inlineStr">
        <is>
          <t>复贷</t>
        </is>
      </c>
      <c r="D222" s="2" t="inlineStr">
        <is>
          <t>人工</t>
        </is>
      </c>
      <c r="E222" s="2" t="inlineStr">
        <is>
          <t>人和</t>
        </is>
      </c>
      <c r="F222" s="3" t="n">
        <v>73541</v>
      </c>
      <c r="G222" s="3" t="n">
        <v>4075</v>
      </c>
      <c r="H222" s="3" t="n">
        <v>165104600</v>
      </c>
      <c r="I222" s="3" t="n">
        <v>11630</v>
      </c>
      <c r="J222" s="4" t="n">
        <v>0.36</v>
      </c>
      <c r="K222" s="3" t="n">
        <v>1.068</v>
      </c>
      <c r="L222" s="3" t="n">
        <v>194222</v>
      </c>
      <c r="M222" s="3" t="n">
        <v>170967</v>
      </c>
      <c r="N222" s="3" t="n">
        <v>20</v>
      </c>
      <c r="O222" s="5">
        <f>IF(L222&gt;0,L222-I222,"")</f>
        <v/>
      </c>
      <c r="P222" s="6">
        <f>IF(AND(M222&gt;0,L222&gt;0),M222/L222*100,"")</f>
        <v/>
      </c>
      <c r="Q222" s="7">
        <f>IF(AND(G222&gt;0,F222&gt;0),G222/F222*100,"")</f>
        <v/>
      </c>
      <c r="R222" s="5">
        <f>IF(AND(H222&gt;0,G222&gt;0),H222/G222,"")</f>
        <v/>
      </c>
      <c r="S222" s="8">
        <f>IF(AND(L222&gt;0,G222&gt;0),L222/G222,"")</f>
        <v/>
      </c>
      <c r="T222" s="8">
        <f>IF(AND(M222&gt;0,G222&gt;0),M222/G222,"")</f>
        <v/>
      </c>
      <c r="U222" s="5">
        <f>IF(AND(M222&gt;0,N222&gt;0),M222/N222,"")</f>
        <v/>
      </c>
      <c r="V222" s="6">
        <f>IF(AND(I222&gt;=0,L222&gt;0),I222/L222*100,"")</f>
        <v/>
      </c>
      <c r="W222" s="9">
        <f>IF(AND(L222&gt;0,H222&gt;0,J222&gt;0),(L222-I222)/(H222*J222),"")</f>
        <v/>
      </c>
      <c r="X222" s="5">
        <f>IF(AND(M222&gt;0,N222&gt;0),M222/N222*0.7,"")</f>
        <v/>
      </c>
    </row>
    <row r="223">
      <c r="A223" s="2" t="inlineStr">
        <is>
          <t>2026-05</t>
        </is>
      </c>
      <c r="B223" s="2" t="inlineStr">
        <is>
          <t>金条</t>
        </is>
      </c>
      <c r="C223" s="2" t="inlineStr">
        <is>
          <t>首贷</t>
        </is>
      </c>
      <c r="D223" s="2" t="inlineStr">
        <is>
          <t>人工</t>
        </is>
      </c>
      <c r="E223" s="2" t="inlineStr">
        <is>
          <t>赛维斯</t>
        </is>
      </c>
      <c r="F223" s="3" t="n">
        <v>217922</v>
      </c>
      <c r="G223" s="3" t="n">
        <v>2200</v>
      </c>
      <c r="H223" s="3" t="n">
        <v>109227100</v>
      </c>
      <c r="I223" s="3" t="n">
        <v>33828</v>
      </c>
      <c r="J223" s="4" t="n">
        <v>0.07000000000000001</v>
      </c>
      <c r="K223" s="3" t="n">
        <v>1.068</v>
      </c>
      <c r="L223" s="3" t="n">
        <v>583134</v>
      </c>
      <c r="M223" s="3" t="n">
        <v>514332</v>
      </c>
      <c r="N223" s="3" t="n">
        <v>60</v>
      </c>
      <c r="O223" s="5">
        <f>IF(L223&gt;0,L223-I223,"")</f>
        <v/>
      </c>
      <c r="P223" s="6">
        <f>IF(AND(M223&gt;0,L223&gt;0),M223/L223*100,"")</f>
        <v/>
      </c>
      <c r="Q223" s="7">
        <f>IF(AND(G223&gt;0,F223&gt;0),G223/F223*100,"")</f>
        <v/>
      </c>
      <c r="R223" s="5">
        <f>IF(AND(H223&gt;0,G223&gt;0),H223/G223,"")</f>
        <v/>
      </c>
      <c r="S223" s="8">
        <f>IF(AND(L223&gt;0,G223&gt;0),L223/G223,"")</f>
        <v/>
      </c>
      <c r="T223" s="8">
        <f>IF(AND(M223&gt;0,G223&gt;0),M223/G223,"")</f>
        <v/>
      </c>
      <c r="U223" s="5">
        <f>IF(AND(M223&gt;0,N223&gt;0),M223/N223,"")</f>
        <v/>
      </c>
      <c r="V223" s="6">
        <f>IF(AND(I223&gt;=0,L223&gt;0),I223/L223*100,"")</f>
        <v/>
      </c>
      <c r="W223" s="9">
        <f>IF(AND(L223&gt;0,H223&gt;0,J223&gt;0),(L223-I223)/(H223*J223),"")</f>
        <v/>
      </c>
      <c r="X223" s="5">
        <f>IF(AND(M223&gt;0,N223&gt;0),M223/N223*0.7,"")</f>
        <v/>
      </c>
    </row>
    <row r="224">
      <c r="A224" s="2" t="inlineStr">
        <is>
          <t>2026-05</t>
        </is>
      </c>
      <c r="B224" s="2" t="inlineStr">
        <is>
          <t>金条</t>
        </is>
      </c>
      <c r="C224" s="2" t="inlineStr">
        <is>
          <t>复贷</t>
        </is>
      </c>
      <c r="D224" s="2" t="inlineStr">
        <is>
          <t>人工</t>
        </is>
      </c>
      <c r="E224" s="2" t="inlineStr">
        <is>
          <t>赛维斯</t>
        </is>
      </c>
      <c r="F224" s="3" t="n">
        <v>339558</v>
      </c>
      <c r="G224" s="3" t="n">
        <v>20683</v>
      </c>
      <c r="H224" s="3" t="n">
        <v>703894300</v>
      </c>
      <c r="I224" s="3" t="n">
        <v>61221</v>
      </c>
      <c r="J224" s="4" t="n">
        <v>0.36</v>
      </c>
      <c r="K224" s="3" t="n">
        <v>1.068</v>
      </c>
      <c r="L224" s="3" t="n">
        <v>842507</v>
      </c>
      <c r="M224" s="3" t="n">
        <v>731541</v>
      </c>
      <c r="N224" s="3" t="n">
        <v>87</v>
      </c>
      <c r="O224" s="5">
        <f>IF(L224&gt;0,L224-I224,"")</f>
        <v/>
      </c>
      <c r="P224" s="6">
        <f>IF(AND(M224&gt;0,L224&gt;0),M224/L224*100,"")</f>
        <v/>
      </c>
      <c r="Q224" s="7">
        <f>IF(AND(G224&gt;0,F224&gt;0),G224/F224*100,"")</f>
        <v/>
      </c>
      <c r="R224" s="5">
        <f>IF(AND(H224&gt;0,G224&gt;0),H224/G224,"")</f>
        <v/>
      </c>
      <c r="S224" s="8">
        <f>IF(AND(L224&gt;0,G224&gt;0),L224/G224,"")</f>
        <v/>
      </c>
      <c r="T224" s="8">
        <f>IF(AND(M224&gt;0,G224&gt;0),M224/G224,"")</f>
        <v/>
      </c>
      <c r="U224" s="5">
        <f>IF(AND(M224&gt;0,N224&gt;0),M224/N224,"")</f>
        <v/>
      </c>
      <c r="V224" s="6">
        <f>IF(AND(I224&gt;=0,L224&gt;0),I224/L224*100,"")</f>
        <v/>
      </c>
      <c r="W224" s="9">
        <f>IF(AND(L224&gt;0,H224&gt;0,J224&gt;0),(L224-I224)/(H224*J224),"")</f>
        <v/>
      </c>
      <c r="X224" s="5">
        <f>IF(AND(M224&gt;0,N224&gt;0),M224/N224*0.7,"")</f>
        <v/>
      </c>
    </row>
    <row r="225">
      <c r="A225" s="2" t="inlineStr">
        <is>
          <t>2026-05</t>
        </is>
      </c>
      <c r="B225" s="2" t="inlineStr">
        <is>
          <t>金条</t>
        </is>
      </c>
      <c r="C225" s="2" t="inlineStr">
        <is>
          <t>首贷</t>
        </is>
      </c>
      <c r="D225" s="2" t="inlineStr">
        <is>
          <t>人工</t>
        </is>
      </c>
      <c r="E225" s="2" t="inlineStr">
        <is>
          <t>宿迁兆科</t>
        </is>
      </c>
      <c r="F225" s="3" t="n">
        <v>34713</v>
      </c>
      <c r="G225" s="3" t="n">
        <v>278</v>
      </c>
      <c r="H225" s="3" t="n">
        <v>8641800</v>
      </c>
      <c r="I225" s="3" t="n">
        <v>5179</v>
      </c>
      <c r="J225" s="4" t="n">
        <v>0.07000000000000001</v>
      </c>
      <c r="K225" s="3" t="n">
        <v>1.068</v>
      </c>
      <c r="L225" s="3" t="n">
        <v>47101</v>
      </c>
      <c r="M225" s="3" t="n">
        <v>39253</v>
      </c>
      <c r="N225" s="3" t="n">
        <v>10</v>
      </c>
      <c r="O225" s="5">
        <f>IF(L225&gt;0,L225-I225,"")</f>
        <v/>
      </c>
      <c r="P225" s="6">
        <f>IF(AND(M225&gt;0,L225&gt;0),M225/L225*100,"")</f>
        <v/>
      </c>
      <c r="Q225" s="7">
        <f>IF(AND(G225&gt;0,F225&gt;0),G225/F225*100,"")</f>
        <v/>
      </c>
      <c r="R225" s="5">
        <f>IF(AND(H225&gt;0,G225&gt;0),H225/G225,"")</f>
        <v/>
      </c>
      <c r="S225" s="8">
        <f>IF(AND(L225&gt;0,G225&gt;0),L225/G225,"")</f>
        <v/>
      </c>
      <c r="T225" s="8">
        <f>IF(AND(M225&gt;0,G225&gt;0),M225/G225,"")</f>
        <v/>
      </c>
      <c r="U225" s="5">
        <f>IF(AND(M225&gt;0,N225&gt;0),M225/N225,"")</f>
        <v/>
      </c>
      <c r="V225" s="6">
        <f>IF(AND(I225&gt;=0,L225&gt;0),I225/L225*100,"")</f>
        <v/>
      </c>
      <c r="W225" s="9">
        <f>IF(AND(L225&gt;0,H225&gt;0,J225&gt;0),(L225-I225)/(H225*J225),"")</f>
        <v/>
      </c>
      <c r="X225" s="5">
        <f>IF(AND(M225&gt;0,N225&gt;0),M225/N225*0.7,"")</f>
        <v/>
      </c>
    </row>
    <row r="226">
      <c r="A226" s="2" t="inlineStr">
        <is>
          <t>2026-05</t>
        </is>
      </c>
      <c r="B226" s="2" t="inlineStr">
        <is>
          <t>金条</t>
        </is>
      </c>
      <c r="C226" s="2" t="inlineStr">
        <is>
          <t>复贷</t>
        </is>
      </c>
      <c r="D226" s="2" t="inlineStr">
        <is>
          <t>人工</t>
        </is>
      </c>
      <c r="E226" s="2" t="inlineStr">
        <is>
          <t>宿迁兆科</t>
        </is>
      </c>
      <c r="F226" s="3" t="n">
        <v>52903</v>
      </c>
      <c r="G226" s="3" t="n">
        <v>2677</v>
      </c>
      <c r="H226" s="3" t="n">
        <v>114491700</v>
      </c>
      <c r="I226" s="3" t="n">
        <v>7551</v>
      </c>
      <c r="J226" s="4" t="n">
        <v>0.36</v>
      </c>
      <c r="K226" s="3" t="n">
        <v>1.068</v>
      </c>
      <c r="L226" s="3" t="n">
        <v>134333</v>
      </c>
      <c r="M226" s="3" t="n">
        <v>118710</v>
      </c>
      <c r="N226" s="3" t="n">
        <v>14</v>
      </c>
      <c r="O226" s="5">
        <f>IF(L226&gt;0,L226-I226,"")</f>
        <v/>
      </c>
      <c r="P226" s="6">
        <f>IF(AND(M226&gt;0,L226&gt;0),M226/L226*100,"")</f>
        <v/>
      </c>
      <c r="Q226" s="7">
        <f>IF(AND(G226&gt;0,F226&gt;0),G226/F226*100,"")</f>
        <v/>
      </c>
      <c r="R226" s="5">
        <f>IF(AND(H226&gt;0,G226&gt;0),H226/G226,"")</f>
        <v/>
      </c>
      <c r="S226" s="8">
        <f>IF(AND(L226&gt;0,G226&gt;0),L226/G226,"")</f>
        <v/>
      </c>
      <c r="T226" s="8">
        <f>IF(AND(M226&gt;0,G226&gt;0),M226/G226,"")</f>
        <v/>
      </c>
      <c r="U226" s="5">
        <f>IF(AND(M226&gt;0,N226&gt;0),M226/N226,"")</f>
        <v/>
      </c>
      <c r="V226" s="6">
        <f>IF(AND(I226&gt;=0,L226&gt;0),I226/L226*100,"")</f>
        <v/>
      </c>
      <c r="W226" s="9">
        <f>IF(AND(L226&gt;0,H226&gt;0,J226&gt;0),(L226-I226)/(H226*J226),"")</f>
        <v/>
      </c>
      <c r="X226" s="5">
        <f>IF(AND(M226&gt;0,N226&gt;0),M226/N226*0.7,"")</f>
        <v/>
      </c>
    </row>
    <row r="227">
      <c r="A227" s="2" t="inlineStr">
        <is>
          <t>2026-05</t>
        </is>
      </c>
      <c r="B227" s="2" t="inlineStr">
        <is>
          <t>金条</t>
        </is>
      </c>
      <c r="C227" s="2" t="inlineStr">
        <is>
          <t>首贷</t>
        </is>
      </c>
      <c r="D227" s="2" t="inlineStr">
        <is>
          <t>人工</t>
        </is>
      </c>
      <c r="E227" s="2" t="inlineStr">
        <is>
          <t>毅航合肥</t>
        </is>
      </c>
      <c r="F227" s="3" t="n">
        <v>770241</v>
      </c>
      <c r="G227" s="3" t="n">
        <v>10630</v>
      </c>
      <c r="H227" s="3" t="n">
        <v>658350400</v>
      </c>
      <c r="I227" s="3" t="n">
        <v>138060</v>
      </c>
      <c r="J227" s="4" t="n">
        <v>0.07000000000000001</v>
      </c>
      <c r="K227" s="3" t="n">
        <v>1.068</v>
      </c>
      <c r="L227" s="3" t="n">
        <v>3504505</v>
      </c>
      <c r="M227" s="3" t="n">
        <v>3152102</v>
      </c>
      <c r="N227" s="3" t="n">
        <v>205</v>
      </c>
      <c r="O227" s="5">
        <f>IF(L227&gt;0,L227-I227,"")</f>
        <v/>
      </c>
      <c r="P227" s="6">
        <f>IF(AND(M227&gt;0,L227&gt;0),M227/L227*100,"")</f>
        <v/>
      </c>
      <c r="Q227" s="7">
        <f>IF(AND(G227&gt;0,F227&gt;0),G227/F227*100,"")</f>
        <v/>
      </c>
      <c r="R227" s="5">
        <f>IF(AND(H227&gt;0,G227&gt;0),H227/G227,"")</f>
        <v/>
      </c>
      <c r="S227" s="8">
        <f>IF(AND(L227&gt;0,G227&gt;0),L227/G227,"")</f>
        <v/>
      </c>
      <c r="T227" s="8">
        <f>IF(AND(M227&gt;0,G227&gt;0),M227/G227,"")</f>
        <v/>
      </c>
      <c r="U227" s="5">
        <f>IF(AND(M227&gt;0,N227&gt;0),M227/N227,"")</f>
        <v/>
      </c>
      <c r="V227" s="6">
        <f>IF(AND(I227&gt;=0,L227&gt;0),I227/L227*100,"")</f>
        <v/>
      </c>
      <c r="W227" s="9">
        <f>IF(AND(L227&gt;0,H227&gt;0,J227&gt;0),(L227-I227)/(H227*J227),"")</f>
        <v/>
      </c>
      <c r="X227" s="5">
        <f>IF(AND(M227&gt;0,N227&gt;0),M227/N227*0.7,"")</f>
        <v/>
      </c>
    </row>
    <row r="228">
      <c r="A228" s="2" t="inlineStr">
        <is>
          <t>2026-05</t>
        </is>
      </c>
      <c r="B228" s="2" t="inlineStr">
        <is>
          <t>金条</t>
        </is>
      </c>
      <c r="C228" s="2" t="inlineStr">
        <is>
          <t>复贷</t>
        </is>
      </c>
      <c r="D228" s="2" t="inlineStr">
        <is>
          <t>人工</t>
        </is>
      </c>
      <c r="E228" s="2" t="inlineStr">
        <is>
          <t>毅航合肥</t>
        </is>
      </c>
      <c r="F228" s="3" t="n">
        <v>652070</v>
      </c>
      <c r="G228" s="3" t="n">
        <v>39475</v>
      </c>
      <c r="H228" s="3" t="n">
        <v>1656742700</v>
      </c>
      <c r="I228" s="3" t="n">
        <v>125110</v>
      </c>
      <c r="J228" s="4" t="n">
        <v>0.36</v>
      </c>
      <c r="K228" s="3" t="n">
        <v>1.068</v>
      </c>
      <c r="L228" s="3" t="n">
        <v>1974433</v>
      </c>
      <c r="M228" s="3" t="n">
        <v>1731576</v>
      </c>
      <c r="N228" s="3" t="n">
        <v>166</v>
      </c>
      <c r="O228" s="5">
        <f>IF(L228&gt;0,L228-I228,"")</f>
        <v/>
      </c>
      <c r="P228" s="6">
        <f>IF(AND(M228&gt;0,L228&gt;0),M228/L228*100,"")</f>
        <v/>
      </c>
      <c r="Q228" s="7">
        <f>IF(AND(G228&gt;0,F228&gt;0),G228/F228*100,"")</f>
        <v/>
      </c>
      <c r="R228" s="5">
        <f>IF(AND(H228&gt;0,G228&gt;0),H228/G228,"")</f>
        <v/>
      </c>
      <c r="S228" s="8">
        <f>IF(AND(L228&gt;0,G228&gt;0),L228/G228,"")</f>
        <v/>
      </c>
      <c r="T228" s="8">
        <f>IF(AND(M228&gt;0,G228&gt;0),M228/G228,"")</f>
        <v/>
      </c>
      <c r="U228" s="5">
        <f>IF(AND(M228&gt;0,N228&gt;0),M228/N228,"")</f>
        <v/>
      </c>
      <c r="V228" s="6">
        <f>IF(AND(I228&gt;=0,L228&gt;0),I228/L228*100,"")</f>
        <v/>
      </c>
      <c r="W228" s="9">
        <f>IF(AND(L228&gt;0,H228&gt;0,J228&gt;0),(L228-I228)/(H228*J228),"")</f>
        <v/>
      </c>
      <c r="X228" s="5">
        <f>IF(AND(M228&gt;0,N228&gt;0),M228/N228*0.7,"")</f>
        <v/>
      </c>
    </row>
    <row r="229">
      <c r="A229" s="2" t="inlineStr">
        <is>
          <t>2026-05</t>
        </is>
      </c>
      <c r="B229" s="2" t="inlineStr">
        <is>
          <t>金条</t>
        </is>
      </c>
      <c r="C229" s="2" t="inlineStr">
        <is>
          <t>首贷</t>
        </is>
      </c>
      <c r="D229" s="2" t="inlineStr">
        <is>
          <t>纯机</t>
        </is>
      </c>
      <c r="E229" s="2" t="inlineStr">
        <is>
          <t>电话邦</t>
        </is>
      </c>
      <c r="F229" s="3" t="n">
        <v>820483</v>
      </c>
      <c r="G229" s="3" t="n">
        <v>669</v>
      </c>
      <c r="H229" s="3" t="n">
        <v>3478000</v>
      </c>
      <c r="I229" s="3" t="n">
        <v>76908</v>
      </c>
      <c r="J229" s="4" t="n">
        <v>0.07000000000000001</v>
      </c>
      <c r="K229" s="3" t="n">
        <v>1.068</v>
      </c>
      <c r="L229" s="3" t="n">
        <v>93326</v>
      </c>
      <c r="M229" s="3" t="n">
        <v>15372</v>
      </c>
      <c r="N229" s="2" t="n"/>
      <c r="O229" s="5">
        <f>IF(L229&gt;0,L229-I229,"")</f>
        <v/>
      </c>
      <c r="P229" s="6">
        <f>IF(AND(M229&gt;0,L229&gt;0),M229/L229*100,"")</f>
        <v/>
      </c>
      <c r="Q229" s="7">
        <f>IF(AND(G229&gt;0,F229&gt;0),G229/F229*100,"")</f>
        <v/>
      </c>
      <c r="R229" s="5">
        <f>IF(AND(H229&gt;0,G229&gt;0),H229/G229,"")</f>
        <v/>
      </c>
      <c r="S229" s="8">
        <f>IF(AND(L229&gt;0,G229&gt;0),L229/G229,"")</f>
        <v/>
      </c>
      <c r="T229" s="8">
        <f>IF(AND(M229&gt;0,G229&gt;0),M229/G229,"")</f>
        <v/>
      </c>
      <c r="U229" s="5">
        <f>IF(AND(M229&gt;0,N229&gt;0),M229/N229,"")</f>
        <v/>
      </c>
      <c r="V229" s="6">
        <f>IF(AND(I229&gt;=0,L229&gt;0),I229/L229*100,"")</f>
        <v/>
      </c>
      <c r="W229" s="9">
        <f>IF(AND(L229&gt;0,H229&gt;0,J229&gt;0),(L229-I229)/(H229*J229),"")</f>
        <v/>
      </c>
      <c r="X229" s="5">
        <f>IF(AND(M229&gt;0,N229&gt;0),M229/N229*0.7,"")</f>
        <v/>
      </c>
    </row>
    <row r="230">
      <c r="A230" s="2" t="inlineStr">
        <is>
          <t>2026-05</t>
        </is>
      </c>
      <c r="B230" s="2" t="inlineStr">
        <is>
          <t>金条</t>
        </is>
      </c>
      <c r="C230" s="2" t="inlineStr">
        <is>
          <t>首贷</t>
        </is>
      </c>
      <c r="D230" s="2" t="inlineStr">
        <is>
          <t>纯机</t>
        </is>
      </c>
      <c r="E230" s="2" t="inlineStr">
        <is>
          <t>零犀</t>
        </is>
      </c>
      <c r="F230" s="3" t="n">
        <v>16581524</v>
      </c>
      <c r="G230" s="3" t="n">
        <v>17031</v>
      </c>
      <c r="H230" s="3" t="n">
        <v>176195200</v>
      </c>
      <c r="I230" s="3" t="n">
        <v>1899901</v>
      </c>
      <c r="J230" s="4" t="n">
        <v>0.07000000000000001</v>
      </c>
      <c r="K230" s="3" t="n">
        <v>1.068</v>
      </c>
      <c r="L230" s="3" t="n">
        <v>2375825</v>
      </c>
      <c r="M230" s="3" t="n">
        <v>445622</v>
      </c>
      <c r="N230" s="2" t="n"/>
      <c r="O230" s="5">
        <f>IF(L230&gt;0,L230-I230,"")</f>
        <v/>
      </c>
      <c r="P230" s="6">
        <f>IF(AND(M230&gt;0,L230&gt;0),M230/L230*100,"")</f>
        <v/>
      </c>
      <c r="Q230" s="7">
        <f>IF(AND(G230&gt;0,F230&gt;0),G230/F230*100,"")</f>
        <v/>
      </c>
      <c r="R230" s="5">
        <f>IF(AND(H230&gt;0,G230&gt;0),H230/G230,"")</f>
        <v/>
      </c>
      <c r="S230" s="8">
        <f>IF(AND(L230&gt;0,G230&gt;0),L230/G230,"")</f>
        <v/>
      </c>
      <c r="T230" s="8">
        <f>IF(AND(M230&gt;0,G230&gt;0),M230/G230,"")</f>
        <v/>
      </c>
      <c r="U230" s="5">
        <f>IF(AND(M230&gt;0,N230&gt;0),M230/N230,"")</f>
        <v/>
      </c>
      <c r="V230" s="6">
        <f>IF(AND(I230&gt;=0,L230&gt;0),I230/L230*100,"")</f>
        <v/>
      </c>
      <c r="W230" s="9">
        <f>IF(AND(L230&gt;0,H230&gt;0,J230&gt;0),(L230-I230)/(H230*J230),"")</f>
        <v/>
      </c>
      <c r="X230" s="5">
        <f>IF(AND(M230&gt;0,N230&gt;0),M230/N230*0.7,"")</f>
        <v/>
      </c>
    </row>
    <row r="231">
      <c r="A231" s="2" t="inlineStr">
        <is>
          <t>2026-05</t>
        </is>
      </c>
      <c r="B231" s="2" t="inlineStr">
        <is>
          <t>金条</t>
        </is>
      </c>
      <c r="C231" s="2" t="inlineStr">
        <is>
          <t>复贷</t>
        </is>
      </c>
      <c r="D231" s="2" t="inlineStr">
        <is>
          <t>纯机</t>
        </is>
      </c>
      <c r="E231" s="2" t="inlineStr">
        <is>
          <t>零犀</t>
        </is>
      </c>
      <c r="F231" s="3" t="n">
        <v>1469885</v>
      </c>
      <c r="G231" s="3" t="n">
        <v>118609</v>
      </c>
      <c r="H231" s="3" t="n">
        <v>3471763600</v>
      </c>
      <c r="I231" s="3" t="n">
        <v>170497</v>
      </c>
      <c r="J231" s="4" t="n">
        <v>0.36</v>
      </c>
      <c r="K231" s="3" t="n">
        <v>1.068</v>
      </c>
      <c r="L231" s="3" t="n">
        <v>533263</v>
      </c>
      <c r="M231" s="3" t="n">
        <v>339668</v>
      </c>
      <c r="N231" s="2" t="n"/>
      <c r="O231" s="5">
        <f>IF(L231&gt;0,L231-I231,"")</f>
        <v/>
      </c>
      <c r="P231" s="6">
        <f>IF(AND(M231&gt;0,L231&gt;0),M231/L231*100,"")</f>
        <v/>
      </c>
      <c r="Q231" s="7">
        <f>IF(AND(G231&gt;0,F231&gt;0),G231/F231*100,"")</f>
        <v/>
      </c>
      <c r="R231" s="5">
        <f>IF(AND(H231&gt;0,G231&gt;0),H231/G231,"")</f>
        <v/>
      </c>
      <c r="S231" s="8">
        <f>IF(AND(L231&gt;0,G231&gt;0),L231/G231,"")</f>
        <v/>
      </c>
      <c r="T231" s="8">
        <f>IF(AND(M231&gt;0,G231&gt;0),M231/G231,"")</f>
        <v/>
      </c>
      <c r="U231" s="5">
        <f>IF(AND(M231&gt;0,N231&gt;0),M231/N231,"")</f>
        <v/>
      </c>
      <c r="V231" s="6">
        <f>IF(AND(I231&gt;=0,L231&gt;0),I231/L231*100,"")</f>
        <v/>
      </c>
      <c r="W231" s="9">
        <f>IF(AND(L231&gt;0,H231&gt;0,J231&gt;0),(L231-I231)/(H231*J231),"")</f>
        <v/>
      </c>
      <c r="X231" s="5">
        <f>IF(AND(M231&gt;0,N231&gt;0),M231/N231*0.7,"")</f>
        <v/>
      </c>
    </row>
    <row r="232">
      <c r="A232" s="2" t="inlineStr">
        <is>
          <t>2026-05</t>
        </is>
      </c>
      <c r="B232" s="2" t="inlineStr">
        <is>
          <t>金条</t>
        </is>
      </c>
      <c r="C232" s="2" t="inlineStr">
        <is>
          <t>首贷</t>
        </is>
      </c>
      <c r="D232" s="2" t="inlineStr">
        <is>
          <t>纯机</t>
        </is>
      </c>
      <c r="E232" s="2" t="inlineStr">
        <is>
          <t>言犀赛夫</t>
        </is>
      </c>
      <c r="F232" s="3" t="n">
        <v>6879853</v>
      </c>
      <c r="G232" s="3" t="n">
        <v>6772</v>
      </c>
      <c r="H232" s="3" t="n">
        <v>55524600</v>
      </c>
      <c r="I232" s="3" t="n">
        <v>947761</v>
      </c>
      <c r="J232" s="4" t="n">
        <v>0.07000000000000001</v>
      </c>
      <c r="K232" s="3" t="n">
        <v>1.068</v>
      </c>
      <c r="L232" s="3" t="n">
        <v>944694</v>
      </c>
      <c r="M232" s="3" t="n">
        <v>-2872</v>
      </c>
      <c r="N232" s="2" t="n"/>
      <c r="O232" s="5">
        <f>IF(L232&gt;0,L232-I232,"")</f>
        <v/>
      </c>
      <c r="P232" s="6">
        <f>IF(AND(M232&gt;0,L232&gt;0),M232/L232*100,"")</f>
        <v/>
      </c>
      <c r="Q232" s="7">
        <f>IF(AND(G232&gt;0,F232&gt;0),G232/F232*100,"")</f>
        <v/>
      </c>
      <c r="R232" s="5">
        <f>IF(AND(H232&gt;0,G232&gt;0),H232/G232,"")</f>
        <v/>
      </c>
      <c r="S232" s="8">
        <f>IF(AND(L232&gt;0,G232&gt;0),L232/G232,"")</f>
        <v/>
      </c>
      <c r="T232" s="8">
        <f>IF(AND(M232&gt;0,G232&gt;0),M232/G232,"")</f>
        <v/>
      </c>
      <c r="U232" s="5">
        <f>IF(AND(M232&gt;0,N232&gt;0),M232/N232,"")</f>
        <v/>
      </c>
      <c r="V232" s="6">
        <f>IF(AND(I232&gt;=0,L232&gt;0),I232/L232*100,"")</f>
        <v/>
      </c>
      <c r="W232" s="9">
        <f>IF(AND(L232&gt;0,H232&gt;0,J232&gt;0),(L232-I232)/(H232*J232),"")</f>
        <v/>
      </c>
      <c r="X232" s="5">
        <f>IF(AND(M232&gt;0,N232&gt;0),M232/N232*0.7,"")</f>
        <v/>
      </c>
    </row>
    <row r="233">
      <c r="A233" s="2" t="inlineStr">
        <is>
          <t>2026-05</t>
        </is>
      </c>
      <c r="B233" s="2" t="inlineStr">
        <is>
          <t>金条</t>
        </is>
      </c>
      <c r="C233" s="2" t="inlineStr">
        <is>
          <t>复贷</t>
        </is>
      </c>
      <c r="D233" s="2" t="inlineStr">
        <is>
          <t>纯机</t>
        </is>
      </c>
      <c r="E233" s="2" t="inlineStr">
        <is>
          <t>言犀赛夫</t>
        </is>
      </c>
      <c r="F233" s="3" t="n">
        <v>729735</v>
      </c>
      <c r="G233" s="3" t="n">
        <v>59964</v>
      </c>
      <c r="H233" s="3" t="n">
        <v>1765961700</v>
      </c>
      <c r="I233" s="3" t="n">
        <v>95411</v>
      </c>
      <c r="J233" s="4" t="n">
        <v>0.36</v>
      </c>
      <c r="K233" s="3" t="n">
        <v>1.068</v>
      </c>
      <c r="L233" s="3" t="n">
        <v>271252</v>
      </c>
      <c r="M233" s="3" t="n">
        <v>164645</v>
      </c>
      <c r="N233" s="2" t="n"/>
      <c r="O233" s="5">
        <f>IF(L233&gt;0,L233-I233,"")</f>
        <v/>
      </c>
      <c r="P233" s="6">
        <f>IF(AND(M233&gt;0,L233&gt;0),M233/L233*100,"")</f>
        <v/>
      </c>
      <c r="Q233" s="7">
        <f>IF(AND(G233&gt;0,F233&gt;0),G233/F233*100,"")</f>
        <v/>
      </c>
      <c r="R233" s="5">
        <f>IF(AND(H233&gt;0,G233&gt;0),H233/G233,"")</f>
        <v/>
      </c>
      <c r="S233" s="8">
        <f>IF(AND(L233&gt;0,G233&gt;0),L233/G233,"")</f>
        <v/>
      </c>
      <c r="T233" s="8">
        <f>IF(AND(M233&gt;0,G233&gt;0),M233/G233,"")</f>
        <v/>
      </c>
      <c r="U233" s="5">
        <f>IF(AND(M233&gt;0,N233&gt;0),M233/N233,"")</f>
        <v/>
      </c>
      <c r="V233" s="6">
        <f>IF(AND(I233&gt;=0,L233&gt;0),I233/L233*100,"")</f>
        <v/>
      </c>
      <c r="W233" s="9">
        <f>IF(AND(L233&gt;0,H233&gt;0,J233&gt;0),(L233-I233)/(H233*J233),"")</f>
        <v/>
      </c>
      <c r="X233" s="5">
        <f>IF(AND(M233&gt;0,N233&gt;0),M233/N233*0.7,"")</f>
        <v/>
      </c>
    </row>
    <row r="234">
      <c r="A234" s="2" t="inlineStr">
        <is>
          <t>2026-06</t>
        </is>
      </c>
      <c r="B234" s="2" t="inlineStr">
        <is>
          <t>金条</t>
        </is>
      </c>
      <c r="C234" s="2" t="inlineStr">
        <is>
          <t>首贷</t>
        </is>
      </c>
      <c r="D234" s="2" t="inlineStr">
        <is>
          <t>人机</t>
        </is>
      </c>
      <c r="E234" s="2" t="inlineStr">
        <is>
          <t>零犀伽玛</t>
        </is>
      </c>
      <c r="F234" s="3" t="n">
        <v>119494</v>
      </c>
      <c r="G234" s="3" t="n">
        <v>400</v>
      </c>
      <c r="H234" s="3" t="n">
        <v>5930600</v>
      </c>
      <c r="I234" s="3" t="n">
        <v>11897</v>
      </c>
      <c r="J234" s="4" t="n">
        <v>0.07000000000000001</v>
      </c>
      <c r="K234" s="3" t="n">
        <v>1.068</v>
      </c>
      <c r="L234" s="3" t="n">
        <v>31936</v>
      </c>
      <c r="M234" s="3" t="n">
        <v>18762</v>
      </c>
      <c r="N234" s="3" t="n">
        <v>24</v>
      </c>
      <c r="O234" s="5">
        <f>IF(L234&gt;0,L234-I234,"")</f>
        <v/>
      </c>
      <c r="P234" s="6">
        <f>IF(AND(M234&gt;0,L234&gt;0),M234/L234*100,"")</f>
        <v/>
      </c>
      <c r="Q234" s="7">
        <f>IF(AND(G234&gt;0,F234&gt;0),G234/F234*100,"")</f>
        <v/>
      </c>
      <c r="R234" s="5">
        <f>IF(AND(H234&gt;0,G234&gt;0),H234/G234,"")</f>
        <v/>
      </c>
      <c r="S234" s="8">
        <f>IF(AND(L234&gt;0,G234&gt;0),L234/G234,"")</f>
        <v/>
      </c>
      <c r="T234" s="8">
        <f>IF(AND(M234&gt;0,G234&gt;0),M234/G234,"")</f>
        <v/>
      </c>
      <c r="U234" s="5">
        <f>IF(AND(M234&gt;0,N234&gt;0),M234/N234,"")</f>
        <v/>
      </c>
      <c r="V234" s="6">
        <f>IF(AND(I234&gt;=0,L234&gt;0),I234/L234*100,"")</f>
        <v/>
      </c>
      <c r="W234" s="9">
        <f>IF(AND(L234&gt;0,H234&gt;0,J234&gt;0),(L234-I234)/(H234*J234),"")</f>
        <v/>
      </c>
      <c r="X234" s="5">
        <f>IF(AND(M234&gt;0,N234&gt;0),M234/N234*0.7,"")</f>
        <v/>
      </c>
    </row>
    <row r="235">
      <c r="A235" s="2" t="inlineStr">
        <is>
          <t>2026-06</t>
        </is>
      </c>
      <c r="B235" s="2" t="inlineStr">
        <is>
          <t>金条</t>
        </is>
      </c>
      <c r="C235" s="2" t="inlineStr">
        <is>
          <t>首贷</t>
        </is>
      </c>
      <c r="D235" s="2" t="inlineStr">
        <is>
          <t>人机</t>
        </is>
      </c>
      <c r="E235" s="2" t="inlineStr">
        <is>
          <t>零犀</t>
        </is>
      </c>
      <c r="F235" s="3" t="n">
        <v>670101</v>
      </c>
      <c r="G235" s="3" t="n">
        <v>2611</v>
      </c>
      <c r="H235" s="3" t="n">
        <v>41320300</v>
      </c>
      <c r="I235" s="3" t="n">
        <v>72122</v>
      </c>
      <c r="J235" s="4" t="n">
        <v>0.07000000000000001</v>
      </c>
      <c r="K235" s="3" t="n">
        <v>1.068</v>
      </c>
      <c r="L235" s="3" t="n">
        <v>220258</v>
      </c>
      <c r="M235" s="3" t="n">
        <v>138704</v>
      </c>
      <c r="N235" s="3" t="n">
        <v>67</v>
      </c>
      <c r="O235" s="5">
        <f>IF(L235&gt;0,L235-I235,"")</f>
        <v/>
      </c>
      <c r="P235" s="6">
        <f>IF(AND(M235&gt;0,L235&gt;0),M235/L235*100,"")</f>
        <v/>
      </c>
      <c r="Q235" s="7">
        <f>IF(AND(G235&gt;0,F235&gt;0),G235/F235*100,"")</f>
        <v/>
      </c>
      <c r="R235" s="5">
        <f>IF(AND(H235&gt;0,G235&gt;0),H235/G235,"")</f>
        <v/>
      </c>
      <c r="S235" s="8">
        <f>IF(AND(L235&gt;0,G235&gt;0),L235/G235,"")</f>
        <v/>
      </c>
      <c r="T235" s="8">
        <f>IF(AND(M235&gt;0,G235&gt;0),M235/G235,"")</f>
        <v/>
      </c>
      <c r="U235" s="5">
        <f>IF(AND(M235&gt;0,N235&gt;0),M235/N235,"")</f>
        <v/>
      </c>
      <c r="V235" s="6">
        <f>IF(AND(I235&gt;=0,L235&gt;0),I235/L235*100,"")</f>
        <v/>
      </c>
      <c r="W235" s="9">
        <f>IF(AND(L235&gt;0,H235&gt;0,J235&gt;0),(L235-I235)/(H235*J235),"")</f>
        <v/>
      </c>
      <c r="X235" s="5">
        <f>IF(AND(M235&gt;0,N235&gt;0),M235/N235*0.7,"")</f>
        <v/>
      </c>
    </row>
    <row r="236">
      <c r="A236" s="2" t="inlineStr">
        <is>
          <t>2026-06</t>
        </is>
      </c>
      <c r="B236" s="2" t="inlineStr">
        <is>
          <t>金条</t>
        </is>
      </c>
      <c r="C236" s="2" t="inlineStr">
        <is>
          <t>复贷</t>
        </is>
      </c>
      <c r="D236" s="2" t="inlineStr">
        <is>
          <t>人机</t>
        </is>
      </c>
      <c r="E236" s="2" t="inlineStr">
        <is>
          <t>零犀</t>
        </is>
      </c>
      <c r="F236" s="3" t="n">
        <v>135772</v>
      </c>
      <c r="G236" s="3" t="n">
        <v>1665</v>
      </c>
      <c r="H236" s="3" t="n">
        <v>59526300</v>
      </c>
      <c r="I236" s="3" t="n">
        <v>14270</v>
      </c>
      <c r="J236" s="4" t="n">
        <v>0.36</v>
      </c>
      <c r="K236" s="3" t="n">
        <v>1.068</v>
      </c>
      <c r="L236" s="3" t="n">
        <v>44671</v>
      </c>
      <c r="M236" s="3" t="n">
        <v>28465</v>
      </c>
      <c r="N236" s="3" t="n">
        <v>13</v>
      </c>
      <c r="O236" s="5">
        <f>IF(L236&gt;0,L236-I236,"")</f>
        <v/>
      </c>
      <c r="P236" s="6">
        <f>IF(AND(M236&gt;0,L236&gt;0),M236/L236*100,"")</f>
        <v/>
      </c>
      <c r="Q236" s="7">
        <f>IF(AND(G236&gt;0,F236&gt;0),G236/F236*100,"")</f>
        <v/>
      </c>
      <c r="R236" s="5">
        <f>IF(AND(H236&gt;0,G236&gt;0),H236/G236,"")</f>
        <v/>
      </c>
      <c r="S236" s="8">
        <f>IF(AND(L236&gt;0,G236&gt;0),L236/G236,"")</f>
        <v/>
      </c>
      <c r="T236" s="8">
        <f>IF(AND(M236&gt;0,G236&gt;0),M236/G236,"")</f>
        <v/>
      </c>
      <c r="U236" s="5">
        <f>IF(AND(M236&gt;0,N236&gt;0),M236/N236,"")</f>
        <v/>
      </c>
      <c r="V236" s="6">
        <f>IF(AND(I236&gt;=0,L236&gt;0),I236/L236*100,"")</f>
        <v/>
      </c>
      <c r="W236" s="9">
        <f>IF(AND(L236&gt;0,H236&gt;0,J236&gt;0),(L236-I236)/(H236*J236),"")</f>
        <v/>
      </c>
      <c r="X236" s="5">
        <f>IF(AND(M236&gt;0,N236&gt;0),M236/N236*0.7,"")</f>
        <v/>
      </c>
    </row>
    <row r="237">
      <c r="A237" s="2" t="inlineStr">
        <is>
          <t>2026-06</t>
        </is>
      </c>
      <c r="B237" s="2" t="inlineStr">
        <is>
          <t>金条</t>
        </is>
      </c>
      <c r="C237" s="2" t="inlineStr">
        <is>
          <t>首贷</t>
        </is>
      </c>
      <c r="D237" s="2" t="inlineStr">
        <is>
          <t>人机</t>
        </is>
      </c>
      <c r="E237" s="2" t="inlineStr">
        <is>
          <t>零犀毛毛虫</t>
        </is>
      </c>
      <c r="F237" s="3" t="n">
        <v>138421</v>
      </c>
      <c r="G237" s="3" t="n">
        <v>483</v>
      </c>
      <c r="H237" s="3" t="n">
        <v>6735400</v>
      </c>
      <c r="I237" s="3" t="n">
        <v>12185</v>
      </c>
      <c r="J237" s="4" t="n">
        <v>0.07000000000000001</v>
      </c>
      <c r="K237" s="3" t="n">
        <v>1.068</v>
      </c>
      <c r="L237" s="3" t="n">
        <v>35500</v>
      </c>
      <c r="M237" s="3" t="n">
        <v>21830</v>
      </c>
      <c r="N237" s="3" t="n">
        <v>23</v>
      </c>
      <c r="O237" s="5">
        <f>IF(L237&gt;0,L237-I237,"")</f>
        <v/>
      </c>
      <c r="P237" s="6">
        <f>IF(AND(M237&gt;0,L237&gt;0),M237/L237*100,"")</f>
        <v/>
      </c>
      <c r="Q237" s="7">
        <f>IF(AND(G237&gt;0,F237&gt;0),G237/F237*100,"")</f>
        <v/>
      </c>
      <c r="R237" s="5">
        <f>IF(AND(H237&gt;0,G237&gt;0),H237/G237,"")</f>
        <v/>
      </c>
      <c r="S237" s="8">
        <f>IF(AND(L237&gt;0,G237&gt;0),L237/G237,"")</f>
        <v/>
      </c>
      <c r="T237" s="8">
        <f>IF(AND(M237&gt;0,G237&gt;0),M237/G237,"")</f>
        <v/>
      </c>
      <c r="U237" s="5">
        <f>IF(AND(M237&gt;0,N237&gt;0),M237/N237,"")</f>
        <v/>
      </c>
      <c r="V237" s="6">
        <f>IF(AND(I237&gt;=0,L237&gt;0),I237/L237*100,"")</f>
        <v/>
      </c>
      <c r="W237" s="9">
        <f>IF(AND(L237&gt;0,H237&gt;0,J237&gt;0),(L237-I237)/(H237*J237),"")</f>
        <v/>
      </c>
      <c r="X237" s="5">
        <f>IF(AND(M237&gt;0,N237&gt;0),M237/N237*0.7,"")</f>
        <v/>
      </c>
    </row>
    <row r="238">
      <c r="A238" s="2" t="inlineStr">
        <is>
          <t>2026-06</t>
        </is>
      </c>
      <c r="B238" s="2" t="inlineStr">
        <is>
          <t>金条</t>
        </is>
      </c>
      <c r="C238" s="2" t="inlineStr">
        <is>
          <t>复贷</t>
        </is>
      </c>
      <c r="D238" s="2" t="inlineStr">
        <is>
          <t>人机</t>
        </is>
      </c>
      <c r="E238" s="2" t="inlineStr">
        <is>
          <t>零犀岐力</t>
        </is>
      </c>
      <c r="F238" s="3" t="n">
        <v>37021</v>
      </c>
      <c r="G238" s="3" t="n">
        <v>422</v>
      </c>
      <c r="H238" s="3" t="n">
        <v>13026300</v>
      </c>
      <c r="I238" s="3" t="n">
        <v>4255</v>
      </c>
      <c r="J238" s="4" t="n">
        <v>0.36</v>
      </c>
      <c r="K238" s="3" t="n">
        <v>1.068</v>
      </c>
      <c r="L238" s="3" t="n">
        <v>9010</v>
      </c>
      <c r="M238" s="3" t="n">
        <v>4453</v>
      </c>
      <c r="N238" s="3" t="n">
        <v>13</v>
      </c>
      <c r="O238" s="5">
        <f>IF(L238&gt;0,L238-I238,"")</f>
        <v/>
      </c>
      <c r="P238" s="6">
        <f>IF(AND(M238&gt;0,L238&gt;0),M238/L238*100,"")</f>
        <v/>
      </c>
      <c r="Q238" s="7">
        <f>IF(AND(G238&gt;0,F238&gt;0),G238/F238*100,"")</f>
        <v/>
      </c>
      <c r="R238" s="5">
        <f>IF(AND(H238&gt;0,G238&gt;0),H238/G238,"")</f>
        <v/>
      </c>
      <c r="S238" s="8">
        <f>IF(AND(L238&gt;0,G238&gt;0),L238/G238,"")</f>
        <v/>
      </c>
      <c r="T238" s="8">
        <f>IF(AND(M238&gt;0,G238&gt;0),M238/G238,"")</f>
        <v/>
      </c>
      <c r="U238" s="5">
        <f>IF(AND(M238&gt;0,N238&gt;0),M238/N238,"")</f>
        <v/>
      </c>
      <c r="V238" s="6">
        <f>IF(AND(I238&gt;=0,L238&gt;0),I238/L238*100,"")</f>
        <v/>
      </c>
      <c r="W238" s="9">
        <f>IF(AND(L238&gt;0,H238&gt;0,J238&gt;0),(L238-I238)/(H238*J238),"")</f>
        <v/>
      </c>
      <c r="X238" s="5">
        <f>IF(AND(M238&gt;0,N238&gt;0),M238/N238*0.7,"")</f>
        <v/>
      </c>
    </row>
    <row r="239">
      <c r="A239" s="2" t="inlineStr">
        <is>
          <t>2026-06</t>
        </is>
      </c>
      <c r="B239" s="2" t="inlineStr">
        <is>
          <t>金条</t>
        </is>
      </c>
      <c r="C239" s="2" t="inlineStr">
        <is>
          <t>首贷</t>
        </is>
      </c>
      <c r="D239" s="2" t="inlineStr">
        <is>
          <t>人机</t>
        </is>
      </c>
      <c r="E239" s="2" t="inlineStr">
        <is>
          <t>零犀赛维斯</t>
        </is>
      </c>
      <c r="F239" s="3" t="n">
        <v>111594</v>
      </c>
      <c r="G239" s="3" t="n">
        <v>362</v>
      </c>
      <c r="H239" s="3" t="n">
        <v>4362100</v>
      </c>
      <c r="I239" s="3" t="n">
        <v>14258</v>
      </c>
      <c r="J239" s="4" t="n">
        <v>0.07000000000000001</v>
      </c>
      <c r="K239" s="3" t="n">
        <v>1.068</v>
      </c>
      <c r="L239" s="3" t="n">
        <v>23624</v>
      </c>
      <c r="M239" s="3" t="n">
        <v>8770</v>
      </c>
      <c r="N239" s="3" t="n">
        <v>18</v>
      </c>
      <c r="O239" s="5">
        <f>IF(L239&gt;0,L239-I239,"")</f>
        <v/>
      </c>
      <c r="P239" s="6">
        <f>IF(AND(M239&gt;0,L239&gt;0),M239/L239*100,"")</f>
        <v/>
      </c>
      <c r="Q239" s="7">
        <f>IF(AND(G239&gt;0,F239&gt;0),G239/F239*100,"")</f>
        <v/>
      </c>
      <c r="R239" s="5">
        <f>IF(AND(H239&gt;0,G239&gt;0),H239/G239,"")</f>
        <v/>
      </c>
      <c r="S239" s="8">
        <f>IF(AND(L239&gt;0,G239&gt;0),L239/G239,"")</f>
        <v/>
      </c>
      <c r="T239" s="8">
        <f>IF(AND(M239&gt;0,G239&gt;0),M239/G239,"")</f>
        <v/>
      </c>
      <c r="U239" s="5">
        <f>IF(AND(M239&gt;0,N239&gt;0),M239/N239,"")</f>
        <v/>
      </c>
      <c r="V239" s="6">
        <f>IF(AND(I239&gt;=0,L239&gt;0),I239/L239*100,"")</f>
        <v/>
      </c>
      <c r="W239" s="9">
        <f>IF(AND(L239&gt;0,H239&gt;0,J239&gt;0),(L239-I239)/(H239*J239),"")</f>
        <v/>
      </c>
      <c r="X239" s="5">
        <f>IF(AND(M239&gt;0,N239&gt;0),M239/N239*0.7,"")</f>
        <v/>
      </c>
    </row>
    <row r="240">
      <c r="A240" s="2" t="inlineStr">
        <is>
          <t>2026-06</t>
        </is>
      </c>
      <c r="B240" s="2" t="inlineStr">
        <is>
          <t>金条</t>
        </is>
      </c>
      <c r="C240" s="2" t="inlineStr">
        <is>
          <t>首贷</t>
        </is>
      </c>
      <c r="D240" s="2" t="inlineStr">
        <is>
          <t>人机</t>
        </is>
      </c>
      <c r="E240" s="2" t="inlineStr">
        <is>
          <t>零犀毅航</t>
        </is>
      </c>
      <c r="F240" s="3" t="n">
        <v>299365</v>
      </c>
      <c r="G240" s="3" t="n">
        <v>1104</v>
      </c>
      <c r="H240" s="3" t="n">
        <v>18162600</v>
      </c>
      <c r="I240" s="3" t="n">
        <v>35211</v>
      </c>
      <c r="J240" s="4" t="n">
        <v>0.07000000000000001</v>
      </c>
      <c r="K240" s="3" t="n">
        <v>1.068</v>
      </c>
      <c r="L240" s="3" t="n">
        <v>97211</v>
      </c>
      <c r="M240" s="3" t="n">
        <v>58052</v>
      </c>
      <c r="N240" s="3" t="n">
        <v>43</v>
      </c>
      <c r="O240" s="5">
        <f>IF(L240&gt;0,L240-I240,"")</f>
        <v/>
      </c>
      <c r="P240" s="6">
        <f>IF(AND(M240&gt;0,L240&gt;0),M240/L240*100,"")</f>
        <v/>
      </c>
      <c r="Q240" s="7">
        <f>IF(AND(G240&gt;0,F240&gt;0),G240/F240*100,"")</f>
        <v/>
      </c>
      <c r="R240" s="5">
        <f>IF(AND(H240&gt;0,G240&gt;0),H240/G240,"")</f>
        <v/>
      </c>
      <c r="S240" s="8">
        <f>IF(AND(L240&gt;0,G240&gt;0),L240/G240,"")</f>
        <v/>
      </c>
      <c r="T240" s="8">
        <f>IF(AND(M240&gt;0,G240&gt;0),M240/G240,"")</f>
        <v/>
      </c>
      <c r="U240" s="5">
        <f>IF(AND(M240&gt;0,N240&gt;0),M240/N240,"")</f>
        <v/>
      </c>
      <c r="V240" s="6">
        <f>IF(AND(I240&gt;=0,L240&gt;0),I240/L240*100,"")</f>
        <v/>
      </c>
      <c r="W240" s="9">
        <f>IF(AND(L240&gt;0,H240&gt;0,J240&gt;0),(L240-I240)/(H240*J240),"")</f>
        <v/>
      </c>
      <c r="X240" s="5">
        <f>IF(AND(M240&gt;0,N240&gt;0),M240/N240*0.7,"")</f>
        <v/>
      </c>
    </row>
    <row r="241">
      <c r="A241" s="2" t="inlineStr">
        <is>
          <t>2026-06</t>
        </is>
      </c>
      <c r="B241" s="2" t="inlineStr">
        <is>
          <t>金条</t>
        </is>
      </c>
      <c r="C241" s="2" t="inlineStr">
        <is>
          <t>首贷</t>
        </is>
      </c>
      <c r="D241" s="2" t="inlineStr">
        <is>
          <t>人机</t>
        </is>
      </c>
      <c r="E241" s="2" t="inlineStr">
        <is>
          <t>赛维斯</t>
        </is>
      </c>
      <c r="F241" s="3" t="n">
        <v>149470</v>
      </c>
      <c r="G241" s="3" t="n">
        <v>547</v>
      </c>
      <c r="H241" s="3" t="n">
        <v>7627300</v>
      </c>
      <c r="I241" s="3" t="n">
        <v>20655</v>
      </c>
      <c r="J241" s="4" t="n">
        <v>0.07000000000000001</v>
      </c>
      <c r="K241" s="3" t="n">
        <v>1.068</v>
      </c>
      <c r="L241" s="3" t="n">
        <v>40428</v>
      </c>
      <c r="M241" s="3" t="n">
        <v>18514</v>
      </c>
      <c r="N241" s="3" t="n">
        <v>25</v>
      </c>
      <c r="O241" s="5">
        <f>IF(L241&gt;0,L241-I241,"")</f>
        <v/>
      </c>
      <c r="P241" s="6">
        <f>IF(AND(M241&gt;0,L241&gt;0),M241/L241*100,"")</f>
        <v/>
      </c>
      <c r="Q241" s="7">
        <f>IF(AND(G241&gt;0,F241&gt;0),G241/F241*100,"")</f>
        <v/>
      </c>
      <c r="R241" s="5">
        <f>IF(AND(H241&gt;0,G241&gt;0),H241/G241,"")</f>
        <v/>
      </c>
      <c r="S241" s="8">
        <f>IF(AND(L241&gt;0,G241&gt;0),L241/G241,"")</f>
        <v/>
      </c>
      <c r="T241" s="8">
        <f>IF(AND(M241&gt;0,G241&gt;0),M241/G241,"")</f>
        <v/>
      </c>
      <c r="U241" s="5">
        <f>IF(AND(M241&gt;0,N241&gt;0),M241/N241,"")</f>
        <v/>
      </c>
      <c r="V241" s="6">
        <f>IF(AND(I241&gt;=0,L241&gt;0),I241/L241*100,"")</f>
        <v/>
      </c>
      <c r="W241" s="9">
        <f>IF(AND(L241&gt;0,H241&gt;0,J241&gt;0),(L241-I241)/(H241*J241),"")</f>
        <v/>
      </c>
      <c r="X241" s="5">
        <f>IF(AND(M241&gt;0,N241&gt;0),M241/N241*0.7,"")</f>
        <v/>
      </c>
    </row>
    <row r="242">
      <c r="A242" s="2" t="inlineStr">
        <is>
          <t>2026-06</t>
        </is>
      </c>
      <c r="B242" s="2" t="inlineStr">
        <is>
          <t>金条</t>
        </is>
      </c>
      <c r="C242" s="2" t="inlineStr">
        <is>
          <t>复贷</t>
        </is>
      </c>
      <c r="D242" s="2" t="inlineStr">
        <is>
          <t>人机</t>
        </is>
      </c>
      <c r="E242" s="2" t="inlineStr">
        <is>
          <t>赛维斯</t>
        </is>
      </c>
      <c r="F242" s="3" t="n">
        <v>74053</v>
      </c>
      <c r="G242" s="3" t="n">
        <v>906</v>
      </c>
      <c r="H242" s="3" t="n">
        <v>25475500</v>
      </c>
      <c r="I242" s="3" t="n">
        <v>8455</v>
      </c>
      <c r="J242" s="4" t="n">
        <v>0.36</v>
      </c>
      <c r="K242" s="3" t="n">
        <v>1.068</v>
      </c>
      <c r="L242" s="3" t="n">
        <v>18653</v>
      </c>
      <c r="M242" s="3" t="n">
        <v>9549</v>
      </c>
      <c r="N242" s="3" t="n">
        <v>13</v>
      </c>
      <c r="O242" s="5">
        <f>IF(L242&gt;0,L242-I242,"")</f>
        <v/>
      </c>
      <c r="P242" s="6">
        <f>IF(AND(M242&gt;0,L242&gt;0),M242/L242*100,"")</f>
        <v/>
      </c>
      <c r="Q242" s="7">
        <f>IF(AND(G242&gt;0,F242&gt;0),G242/F242*100,"")</f>
        <v/>
      </c>
      <c r="R242" s="5">
        <f>IF(AND(H242&gt;0,G242&gt;0),H242/G242,"")</f>
        <v/>
      </c>
      <c r="S242" s="8">
        <f>IF(AND(L242&gt;0,G242&gt;0),L242/G242,"")</f>
        <v/>
      </c>
      <c r="T242" s="8">
        <f>IF(AND(M242&gt;0,G242&gt;0),M242/G242,"")</f>
        <v/>
      </c>
      <c r="U242" s="5">
        <f>IF(AND(M242&gt;0,N242&gt;0),M242/N242,"")</f>
        <v/>
      </c>
      <c r="V242" s="6">
        <f>IF(AND(I242&gt;=0,L242&gt;0),I242/L242*100,"")</f>
        <v/>
      </c>
      <c r="W242" s="9">
        <f>IF(AND(L242&gt;0,H242&gt;0,J242&gt;0),(L242-I242)/(H242*J242),"")</f>
        <v/>
      </c>
      <c r="X242" s="5">
        <f>IF(AND(M242&gt;0,N242&gt;0),M242/N242*0.7,"")</f>
        <v/>
      </c>
    </row>
    <row r="243">
      <c r="A243" s="2" t="inlineStr">
        <is>
          <t>2026-06</t>
        </is>
      </c>
      <c r="B243" s="2" t="inlineStr">
        <is>
          <t>金条</t>
        </is>
      </c>
      <c r="C243" s="2" t="inlineStr">
        <is>
          <t>首贷</t>
        </is>
      </c>
      <c r="D243" s="2" t="inlineStr">
        <is>
          <t>人机</t>
        </is>
      </c>
      <c r="E243" s="2" t="inlineStr">
        <is>
          <t>宿迁兆科</t>
        </is>
      </c>
      <c r="F243" s="3" t="n">
        <v>86342</v>
      </c>
      <c r="G243" s="3" t="n">
        <v>433</v>
      </c>
      <c r="H243" s="3" t="n">
        <v>6827200</v>
      </c>
      <c r="I243" s="3" t="n">
        <v>15065</v>
      </c>
      <c r="J243" s="4" t="n">
        <v>0.07000000000000001</v>
      </c>
      <c r="K243" s="3" t="n">
        <v>1.068</v>
      </c>
      <c r="L243" s="3" t="n">
        <v>39172</v>
      </c>
      <c r="M243" s="3" t="n">
        <v>22572</v>
      </c>
      <c r="N243" s="3" t="n">
        <v>14</v>
      </c>
      <c r="O243" s="5">
        <f>IF(L243&gt;0,L243-I243,"")</f>
        <v/>
      </c>
      <c r="P243" s="6">
        <f>IF(AND(M243&gt;0,L243&gt;0),M243/L243*100,"")</f>
        <v/>
      </c>
      <c r="Q243" s="7">
        <f>IF(AND(G243&gt;0,F243&gt;0),G243/F243*100,"")</f>
        <v/>
      </c>
      <c r="R243" s="5">
        <f>IF(AND(H243&gt;0,G243&gt;0),H243/G243,"")</f>
        <v/>
      </c>
      <c r="S243" s="8">
        <f>IF(AND(L243&gt;0,G243&gt;0),L243/G243,"")</f>
        <v/>
      </c>
      <c r="T243" s="8">
        <f>IF(AND(M243&gt;0,G243&gt;0),M243/G243,"")</f>
        <v/>
      </c>
      <c r="U243" s="5">
        <f>IF(AND(M243&gt;0,N243&gt;0),M243/N243,"")</f>
        <v/>
      </c>
      <c r="V243" s="6">
        <f>IF(AND(I243&gt;=0,L243&gt;0),I243/L243*100,"")</f>
        <v/>
      </c>
      <c r="W243" s="9">
        <f>IF(AND(L243&gt;0,H243&gt;0,J243&gt;0),(L243-I243)/(H243*J243),"")</f>
        <v/>
      </c>
      <c r="X243" s="5">
        <f>IF(AND(M243&gt;0,N243&gt;0),M243/N243*0.7,"")</f>
        <v/>
      </c>
    </row>
    <row r="244">
      <c r="A244" s="2" t="inlineStr">
        <is>
          <t>2026-06</t>
        </is>
      </c>
      <c r="B244" s="2" t="inlineStr">
        <is>
          <t>金条</t>
        </is>
      </c>
      <c r="C244" s="2" t="inlineStr">
        <is>
          <t>首贷</t>
        </is>
      </c>
      <c r="D244" s="2" t="inlineStr">
        <is>
          <t>人工</t>
        </is>
      </c>
      <c r="E244" s="2" t="inlineStr">
        <is>
          <t>博岳石家庄</t>
        </is>
      </c>
      <c r="F244" s="3" t="n">
        <v>13708</v>
      </c>
      <c r="G244" s="3" t="n">
        <v>122</v>
      </c>
      <c r="H244" s="3" t="n">
        <v>8437400</v>
      </c>
      <c r="I244" s="3" t="n">
        <v>1682</v>
      </c>
      <c r="J244" s="4" t="n">
        <v>0.07000000000000001</v>
      </c>
      <c r="K244" s="3" t="n">
        <v>1.068</v>
      </c>
      <c r="L244" s="3" t="n">
        <v>38870</v>
      </c>
      <c r="M244" s="3" t="n">
        <v>34820</v>
      </c>
      <c r="N244" s="3" t="n">
        <v>45</v>
      </c>
      <c r="O244" s="5">
        <f>IF(L244&gt;0,L244-I244,"")</f>
        <v/>
      </c>
      <c r="P244" s="6">
        <f>IF(AND(M244&gt;0,L244&gt;0),M244/L244*100,"")</f>
        <v/>
      </c>
      <c r="Q244" s="7">
        <f>IF(AND(G244&gt;0,F244&gt;0),G244/F244*100,"")</f>
        <v/>
      </c>
      <c r="R244" s="5">
        <f>IF(AND(H244&gt;0,G244&gt;0),H244/G244,"")</f>
        <v/>
      </c>
      <c r="S244" s="8">
        <f>IF(AND(L244&gt;0,G244&gt;0),L244/G244,"")</f>
        <v/>
      </c>
      <c r="T244" s="8">
        <f>IF(AND(M244&gt;0,G244&gt;0),M244/G244,"")</f>
        <v/>
      </c>
      <c r="U244" s="5">
        <f>IF(AND(M244&gt;0,N244&gt;0),M244/N244,"")</f>
        <v/>
      </c>
      <c r="V244" s="6">
        <f>IF(AND(I244&gt;=0,L244&gt;0),I244/L244*100,"")</f>
        <v/>
      </c>
      <c r="W244" s="9">
        <f>IF(AND(L244&gt;0,H244&gt;0,J244&gt;0),(L244-I244)/(H244*J244),"")</f>
        <v/>
      </c>
      <c r="X244" s="5">
        <f>IF(AND(M244&gt;0,N244&gt;0),M244/N244*0.7,"")</f>
        <v/>
      </c>
    </row>
    <row r="245">
      <c r="A245" s="2" t="inlineStr">
        <is>
          <t>2026-06</t>
        </is>
      </c>
      <c r="B245" s="2" t="inlineStr">
        <is>
          <t>金条</t>
        </is>
      </c>
      <c r="C245" s="2" t="inlineStr">
        <is>
          <t>复贷</t>
        </is>
      </c>
      <c r="D245" s="2" t="inlineStr">
        <is>
          <t>人工</t>
        </is>
      </c>
      <c r="E245" s="2" t="inlineStr">
        <is>
          <t>博岳石家庄</t>
        </is>
      </c>
      <c r="F245" s="3" t="n">
        <v>15952</v>
      </c>
      <c r="G245" s="3" t="n">
        <v>1086</v>
      </c>
      <c r="H245" s="3" t="n">
        <v>28389900</v>
      </c>
      <c r="I245" s="3" t="n">
        <v>2314</v>
      </c>
      <c r="J245" s="4" t="n">
        <v>0.36</v>
      </c>
      <c r="K245" s="3" t="n">
        <v>1.068</v>
      </c>
      <c r="L245" s="3" t="n">
        <v>33019</v>
      </c>
      <c r="M245" s="3" t="n">
        <v>28751</v>
      </c>
      <c r="N245" s="3" t="n">
        <v>47</v>
      </c>
      <c r="O245" s="5">
        <f>IF(L245&gt;0,L245-I245,"")</f>
        <v/>
      </c>
      <c r="P245" s="6">
        <f>IF(AND(M245&gt;0,L245&gt;0),M245/L245*100,"")</f>
        <v/>
      </c>
      <c r="Q245" s="7">
        <f>IF(AND(G245&gt;0,F245&gt;0),G245/F245*100,"")</f>
        <v/>
      </c>
      <c r="R245" s="5">
        <f>IF(AND(H245&gt;0,G245&gt;0),H245/G245,"")</f>
        <v/>
      </c>
      <c r="S245" s="8">
        <f>IF(AND(L245&gt;0,G245&gt;0),L245/G245,"")</f>
        <v/>
      </c>
      <c r="T245" s="8">
        <f>IF(AND(M245&gt;0,G245&gt;0),M245/G245,"")</f>
        <v/>
      </c>
      <c r="U245" s="5">
        <f>IF(AND(M245&gt;0,N245&gt;0),M245/N245,"")</f>
        <v/>
      </c>
      <c r="V245" s="6">
        <f>IF(AND(I245&gt;=0,L245&gt;0),I245/L245*100,"")</f>
        <v/>
      </c>
      <c r="W245" s="9">
        <f>IF(AND(L245&gt;0,H245&gt;0,J245&gt;0),(L245-I245)/(H245*J245),"")</f>
        <v/>
      </c>
      <c r="X245" s="5">
        <f>IF(AND(M245&gt;0,N245&gt;0),M245/N245*0.7,"")</f>
        <v/>
      </c>
    </row>
    <row r="246">
      <c r="A246" s="2" t="inlineStr">
        <is>
          <t>2026-06</t>
        </is>
      </c>
      <c r="B246" s="2" t="inlineStr">
        <is>
          <t>金条</t>
        </is>
      </c>
      <c r="C246" s="2" t="inlineStr">
        <is>
          <t>首贷</t>
        </is>
      </c>
      <c r="D246" s="2" t="inlineStr">
        <is>
          <t>人工</t>
        </is>
      </c>
      <c r="E246" s="2" t="inlineStr">
        <is>
          <t>伽玛</t>
        </is>
      </c>
      <c r="F246" s="3" t="n">
        <v>17319</v>
      </c>
      <c r="G246" s="3" t="n">
        <v>164</v>
      </c>
      <c r="H246" s="3" t="n">
        <v>9022300</v>
      </c>
      <c r="I246" s="3" t="n">
        <v>2710</v>
      </c>
      <c r="J246" s="4" t="n">
        <v>0.07000000000000001</v>
      </c>
      <c r="K246" s="3" t="n">
        <v>1.068</v>
      </c>
      <c r="L246" s="3" t="n">
        <v>41417</v>
      </c>
      <c r="M246" s="3" t="n">
        <v>36242</v>
      </c>
      <c r="N246" s="3" t="n">
        <v>58</v>
      </c>
      <c r="O246" s="5">
        <f>IF(L246&gt;0,L246-I246,"")</f>
        <v/>
      </c>
      <c r="P246" s="6">
        <f>IF(AND(M246&gt;0,L246&gt;0),M246/L246*100,"")</f>
        <v/>
      </c>
      <c r="Q246" s="7">
        <f>IF(AND(G246&gt;0,F246&gt;0),G246/F246*100,"")</f>
        <v/>
      </c>
      <c r="R246" s="5">
        <f>IF(AND(H246&gt;0,G246&gt;0),H246/G246,"")</f>
        <v/>
      </c>
      <c r="S246" s="8">
        <f>IF(AND(L246&gt;0,G246&gt;0),L246/G246,"")</f>
        <v/>
      </c>
      <c r="T246" s="8">
        <f>IF(AND(M246&gt;0,G246&gt;0),M246/G246,"")</f>
        <v/>
      </c>
      <c r="U246" s="5">
        <f>IF(AND(M246&gt;0,N246&gt;0),M246/N246,"")</f>
        <v/>
      </c>
      <c r="V246" s="6">
        <f>IF(AND(I246&gt;=0,L246&gt;0),I246/L246*100,"")</f>
        <v/>
      </c>
      <c r="W246" s="9">
        <f>IF(AND(L246&gt;0,H246&gt;0,J246&gt;0),(L246-I246)/(H246*J246),"")</f>
        <v/>
      </c>
      <c r="X246" s="5">
        <f>IF(AND(M246&gt;0,N246&gt;0),M246/N246*0.7,"")</f>
        <v/>
      </c>
    </row>
    <row r="247">
      <c r="A247" s="2" t="inlineStr">
        <is>
          <t>2026-06</t>
        </is>
      </c>
      <c r="B247" s="2" t="inlineStr">
        <is>
          <t>金条</t>
        </is>
      </c>
      <c r="C247" s="2" t="inlineStr">
        <is>
          <t>复贷</t>
        </is>
      </c>
      <c r="D247" s="2" t="inlineStr">
        <is>
          <t>人工</t>
        </is>
      </c>
      <c r="E247" s="2" t="inlineStr">
        <is>
          <t>伽玛</t>
        </is>
      </c>
      <c r="F247" s="3" t="n">
        <v>25175</v>
      </c>
      <c r="G247" s="3" t="n">
        <v>1964</v>
      </c>
      <c r="H247" s="3" t="n">
        <v>54087500</v>
      </c>
      <c r="I247" s="3" t="n">
        <v>4407</v>
      </c>
      <c r="J247" s="4" t="n">
        <v>0.36</v>
      </c>
      <c r="K247" s="3" t="n">
        <v>1.068</v>
      </c>
      <c r="L247" s="3" t="n">
        <v>63090</v>
      </c>
      <c r="M247" s="3" t="n">
        <v>54947</v>
      </c>
      <c r="N247" s="3" t="n">
        <v>74</v>
      </c>
      <c r="O247" s="5">
        <f>IF(L247&gt;0,L247-I247,"")</f>
        <v/>
      </c>
      <c r="P247" s="6">
        <f>IF(AND(M247&gt;0,L247&gt;0),M247/L247*100,"")</f>
        <v/>
      </c>
      <c r="Q247" s="7">
        <f>IF(AND(G247&gt;0,F247&gt;0),G247/F247*100,"")</f>
        <v/>
      </c>
      <c r="R247" s="5">
        <f>IF(AND(H247&gt;0,G247&gt;0),H247/G247,"")</f>
        <v/>
      </c>
      <c r="S247" s="8">
        <f>IF(AND(L247&gt;0,G247&gt;0),L247/G247,"")</f>
        <v/>
      </c>
      <c r="T247" s="8">
        <f>IF(AND(M247&gt;0,G247&gt;0),M247/G247,"")</f>
        <v/>
      </c>
      <c r="U247" s="5">
        <f>IF(AND(M247&gt;0,N247&gt;0),M247/N247,"")</f>
        <v/>
      </c>
      <c r="V247" s="6">
        <f>IF(AND(I247&gt;=0,L247&gt;0),I247/L247*100,"")</f>
        <v/>
      </c>
      <c r="W247" s="9">
        <f>IF(AND(L247&gt;0,H247&gt;0,J247&gt;0),(L247-I247)/(H247*J247),"")</f>
        <v/>
      </c>
      <c r="X247" s="5">
        <f>IF(AND(M247&gt;0,N247&gt;0),M247/N247*0.7,"")</f>
        <v/>
      </c>
    </row>
    <row r="248">
      <c r="A248" s="2" t="inlineStr">
        <is>
          <t>2026-06</t>
        </is>
      </c>
      <c r="B248" s="2" t="inlineStr">
        <is>
          <t>金条</t>
        </is>
      </c>
      <c r="C248" s="2" t="inlineStr">
        <is>
          <t>首贷</t>
        </is>
      </c>
      <c r="D248" s="2" t="inlineStr">
        <is>
          <t>人工</t>
        </is>
      </c>
      <c r="E248" s="2" t="inlineStr">
        <is>
          <t>广达陕西</t>
        </is>
      </c>
      <c r="F248" s="3" t="n">
        <v>6964</v>
      </c>
      <c r="G248" s="3" t="n">
        <v>40</v>
      </c>
      <c r="H248" s="3" t="n">
        <v>2517800</v>
      </c>
      <c r="I248" s="3" t="n">
        <v>983</v>
      </c>
      <c r="J248" s="4" t="n">
        <v>0.07000000000000001</v>
      </c>
      <c r="K248" s="3" t="n">
        <v>1.068</v>
      </c>
      <c r="L248" s="3" t="n">
        <v>11429</v>
      </c>
      <c r="M248" s="3" t="n">
        <v>9781</v>
      </c>
      <c r="N248" s="3" t="n">
        <v>24</v>
      </c>
      <c r="O248" s="5">
        <f>IF(L248&gt;0,L248-I248,"")</f>
        <v/>
      </c>
      <c r="P248" s="6">
        <f>IF(AND(M248&gt;0,L248&gt;0),M248/L248*100,"")</f>
        <v/>
      </c>
      <c r="Q248" s="7">
        <f>IF(AND(G248&gt;0,F248&gt;0),G248/F248*100,"")</f>
        <v/>
      </c>
      <c r="R248" s="5">
        <f>IF(AND(H248&gt;0,G248&gt;0),H248/G248,"")</f>
        <v/>
      </c>
      <c r="S248" s="8">
        <f>IF(AND(L248&gt;0,G248&gt;0),L248/G248,"")</f>
        <v/>
      </c>
      <c r="T248" s="8">
        <f>IF(AND(M248&gt;0,G248&gt;0),M248/G248,"")</f>
        <v/>
      </c>
      <c r="U248" s="5">
        <f>IF(AND(M248&gt;0,N248&gt;0),M248/N248,"")</f>
        <v/>
      </c>
      <c r="V248" s="6">
        <f>IF(AND(I248&gt;=0,L248&gt;0),I248/L248*100,"")</f>
        <v/>
      </c>
      <c r="W248" s="9">
        <f>IF(AND(L248&gt;0,H248&gt;0,J248&gt;0),(L248-I248)/(H248*J248),"")</f>
        <v/>
      </c>
      <c r="X248" s="5">
        <f>IF(AND(M248&gt;0,N248&gt;0),M248/N248*0.7,"")</f>
        <v/>
      </c>
    </row>
    <row r="249">
      <c r="A249" s="2" t="inlineStr">
        <is>
          <t>2026-06</t>
        </is>
      </c>
      <c r="B249" s="2" t="inlineStr">
        <is>
          <t>金条</t>
        </is>
      </c>
      <c r="C249" s="2" t="inlineStr">
        <is>
          <t>复贷</t>
        </is>
      </c>
      <c r="D249" s="2" t="inlineStr">
        <is>
          <t>人工</t>
        </is>
      </c>
      <c r="E249" s="2" t="inlineStr">
        <is>
          <t>广达陕西</t>
        </is>
      </c>
      <c r="F249" s="3" t="n">
        <v>7173</v>
      </c>
      <c r="G249" s="3" t="n">
        <v>548</v>
      </c>
      <c r="H249" s="3" t="n">
        <v>13925700</v>
      </c>
      <c r="I249" s="3" t="n">
        <v>1360</v>
      </c>
      <c r="J249" s="4" t="n">
        <v>0.36</v>
      </c>
      <c r="K249" s="3" t="n">
        <v>1.068</v>
      </c>
      <c r="L249" s="3" t="n">
        <v>16251</v>
      </c>
      <c r="M249" s="3" t="n">
        <v>13943</v>
      </c>
      <c r="N249" s="3" t="n">
        <v>22</v>
      </c>
      <c r="O249" s="5">
        <f>IF(L249&gt;0,L249-I249,"")</f>
        <v/>
      </c>
      <c r="P249" s="6">
        <f>IF(AND(M249&gt;0,L249&gt;0),M249/L249*100,"")</f>
        <v/>
      </c>
      <c r="Q249" s="7">
        <f>IF(AND(G249&gt;0,F249&gt;0),G249/F249*100,"")</f>
        <v/>
      </c>
      <c r="R249" s="5">
        <f>IF(AND(H249&gt;0,G249&gt;0),H249/G249,"")</f>
        <v/>
      </c>
      <c r="S249" s="8">
        <f>IF(AND(L249&gt;0,G249&gt;0),L249/G249,"")</f>
        <v/>
      </c>
      <c r="T249" s="8">
        <f>IF(AND(M249&gt;0,G249&gt;0),M249/G249,"")</f>
        <v/>
      </c>
      <c r="U249" s="5">
        <f>IF(AND(M249&gt;0,N249&gt;0),M249/N249,"")</f>
        <v/>
      </c>
      <c r="V249" s="6">
        <f>IF(AND(I249&gt;=0,L249&gt;0),I249/L249*100,"")</f>
        <v/>
      </c>
      <c r="W249" s="9">
        <f>IF(AND(L249&gt;0,H249&gt;0,J249&gt;0),(L249-I249)/(H249*J249),"")</f>
        <v/>
      </c>
      <c r="X249" s="5">
        <f>IF(AND(M249&gt;0,N249&gt;0),M249/N249*0.7,"")</f>
        <v/>
      </c>
    </row>
    <row r="250">
      <c r="A250" s="2" t="inlineStr">
        <is>
          <t>2026-06</t>
        </is>
      </c>
      <c r="B250" s="2" t="inlineStr">
        <is>
          <t>金条</t>
        </is>
      </c>
      <c r="C250" s="2" t="inlineStr">
        <is>
          <t>首贷</t>
        </is>
      </c>
      <c r="D250" s="2" t="inlineStr">
        <is>
          <t>人工</t>
        </is>
      </c>
      <c r="E250" s="2" t="inlineStr">
        <is>
          <t>翰锐曲靖</t>
        </is>
      </c>
      <c r="F250" s="3" t="n">
        <v>6049</v>
      </c>
      <c r="G250" s="3" t="n">
        <v>47</v>
      </c>
      <c r="H250" s="3" t="n">
        <v>2061400</v>
      </c>
      <c r="I250" s="3" t="n">
        <v>896</v>
      </c>
      <c r="J250" s="4" t="n">
        <v>0.07000000000000001</v>
      </c>
      <c r="K250" s="3" t="n">
        <v>1.068</v>
      </c>
      <c r="L250" s="3" t="n">
        <v>9386</v>
      </c>
      <c r="M250" s="3" t="n">
        <v>7950</v>
      </c>
      <c r="N250" s="3" t="n">
        <v>21</v>
      </c>
      <c r="O250" s="5">
        <f>IF(L250&gt;0,L250-I250,"")</f>
        <v/>
      </c>
      <c r="P250" s="6">
        <f>IF(AND(M250&gt;0,L250&gt;0),M250/L250*100,"")</f>
        <v/>
      </c>
      <c r="Q250" s="7">
        <f>IF(AND(G250&gt;0,F250&gt;0),G250/F250*100,"")</f>
        <v/>
      </c>
      <c r="R250" s="5">
        <f>IF(AND(H250&gt;0,G250&gt;0),H250/G250,"")</f>
        <v/>
      </c>
      <c r="S250" s="8">
        <f>IF(AND(L250&gt;0,G250&gt;0),L250/G250,"")</f>
        <v/>
      </c>
      <c r="T250" s="8">
        <f>IF(AND(M250&gt;0,G250&gt;0),M250/G250,"")</f>
        <v/>
      </c>
      <c r="U250" s="5">
        <f>IF(AND(M250&gt;0,N250&gt;0),M250/N250,"")</f>
        <v/>
      </c>
      <c r="V250" s="6">
        <f>IF(AND(I250&gt;=0,L250&gt;0),I250/L250*100,"")</f>
        <v/>
      </c>
      <c r="W250" s="9">
        <f>IF(AND(L250&gt;0,H250&gt;0,J250&gt;0),(L250-I250)/(H250*J250),"")</f>
        <v/>
      </c>
      <c r="X250" s="5">
        <f>IF(AND(M250&gt;0,N250&gt;0),M250/N250*0.7,"")</f>
        <v/>
      </c>
    </row>
    <row r="251">
      <c r="A251" s="2" t="inlineStr">
        <is>
          <t>2026-06</t>
        </is>
      </c>
      <c r="B251" s="2" t="inlineStr">
        <is>
          <t>金条</t>
        </is>
      </c>
      <c r="C251" s="2" t="inlineStr">
        <is>
          <t>复贷</t>
        </is>
      </c>
      <c r="D251" s="2" t="inlineStr">
        <is>
          <t>人工</t>
        </is>
      </c>
      <c r="E251" s="2" t="inlineStr">
        <is>
          <t>翰锐曲靖</t>
        </is>
      </c>
      <c r="F251" s="3" t="n">
        <v>15694</v>
      </c>
      <c r="G251" s="3" t="n">
        <v>1197</v>
      </c>
      <c r="H251" s="3" t="n">
        <v>36141000</v>
      </c>
      <c r="I251" s="3" t="n">
        <v>2483</v>
      </c>
      <c r="J251" s="4" t="n">
        <v>0.36</v>
      </c>
      <c r="K251" s="3" t="n">
        <v>1.068</v>
      </c>
      <c r="L251" s="3" t="n">
        <v>43237</v>
      </c>
      <c r="M251" s="3" t="n">
        <v>38160</v>
      </c>
      <c r="N251" s="3" t="n">
        <v>46</v>
      </c>
      <c r="O251" s="5">
        <f>IF(L251&gt;0,L251-I251,"")</f>
        <v/>
      </c>
      <c r="P251" s="6">
        <f>IF(AND(M251&gt;0,L251&gt;0),M251/L251*100,"")</f>
        <v/>
      </c>
      <c r="Q251" s="7">
        <f>IF(AND(G251&gt;0,F251&gt;0),G251/F251*100,"")</f>
        <v/>
      </c>
      <c r="R251" s="5">
        <f>IF(AND(H251&gt;0,G251&gt;0),H251/G251,"")</f>
        <v/>
      </c>
      <c r="S251" s="8">
        <f>IF(AND(L251&gt;0,G251&gt;0),L251/G251,"")</f>
        <v/>
      </c>
      <c r="T251" s="8">
        <f>IF(AND(M251&gt;0,G251&gt;0),M251/G251,"")</f>
        <v/>
      </c>
      <c r="U251" s="5">
        <f>IF(AND(M251&gt;0,N251&gt;0),M251/N251,"")</f>
        <v/>
      </c>
      <c r="V251" s="6">
        <f>IF(AND(I251&gt;=0,L251&gt;0),I251/L251*100,"")</f>
        <v/>
      </c>
      <c r="W251" s="9">
        <f>IF(AND(L251&gt;0,H251&gt;0,J251&gt;0),(L251-I251)/(H251*J251),"")</f>
        <v/>
      </c>
      <c r="X251" s="5">
        <f>IF(AND(M251&gt;0,N251&gt;0),M251/N251*0.7,"")</f>
        <v/>
      </c>
    </row>
    <row r="252">
      <c r="A252" s="2" t="inlineStr">
        <is>
          <t>2026-06</t>
        </is>
      </c>
      <c r="B252" s="2" t="inlineStr">
        <is>
          <t>金条</t>
        </is>
      </c>
      <c r="C252" s="2" t="inlineStr">
        <is>
          <t>首贷</t>
        </is>
      </c>
      <c r="D252" s="2" t="inlineStr">
        <is>
          <t>人工</t>
        </is>
      </c>
      <c r="E252" s="2" t="inlineStr">
        <is>
          <t>华啸</t>
        </is>
      </c>
      <c r="F252" s="3" t="n">
        <v>938</v>
      </c>
      <c r="G252" s="3" t="n">
        <v>7</v>
      </c>
      <c r="H252" s="3" t="n">
        <v>497600</v>
      </c>
      <c r="I252" s="3" t="n">
        <v>122</v>
      </c>
      <c r="J252" s="4" t="n">
        <v>0.07000000000000001</v>
      </c>
      <c r="K252" s="3" t="n">
        <v>1.068</v>
      </c>
      <c r="L252" s="3" t="n">
        <v>2041</v>
      </c>
      <c r="M252" s="3" t="n">
        <v>1797</v>
      </c>
      <c r="N252" s="3" t="n">
        <v>3</v>
      </c>
      <c r="O252" s="5">
        <f>IF(L252&gt;0,L252-I252,"")</f>
        <v/>
      </c>
      <c r="P252" s="6">
        <f>IF(AND(M252&gt;0,L252&gt;0),M252/L252*100,"")</f>
        <v/>
      </c>
      <c r="Q252" s="7">
        <f>IF(AND(G252&gt;0,F252&gt;0),G252/F252*100,"")</f>
        <v/>
      </c>
      <c r="R252" s="5">
        <f>IF(AND(H252&gt;0,G252&gt;0),H252/G252,"")</f>
        <v/>
      </c>
      <c r="S252" s="8">
        <f>IF(AND(L252&gt;0,G252&gt;0),L252/G252,"")</f>
        <v/>
      </c>
      <c r="T252" s="8">
        <f>IF(AND(M252&gt;0,G252&gt;0),M252/G252,"")</f>
        <v/>
      </c>
      <c r="U252" s="5">
        <f>IF(AND(M252&gt;0,N252&gt;0),M252/N252,"")</f>
        <v/>
      </c>
      <c r="V252" s="6">
        <f>IF(AND(I252&gt;=0,L252&gt;0),I252/L252*100,"")</f>
        <v/>
      </c>
      <c r="W252" s="9">
        <f>IF(AND(L252&gt;0,H252&gt;0,J252&gt;0),(L252-I252)/(H252*J252),"")</f>
        <v/>
      </c>
      <c r="X252" s="5">
        <f>IF(AND(M252&gt;0,N252&gt;0),M252/N252*0.7,"")</f>
        <v/>
      </c>
    </row>
    <row r="253">
      <c r="A253" s="2" t="inlineStr">
        <is>
          <t>2026-06</t>
        </is>
      </c>
      <c r="B253" s="2" t="inlineStr">
        <is>
          <t>金条</t>
        </is>
      </c>
      <c r="C253" s="2" t="inlineStr">
        <is>
          <t>复贷</t>
        </is>
      </c>
      <c r="D253" s="2" t="inlineStr">
        <is>
          <t>人工</t>
        </is>
      </c>
      <c r="E253" s="2" t="inlineStr">
        <is>
          <t>华啸</t>
        </is>
      </c>
      <c r="F253" s="3" t="n">
        <v>10721</v>
      </c>
      <c r="G253" s="3" t="n">
        <v>840</v>
      </c>
      <c r="H253" s="3" t="n">
        <v>24707400</v>
      </c>
      <c r="I253" s="3" t="n">
        <v>1656</v>
      </c>
      <c r="J253" s="4" t="n">
        <v>0.36</v>
      </c>
      <c r="K253" s="3" t="n">
        <v>1.068</v>
      </c>
      <c r="L253" s="3" t="n">
        <v>29263</v>
      </c>
      <c r="M253" s="3" t="n">
        <v>25849</v>
      </c>
      <c r="N253" s="3" t="n">
        <v>32</v>
      </c>
      <c r="O253" s="5">
        <f>IF(L253&gt;0,L253-I253,"")</f>
        <v/>
      </c>
      <c r="P253" s="6">
        <f>IF(AND(M253&gt;0,L253&gt;0),M253/L253*100,"")</f>
        <v/>
      </c>
      <c r="Q253" s="7">
        <f>IF(AND(G253&gt;0,F253&gt;0),G253/F253*100,"")</f>
        <v/>
      </c>
      <c r="R253" s="5">
        <f>IF(AND(H253&gt;0,G253&gt;0),H253/G253,"")</f>
        <v/>
      </c>
      <c r="S253" s="8">
        <f>IF(AND(L253&gt;0,G253&gt;0),L253/G253,"")</f>
        <v/>
      </c>
      <c r="T253" s="8">
        <f>IF(AND(M253&gt;0,G253&gt;0),M253/G253,"")</f>
        <v/>
      </c>
      <c r="U253" s="5">
        <f>IF(AND(M253&gt;0,N253&gt;0),M253/N253,"")</f>
        <v/>
      </c>
      <c r="V253" s="6">
        <f>IF(AND(I253&gt;=0,L253&gt;0),I253/L253*100,"")</f>
        <v/>
      </c>
      <c r="W253" s="9">
        <f>IF(AND(L253&gt;0,H253&gt;0,J253&gt;0),(L253-I253)/(H253*J253),"")</f>
        <v/>
      </c>
      <c r="X253" s="5">
        <f>IF(AND(M253&gt;0,N253&gt;0),M253/N253*0.7,"")</f>
        <v/>
      </c>
    </row>
    <row r="254">
      <c r="A254" s="2" t="inlineStr">
        <is>
          <t>2026-06</t>
        </is>
      </c>
      <c r="B254" s="2" t="inlineStr">
        <is>
          <t>金条</t>
        </is>
      </c>
      <c r="C254" s="2" t="inlineStr">
        <is>
          <t>首贷</t>
        </is>
      </c>
      <c r="D254" s="2" t="inlineStr">
        <is>
          <t>人工</t>
        </is>
      </c>
      <c r="E254" s="2" t="inlineStr">
        <is>
          <t>汇讯</t>
        </is>
      </c>
      <c r="F254" s="3" t="n">
        <v>21143</v>
      </c>
      <c r="G254" s="3" t="n">
        <v>213</v>
      </c>
      <c r="H254" s="3" t="n">
        <v>11979600</v>
      </c>
      <c r="I254" s="3" t="n">
        <v>3421</v>
      </c>
      <c r="J254" s="4" t="n">
        <v>0.07000000000000001</v>
      </c>
      <c r="K254" s="3" t="n">
        <v>1.068</v>
      </c>
      <c r="L254" s="3" t="n">
        <v>52999</v>
      </c>
      <c r="M254" s="3" t="n">
        <v>46421</v>
      </c>
      <c r="N254" s="3" t="n">
        <v>69</v>
      </c>
      <c r="O254" s="5">
        <f>IF(L254&gt;0,L254-I254,"")</f>
        <v/>
      </c>
      <c r="P254" s="6">
        <f>IF(AND(M254&gt;0,L254&gt;0),M254/L254*100,"")</f>
        <v/>
      </c>
      <c r="Q254" s="7">
        <f>IF(AND(G254&gt;0,F254&gt;0),G254/F254*100,"")</f>
        <v/>
      </c>
      <c r="R254" s="5">
        <f>IF(AND(H254&gt;0,G254&gt;0),H254/G254,"")</f>
        <v/>
      </c>
      <c r="S254" s="8">
        <f>IF(AND(L254&gt;0,G254&gt;0),L254/G254,"")</f>
        <v/>
      </c>
      <c r="T254" s="8">
        <f>IF(AND(M254&gt;0,G254&gt;0),M254/G254,"")</f>
        <v/>
      </c>
      <c r="U254" s="5">
        <f>IF(AND(M254&gt;0,N254&gt;0),M254/N254,"")</f>
        <v/>
      </c>
      <c r="V254" s="6">
        <f>IF(AND(I254&gt;=0,L254&gt;0),I254/L254*100,"")</f>
        <v/>
      </c>
      <c r="W254" s="9">
        <f>IF(AND(L254&gt;0,H254&gt;0,J254&gt;0),(L254-I254)/(H254*J254),"")</f>
        <v/>
      </c>
      <c r="X254" s="5">
        <f>IF(AND(M254&gt;0,N254&gt;0),M254/N254*0.7,"")</f>
        <v/>
      </c>
    </row>
    <row r="255">
      <c r="A255" s="2" t="inlineStr">
        <is>
          <t>2026-06</t>
        </is>
      </c>
      <c r="B255" s="2" t="inlineStr">
        <is>
          <t>金条</t>
        </is>
      </c>
      <c r="C255" s="2" t="inlineStr">
        <is>
          <t>复贷</t>
        </is>
      </c>
      <c r="D255" s="2" t="inlineStr">
        <is>
          <t>人工</t>
        </is>
      </c>
      <c r="E255" s="2" t="inlineStr">
        <is>
          <t>汇讯</t>
        </is>
      </c>
      <c r="F255" s="3" t="n">
        <v>8495</v>
      </c>
      <c r="G255" s="3" t="n">
        <v>642</v>
      </c>
      <c r="H255" s="3" t="n">
        <v>16647400</v>
      </c>
      <c r="I255" s="3" t="n">
        <v>1541</v>
      </c>
      <c r="J255" s="4" t="n">
        <v>0.36</v>
      </c>
      <c r="K255" s="3" t="n">
        <v>1.068</v>
      </c>
      <c r="L255" s="3" t="n">
        <v>19723</v>
      </c>
      <c r="M255" s="3" t="n">
        <v>17024</v>
      </c>
      <c r="N255" s="3" t="n">
        <v>26</v>
      </c>
      <c r="O255" s="5">
        <f>IF(L255&gt;0,L255-I255,"")</f>
        <v/>
      </c>
      <c r="P255" s="6">
        <f>IF(AND(M255&gt;0,L255&gt;0),M255/L255*100,"")</f>
        <v/>
      </c>
      <c r="Q255" s="7">
        <f>IF(AND(G255&gt;0,F255&gt;0),G255/F255*100,"")</f>
        <v/>
      </c>
      <c r="R255" s="5">
        <f>IF(AND(H255&gt;0,G255&gt;0),H255/G255,"")</f>
        <v/>
      </c>
      <c r="S255" s="8">
        <f>IF(AND(L255&gt;0,G255&gt;0),L255/G255,"")</f>
        <v/>
      </c>
      <c r="T255" s="8">
        <f>IF(AND(M255&gt;0,G255&gt;0),M255/G255,"")</f>
        <v/>
      </c>
      <c r="U255" s="5">
        <f>IF(AND(M255&gt;0,N255&gt;0),M255/N255,"")</f>
        <v/>
      </c>
      <c r="V255" s="6">
        <f>IF(AND(I255&gt;=0,L255&gt;0),I255/L255*100,"")</f>
        <v/>
      </c>
      <c r="W255" s="9">
        <f>IF(AND(L255&gt;0,H255&gt;0,J255&gt;0),(L255-I255)/(H255*J255),"")</f>
        <v/>
      </c>
      <c r="X255" s="5">
        <f>IF(AND(M255&gt;0,N255&gt;0),M255/N255*0.7,"")</f>
        <v/>
      </c>
    </row>
    <row r="256">
      <c r="A256" s="2" t="inlineStr">
        <is>
          <t>2026-06</t>
        </is>
      </c>
      <c r="B256" s="2" t="inlineStr">
        <is>
          <t>金条</t>
        </is>
      </c>
      <c r="C256" s="2" t="inlineStr">
        <is>
          <t>首贷</t>
        </is>
      </c>
      <c r="D256" s="2" t="inlineStr">
        <is>
          <t>人工</t>
        </is>
      </c>
      <c r="E256" s="2" t="inlineStr">
        <is>
          <t>毛毛虫</t>
        </is>
      </c>
      <c r="F256" s="3" t="n">
        <v>51533</v>
      </c>
      <c r="G256" s="3" t="n">
        <v>624</v>
      </c>
      <c r="H256" s="3" t="n">
        <v>39677100</v>
      </c>
      <c r="I256" s="3" t="n">
        <v>7752</v>
      </c>
      <c r="J256" s="4" t="n">
        <v>0.07000000000000001</v>
      </c>
      <c r="K256" s="3" t="n">
        <v>1.068</v>
      </c>
      <c r="L256" s="3" t="n">
        <v>178422</v>
      </c>
      <c r="M256" s="3" t="n">
        <v>159803</v>
      </c>
      <c r="N256" s="3" t="n">
        <v>167</v>
      </c>
      <c r="O256" s="5">
        <f>IF(L256&gt;0,L256-I256,"")</f>
        <v/>
      </c>
      <c r="P256" s="6">
        <f>IF(AND(M256&gt;0,L256&gt;0),M256/L256*100,"")</f>
        <v/>
      </c>
      <c r="Q256" s="7">
        <f>IF(AND(G256&gt;0,F256&gt;0),G256/F256*100,"")</f>
        <v/>
      </c>
      <c r="R256" s="5">
        <f>IF(AND(H256&gt;0,G256&gt;0),H256/G256,"")</f>
        <v/>
      </c>
      <c r="S256" s="8">
        <f>IF(AND(L256&gt;0,G256&gt;0),L256/G256,"")</f>
        <v/>
      </c>
      <c r="T256" s="8">
        <f>IF(AND(M256&gt;0,G256&gt;0),M256/G256,"")</f>
        <v/>
      </c>
      <c r="U256" s="5">
        <f>IF(AND(M256&gt;0,N256&gt;0),M256/N256,"")</f>
        <v/>
      </c>
      <c r="V256" s="6">
        <f>IF(AND(I256&gt;=0,L256&gt;0),I256/L256*100,"")</f>
        <v/>
      </c>
      <c r="W256" s="9">
        <f>IF(AND(L256&gt;0,H256&gt;0,J256&gt;0),(L256-I256)/(H256*J256),"")</f>
        <v/>
      </c>
      <c r="X256" s="5">
        <f>IF(AND(M256&gt;0,N256&gt;0),M256/N256*0.7,"")</f>
        <v/>
      </c>
    </row>
    <row r="257">
      <c r="A257" s="2" t="inlineStr">
        <is>
          <t>2026-06</t>
        </is>
      </c>
      <c r="B257" s="2" t="inlineStr">
        <is>
          <t>金条</t>
        </is>
      </c>
      <c r="C257" s="2" t="inlineStr">
        <is>
          <t>复贷</t>
        </is>
      </c>
      <c r="D257" s="2" t="inlineStr">
        <is>
          <t>人工</t>
        </is>
      </c>
      <c r="E257" s="2" t="inlineStr">
        <is>
          <t>毛毛虫</t>
        </is>
      </c>
      <c r="F257" s="3" t="n">
        <v>20657</v>
      </c>
      <c r="G257" s="3" t="n">
        <v>1619</v>
      </c>
      <c r="H257" s="3" t="n">
        <v>45216900</v>
      </c>
      <c r="I257" s="3" t="n">
        <v>3065</v>
      </c>
      <c r="J257" s="4" t="n">
        <v>0.36</v>
      </c>
      <c r="K257" s="3" t="n">
        <v>1.068</v>
      </c>
      <c r="L257" s="3" t="n">
        <v>54308</v>
      </c>
      <c r="M257" s="3" t="n">
        <v>47980</v>
      </c>
      <c r="N257" s="3" t="n">
        <v>61</v>
      </c>
      <c r="O257" s="5">
        <f>IF(L257&gt;0,L257-I257,"")</f>
        <v/>
      </c>
      <c r="P257" s="6">
        <f>IF(AND(M257&gt;0,L257&gt;0),M257/L257*100,"")</f>
        <v/>
      </c>
      <c r="Q257" s="7">
        <f>IF(AND(G257&gt;0,F257&gt;0),G257/F257*100,"")</f>
        <v/>
      </c>
      <c r="R257" s="5">
        <f>IF(AND(H257&gt;0,G257&gt;0),H257/G257,"")</f>
        <v/>
      </c>
      <c r="S257" s="8">
        <f>IF(AND(L257&gt;0,G257&gt;0),L257/G257,"")</f>
        <v/>
      </c>
      <c r="T257" s="8">
        <f>IF(AND(M257&gt;0,G257&gt;0),M257/G257,"")</f>
        <v/>
      </c>
      <c r="U257" s="5">
        <f>IF(AND(M257&gt;0,N257&gt;0),M257/N257,"")</f>
        <v/>
      </c>
      <c r="V257" s="6">
        <f>IF(AND(I257&gt;=0,L257&gt;0),I257/L257*100,"")</f>
        <v/>
      </c>
      <c r="W257" s="9">
        <f>IF(AND(L257&gt;0,H257&gt;0,J257&gt;0),(L257-I257)/(H257*J257),"")</f>
        <v/>
      </c>
      <c r="X257" s="5">
        <f>IF(AND(M257&gt;0,N257&gt;0),M257/N257*0.7,"")</f>
        <v/>
      </c>
    </row>
    <row r="258">
      <c r="A258" s="2" t="inlineStr">
        <is>
          <t>2026-06</t>
        </is>
      </c>
      <c r="B258" s="2" t="inlineStr">
        <is>
          <t>金条</t>
        </is>
      </c>
      <c r="C258" s="2" t="inlineStr">
        <is>
          <t>首贷</t>
        </is>
      </c>
      <c r="D258" s="2" t="inlineStr">
        <is>
          <t>人工</t>
        </is>
      </c>
      <c r="E258" s="2" t="inlineStr">
        <is>
          <t>岐力</t>
        </is>
      </c>
      <c r="F258" s="3" t="n">
        <v>1355</v>
      </c>
      <c r="G258" s="3" t="n">
        <v>12</v>
      </c>
      <c r="H258" s="3" t="n">
        <v>240700</v>
      </c>
      <c r="I258" s="3" t="n">
        <v>223</v>
      </c>
      <c r="J258" s="4" t="n">
        <v>0.07000000000000001</v>
      </c>
      <c r="K258" s="3" t="n">
        <v>1.068</v>
      </c>
      <c r="L258" s="3" t="n">
        <v>1031</v>
      </c>
      <c r="M258" s="3" t="n">
        <v>756</v>
      </c>
      <c r="N258" s="3" t="n">
        <v>5</v>
      </c>
      <c r="O258" s="5">
        <f>IF(L258&gt;0,L258-I258,"")</f>
        <v/>
      </c>
      <c r="P258" s="6">
        <f>IF(AND(M258&gt;0,L258&gt;0),M258/L258*100,"")</f>
        <v/>
      </c>
      <c r="Q258" s="7">
        <f>IF(AND(G258&gt;0,F258&gt;0),G258/F258*100,"")</f>
        <v/>
      </c>
      <c r="R258" s="5">
        <f>IF(AND(H258&gt;0,G258&gt;0),H258/G258,"")</f>
        <v/>
      </c>
      <c r="S258" s="8">
        <f>IF(AND(L258&gt;0,G258&gt;0),L258/G258,"")</f>
        <v/>
      </c>
      <c r="T258" s="8">
        <f>IF(AND(M258&gt;0,G258&gt;0),M258/G258,"")</f>
        <v/>
      </c>
      <c r="U258" s="5">
        <f>IF(AND(M258&gt;0,N258&gt;0),M258/N258,"")</f>
        <v/>
      </c>
      <c r="V258" s="6">
        <f>IF(AND(I258&gt;=0,L258&gt;0),I258/L258*100,"")</f>
        <v/>
      </c>
      <c r="W258" s="9">
        <f>IF(AND(L258&gt;0,H258&gt;0,J258&gt;0),(L258-I258)/(H258*J258),"")</f>
        <v/>
      </c>
      <c r="X258" s="5">
        <f>IF(AND(M258&gt;0,N258&gt;0),M258/N258*0.7,"")</f>
        <v/>
      </c>
    </row>
    <row r="259">
      <c r="A259" s="2" t="inlineStr">
        <is>
          <t>2026-06</t>
        </is>
      </c>
      <c r="B259" s="2" t="inlineStr">
        <is>
          <t>金条</t>
        </is>
      </c>
      <c r="C259" s="2" t="inlineStr">
        <is>
          <t>复贷</t>
        </is>
      </c>
      <c r="D259" s="2" t="inlineStr">
        <is>
          <t>人工</t>
        </is>
      </c>
      <c r="E259" s="2" t="inlineStr">
        <is>
          <t>岐力</t>
        </is>
      </c>
      <c r="F259" s="3" t="n">
        <v>20221</v>
      </c>
      <c r="G259" s="3" t="n">
        <v>1466</v>
      </c>
      <c r="H259" s="3" t="n">
        <v>37268700</v>
      </c>
      <c r="I259" s="3" t="n">
        <v>3617</v>
      </c>
      <c r="J259" s="4" t="n">
        <v>0.36</v>
      </c>
      <c r="K259" s="3" t="n">
        <v>1.068</v>
      </c>
      <c r="L259" s="3" t="n">
        <v>43872</v>
      </c>
      <c r="M259" s="3" t="n">
        <v>37691</v>
      </c>
      <c r="N259" s="3" t="n">
        <v>59</v>
      </c>
      <c r="O259" s="5">
        <f>IF(L259&gt;0,L259-I259,"")</f>
        <v/>
      </c>
      <c r="P259" s="6">
        <f>IF(AND(M259&gt;0,L259&gt;0),M259/L259*100,"")</f>
        <v/>
      </c>
      <c r="Q259" s="7">
        <f>IF(AND(G259&gt;0,F259&gt;0),G259/F259*100,"")</f>
        <v/>
      </c>
      <c r="R259" s="5">
        <f>IF(AND(H259&gt;0,G259&gt;0),H259/G259,"")</f>
        <v/>
      </c>
      <c r="S259" s="8">
        <f>IF(AND(L259&gt;0,G259&gt;0),L259/G259,"")</f>
        <v/>
      </c>
      <c r="T259" s="8">
        <f>IF(AND(M259&gt;0,G259&gt;0),M259/G259,"")</f>
        <v/>
      </c>
      <c r="U259" s="5">
        <f>IF(AND(M259&gt;0,N259&gt;0),M259/N259,"")</f>
        <v/>
      </c>
      <c r="V259" s="6">
        <f>IF(AND(I259&gt;=0,L259&gt;0),I259/L259*100,"")</f>
        <v/>
      </c>
      <c r="W259" s="9">
        <f>IF(AND(L259&gt;0,H259&gt;0,J259&gt;0),(L259-I259)/(H259*J259),"")</f>
        <v/>
      </c>
      <c r="X259" s="5">
        <f>IF(AND(M259&gt;0,N259&gt;0),M259/N259*0.7,"")</f>
        <v/>
      </c>
    </row>
    <row r="260">
      <c r="A260" s="2" t="inlineStr">
        <is>
          <t>2026-06</t>
        </is>
      </c>
      <c r="B260" s="2" t="inlineStr">
        <is>
          <t>金条</t>
        </is>
      </c>
      <c r="C260" s="2" t="inlineStr">
        <is>
          <t>首贷</t>
        </is>
      </c>
      <c r="D260" s="2" t="inlineStr">
        <is>
          <t>人工</t>
        </is>
      </c>
      <c r="E260" s="2" t="inlineStr">
        <is>
          <t>人和</t>
        </is>
      </c>
      <c r="F260" s="3" t="n">
        <v>5006</v>
      </c>
      <c r="G260" s="3" t="n">
        <v>44</v>
      </c>
      <c r="H260" s="3" t="n">
        <v>2965400</v>
      </c>
      <c r="I260" s="3" t="n">
        <v>896</v>
      </c>
      <c r="J260" s="4" t="n">
        <v>0.07000000000000001</v>
      </c>
      <c r="K260" s="3" t="n">
        <v>1.068</v>
      </c>
      <c r="L260" s="3" t="n">
        <v>12501</v>
      </c>
      <c r="M260" s="3" t="n">
        <v>10867</v>
      </c>
      <c r="N260" s="3" t="n">
        <v>17</v>
      </c>
      <c r="O260" s="5">
        <f>IF(L260&gt;0,L260-I260,"")</f>
        <v/>
      </c>
      <c r="P260" s="6">
        <f>IF(AND(M260&gt;0,L260&gt;0),M260/L260*100,"")</f>
        <v/>
      </c>
      <c r="Q260" s="7">
        <f>IF(AND(G260&gt;0,F260&gt;0),G260/F260*100,"")</f>
        <v/>
      </c>
      <c r="R260" s="5">
        <f>IF(AND(H260&gt;0,G260&gt;0),H260/G260,"")</f>
        <v/>
      </c>
      <c r="S260" s="8">
        <f>IF(AND(L260&gt;0,G260&gt;0),L260/G260,"")</f>
        <v/>
      </c>
      <c r="T260" s="8">
        <f>IF(AND(M260&gt;0,G260&gt;0),M260/G260,"")</f>
        <v/>
      </c>
      <c r="U260" s="5">
        <f>IF(AND(M260&gt;0,N260&gt;0),M260/N260,"")</f>
        <v/>
      </c>
      <c r="V260" s="6">
        <f>IF(AND(I260&gt;=0,L260&gt;0),I260/L260*100,"")</f>
        <v/>
      </c>
      <c r="W260" s="9">
        <f>IF(AND(L260&gt;0,H260&gt;0,J260&gt;0),(L260-I260)/(H260*J260),"")</f>
        <v/>
      </c>
      <c r="X260" s="5">
        <f>IF(AND(M260&gt;0,N260&gt;0),M260/N260*0.7,"")</f>
        <v/>
      </c>
    </row>
    <row r="261">
      <c r="A261" s="2" t="inlineStr">
        <is>
          <t>2026-06</t>
        </is>
      </c>
      <c r="B261" s="2" t="inlineStr">
        <is>
          <t>金条</t>
        </is>
      </c>
      <c r="C261" s="2" t="inlineStr">
        <is>
          <t>复贷</t>
        </is>
      </c>
      <c r="D261" s="2" t="inlineStr">
        <is>
          <t>人工</t>
        </is>
      </c>
      <c r="E261" s="2" t="inlineStr">
        <is>
          <t>人和</t>
        </is>
      </c>
      <c r="F261" s="3" t="n">
        <v>6538</v>
      </c>
      <c r="G261" s="3" t="n">
        <v>444</v>
      </c>
      <c r="H261" s="3" t="n">
        <v>14328800</v>
      </c>
      <c r="I261" s="3" t="n">
        <v>940</v>
      </c>
      <c r="J261" s="4" t="n">
        <v>0.36</v>
      </c>
      <c r="K261" s="3" t="n">
        <v>1.068</v>
      </c>
      <c r="L261" s="3" t="n">
        <v>17051</v>
      </c>
      <c r="M261" s="3" t="n">
        <v>15085</v>
      </c>
      <c r="N261" s="3" t="n">
        <v>20</v>
      </c>
      <c r="O261" s="5">
        <f>IF(L261&gt;0,L261-I261,"")</f>
        <v/>
      </c>
      <c r="P261" s="6">
        <f>IF(AND(M261&gt;0,L261&gt;0),M261/L261*100,"")</f>
        <v/>
      </c>
      <c r="Q261" s="7">
        <f>IF(AND(G261&gt;0,F261&gt;0),G261/F261*100,"")</f>
        <v/>
      </c>
      <c r="R261" s="5">
        <f>IF(AND(H261&gt;0,G261&gt;0),H261/G261,"")</f>
        <v/>
      </c>
      <c r="S261" s="8">
        <f>IF(AND(L261&gt;0,G261&gt;0),L261/G261,"")</f>
        <v/>
      </c>
      <c r="T261" s="8">
        <f>IF(AND(M261&gt;0,G261&gt;0),M261/G261,"")</f>
        <v/>
      </c>
      <c r="U261" s="5">
        <f>IF(AND(M261&gt;0,N261&gt;0),M261/N261,"")</f>
        <v/>
      </c>
      <c r="V261" s="6">
        <f>IF(AND(I261&gt;=0,L261&gt;0),I261/L261*100,"")</f>
        <v/>
      </c>
      <c r="W261" s="9">
        <f>IF(AND(L261&gt;0,H261&gt;0,J261&gt;0),(L261-I261)/(H261*J261),"")</f>
        <v/>
      </c>
      <c r="X261" s="5">
        <f>IF(AND(M261&gt;0,N261&gt;0),M261/N261*0.7,"")</f>
        <v/>
      </c>
    </row>
    <row r="262">
      <c r="A262" s="2" t="inlineStr">
        <is>
          <t>2026-06</t>
        </is>
      </c>
      <c r="B262" s="2" t="inlineStr">
        <is>
          <t>金条</t>
        </is>
      </c>
      <c r="C262" s="2" t="inlineStr">
        <is>
          <t>首贷</t>
        </is>
      </c>
      <c r="D262" s="2" t="inlineStr">
        <is>
          <t>人工</t>
        </is>
      </c>
      <c r="E262" s="2" t="inlineStr">
        <is>
          <t>赛维斯</t>
        </is>
      </c>
      <c r="F262" s="3" t="n">
        <v>18399</v>
      </c>
      <c r="G262" s="3" t="n">
        <v>190</v>
      </c>
      <c r="H262" s="3" t="n">
        <v>10145300</v>
      </c>
      <c r="I262" s="3" t="n">
        <v>2919</v>
      </c>
      <c r="J262" s="4" t="n">
        <v>0.07000000000000001</v>
      </c>
      <c r="K262" s="3" t="n">
        <v>1.068</v>
      </c>
      <c r="L262" s="3" t="n">
        <v>49330</v>
      </c>
      <c r="M262" s="3" t="n">
        <v>43456</v>
      </c>
      <c r="N262" s="3" t="n">
        <v>60</v>
      </c>
      <c r="O262" s="5">
        <f>IF(L262&gt;0,L262-I262,"")</f>
        <v/>
      </c>
      <c r="P262" s="6">
        <f>IF(AND(M262&gt;0,L262&gt;0),M262/L262*100,"")</f>
        <v/>
      </c>
      <c r="Q262" s="7">
        <f>IF(AND(G262&gt;0,F262&gt;0),G262/F262*100,"")</f>
        <v/>
      </c>
      <c r="R262" s="5">
        <f>IF(AND(H262&gt;0,G262&gt;0),H262/G262,"")</f>
        <v/>
      </c>
      <c r="S262" s="8">
        <f>IF(AND(L262&gt;0,G262&gt;0),L262/G262,"")</f>
        <v/>
      </c>
      <c r="T262" s="8">
        <f>IF(AND(M262&gt;0,G262&gt;0),M262/G262,"")</f>
        <v/>
      </c>
      <c r="U262" s="5">
        <f>IF(AND(M262&gt;0,N262&gt;0),M262/N262,"")</f>
        <v/>
      </c>
      <c r="V262" s="6">
        <f>IF(AND(I262&gt;=0,L262&gt;0),I262/L262*100,"")</f>
        <v/>
      </c>
      <c r="W262" s="9">
        <f>IF(AND(L262&gt;0,H262&gt;0,J262&gt;0),(L262-I262)/(H262*J262),"")</f>
        <v/>
      </c>
      <c r="X262" s="5">
        <f>IF(AND(M262&gt;0,N262&gt;0),M262/N262*0.7,"")</f>
        <v/>
      </c>
    </row>
    <row r="263">
      <c r="A263" s="2" t="inlineStr">
        <is>
          <t>2026-06</t>
        </is>
      </c>
      <c r="B263" s="2" t="inlineStr">
        <is>
          <t>金条</t>
        </is>
      </c>
      <c r="C263" s="2" t="inlineStr">
        <is>
          <t>复贷</t>
        </is>
      </c>
      <c r="D263" s="2" t="inlineStr">
        <is>
          <t>人工</t>
        </is>
      </c>
      <c r="E263" s="2" t="inlineStr">
        <is>
          <t>赛维斯</t>
        </is>
      </c>
      <c r="F263" s="3" t="n">
        <v>29705</v>
      </c>
      <c r="G263" s="3" t="n">
        <v>2194</v>
      </c>
      <c r="H263" s="3" t="n">
        <v>52731100</v>
      </c>
      <c r="I263" s="3" t="n">
        <v>3884</v>
      </c>
      <c r="J263" s="4" t="n">
        <v>0.36</v>
      </c>
      <c r="K263" s="3" t="n">
        <v>1.068</v>
      </c>
      <c r="L263" s="3" t="n">
        <v>62365</v>
      </c>
      <c r="M263" s="3" t="n">
        <v>54758</v>
      </c>
      <c r="N263" s="3" t="n">
        <v>87</v>
      </c>
      <c r="O263" s="5">
        <f>IF(L263&gt;0,L263-I263,"")</f>
        <v/>
      </c>
      <c r="P263" s="6">
        <f>IF(AND(M263&gt;0,L263&gt;0),M263/L263*100,"")</f>
        <v/>
      </c>
      <c r="Q263" s="7">
        <f>IF(AND(G263&gt;0,F263&gt;0),G263/F263*100,"")</f>
        <v/>
      </c>
      <c r="R263" s="5">
        <f>IF(AND(H263&gt;0,G263&gt;0),H263/G263,"")</f>
        <v/>
      </c>
      <c r="S263" s="8">
        <f>IF(AND(L263&gt;0,G263&gt;0),L263/G263,"")</f>
        <v/>
      </c>
      <c r="T263" s="8">
        <f>IF(AND(M263&gt;0,G263&gt;0),M263/G263,"")</f>
        <v/>
      </c>
      <c r="U263" s="5">
        <f>IF(AND(M263&gt;0,N263&gt;0),M263/N263,"")</f>
        <v/>
      </c>
      <c r="V263" s="6">
        <f>IF(AND(I263&gt;=0,L263&gt;0),I263/L263*100,"")</f>
        <v/>
      </c>
      <c r="W263" s="9">
        <f>IF(AND(L263&gt;0,H263&gt;0,J263&gt;0),(L263-I263)/(H263*J263),"")</f>
        <v/>
      </c>
      <c r="X263" s="5">
        <f>IF(AND(M263&gt;0,N263&gt;0),M263/N263*0.7,"")</f>
        <v/>
      </c>
    </row>
    <row r="264">
      <c r="A264" s="2" t="inlineStr">
        <is>
          <t>2026-06</t>
        </is>
      </c>
      <c r="B264" s="2" t="inlineStr">
        <is>
          <t>金条</t>
        </is>
      </c>
      <c r="C264" s="2" t="inlineStr">
        <is>
          <t>首贷</t>
        </is>
      </c>
      <c r="D264" s="2" t="inlineStr">
        <is>
          <t>人工</t>
        </is>
      </c>
      <c r="E264" s="2" t="inlineStr">
        <is>
          <t>宿迁兆科</t>
        </is>
      </c>
      <c r="F264" s="3" t="n">
        <v>2892</v>
      </c>
      <c r="G264" s="3" t="n">
        <v>17</v>
      </c>
      <c r="H264" s="3" t="n">
        <v>486200</v>
      </c>
      <c r="I264" s="3" t="n">
        <v>483</v>
      </c>
      <c r="J264" s="4" t="n">
        <v>0.07000000000000001</v>
      </c>
      <c r="K264" s="3" t="n">
        <v>1.068</v>
      </c>
      <c r="L264" s="3" t="n">
        <v>2066</v>
      </c>
      <c r="M264" s="3" t="n">
        <v>1483</v>
      </c>
      <c r="N264" s="3" t="n">
        <v>10</v>
      </c>
      <c r="O264" s="5">
        <f>IF(L264&gt;0,L264-I264,"")</f>
        <v/>
      </c>
      <c r="P264" s="6">
        <f>IF(AND(M264&gt;0,L264&gt;0),M264/L264*100,"")</f>
        <v/>
      </c>
      <c r="Q264" s="7">
        <f>IF(AND(G264&gt;0,F264&gt;0),G264/F264*100,"")</f>
        <v/>
      </c>
      <c r="R264" s="5">
        <f>IF(AND(H264&gt;0,G264&gt;0),H264/G264,"")</f>
        <v/>
      </c>
      <c r="S264" s="8">
        <f>IF(AND(L264&gt;0,G264&gt;0),L264/G264,"")</f>
        <v/>
      </c>
      <c r="T264" s="8">
        <f>IF(AND(M264&gt;0,G264&gt;0),M264/G264,"")</f>
        <v/>
      </c>
      <c r="U264" s="5">
        <f>IF(AND(M264&gt;0,N264&gt;0),M264/N264,"")</f>
        <v/>
      </c>
      <c r="V264" s="6">
        <f>IF(AND(I264&gt;=0,L264&gt;0),I264/L264*100,"")</f>
        <v/>
      </c>
      <c r="W264" s="9">
        <f>IF(AND(L264&gt;0,H264&gt;0,J264&gt;0),(L264-I264)/(H264*J264),"")</f>
        <v/>
      </c>
      <c r="X264" s="5">
        <f>IF(AND(M264&gt;0,N264&gt;0),M264/N264*0.7,"")</f>
        <v/>
      </c>
    </row>
    <row r="265">
      <c r="A265" s="2" t="inlineStr">
        <is>
          <t>2026-06</t>
        </is>
      </c>
      <c r="B265" s="2" t="inlineStr">
        <is>
          <t>金条</t>
        </is>
      </c>
      <c r="C265" s="2" t="inlineStr">
        <is>
          <t>复贷</t>
        </is>
      </c>
      <c r="D265" s="2" t="inlineStr">
        <is>
          <t>人工</t>
        </is>
      </c>
      <c r="E265" s="2" t="inlineStr">
        <is>
          <t>宿迁兆科</t>
        </is>
      </c>
      <c r="F265" s="3" t="n">
        <v>4686</v>
      </c>
      <c r="G265" s="3" t="n">
        <v>303</v>
      </c>
      <c r="H265" s="3" t="n">
        <v>8475300</v>
      </c>
      <c r="I265" s="3" t="n">
        <v>602</v>
      </c>
      <c r="J265" s="4" t="n">
        <v>0.36</v>
      </c>
      <c r="K265" s="3" t="n">
        <v>1.068</v>
      </c>
      <c r="L265" s="3" t="n">
        <v>10451</v>
      </c>
      <c r="M265" s="3" t="n">
        <v>9222</v>
      </c>
      <c r="N265" s="3" t="n">
        <v>14</v>
      </c>
      <c r="O265" s="5">
        <f>IF(L265&gt;0,L265-I265,"")</f>
        <v/>
      </c>
      <c r="P265" s="6">
        <f>IF(AND(M265&gt;0,L265&gt;0),M265/L265*100,"")</f>
        <v/>
      </c>
      <c r="Q265" s="7">
        <f>IF(AND(G265&gt;0,F265&gt;0),G265/F265*100,"")</f>
        <v/>
      </c>
      <c r="R265" s="5">
        <f>IF(AND(H265&gt;0,G265&gt;0),H265/G265,"")</f>
        <v/>
      </c>
      <c r="S265" s="8">
        <f>IF(AND(L265&gt;0,G265&gt;0),L265/G265,"")</f>
        <v/>
      </c>
      <c r="T265" s="8">
        <f>IF(AND(M265&gt;0,G265&gt;0),M265/G265,"")</f>
        <v/>
      </c>
      <c r="U265" s="5">
        <f>IF(AND(M265&gt;0,N265&gt;0),M265/N265,"")</f>
        <v/>
      </c>
      <c r="V265" s="6">
        <f>IF(AND(I265&gt;=0,L265&gt;0),I265/L265*100,"")</f>
        <v/>
      </c>
      <c r="W265" s="9">
        <f>IF(AND(L265&gt;0,H265&gt;0,J265&gt;0),(L265-I265)/(H265*J265),"")</f>
        <v/>
      </c>
      <c r="X265" s="5">
        <f>IF(AND(M265&gt;0,N265&gt;0),M265/N265*0.7,"")</f>
        <v/>
      </c>
    </row>
    <row r="266">
      <c r="A266" s="2" t="inlineStr">
        <is>
          <t>2026-06</t>
        </is>
      </c>
      <c r="B266" s="2" t="inlineStr">
        <is>
          <t>金条</t>
        </is>
      </c>
      <c r="C266" s="2" t="inlineStr">
        <is>
          <t>首贷</t>
        </is>
      </c>
      <c r="D266" s="2" t="inlineStr">
        <is>
          <t>人工</t>
        </is>
      </c>
      <c r="E266" s="2" t="inlineStr">
        <is>
          <t>毅航合肥</t>
        </is>
      </c>
      <c r="F266" s="3" t="n">
        <v>63352</v>
      </c>
      <c r="G266" s="3" t="n">
        <v>862</v>
      </c>
      <c r="H266" s="3" t="n">
        <v>54074500</v>
      </c>
      <c r="I266" s="3" t="n">
        <v>11496</v>
      </c>
      <c r="J266" s="4" t="n">
        <v>0.07000000000000001</v>
      </c>
      <c r="K266" s="3" t="n">
        <v>1.068</v>
      </c>
      <c r="L266" s="3" t="n">
        <v>252528</v>
      </c>
      <c r="M266" s="3" t="n">
        <v>225686</v>
      </c>
      <c r="N266" s="3" t="n">
        <v>205</v>
      </c>
      <c r="O266" s="5">
        <f>IF(L266&gt;0,L266-I266,"")</f>
        <v/>
      </c>
      <c r="P266" s="6">
        <f>IF(AND(M266&gt;0,L266&gt;0),M266/L266*100,"")</f>
        <v/>
      </c>
      <c r="Q266" s="7">
        <f>IF(AND(G266&gt;0,F266&gt;0),G266/F266*100,"")</f>
        <v/>
      </c>
      <c r="R266" s="5">
        <f>IF(AND(H266&gt;0,G266&gt;0),H266/G266,"")</f>
        <v/>
      </c>
      <c r="S266" s="8">
        <f>IF(AND(L266&gt;0,G266&gt;0),L266/G266,"")</f>
        <v/>
      </c>
      <c r="T266" s="8">
        <f>IF(AND(M266&gt;0,G266&gt;0),M266/G266,"")</f>
        <v/>
      </c>
      <c r="U266" s="5">
        <f>IF(AND(M266&gt;0,N266&gt;0),M266/N266,"")</f>
        <v/>
      </c>
      <c r="V266" s="6">
        <f>IF(AND(I266&gt;=0,L266&gt;0),I266/L266*100,"")</f>
        <v/>
      </c>
      <c r="W266" s="9">
        <f>IF(AND(L266&gt;0,H266&gt;0,J266&gt;0),(L266-I266)/(H266*J266),"")</f>
        <v/>
      </c>
      <c r="X266" s="5">
        <f>IF(AND(M266&gt;0,N266&gt;0),M266/N266*0.7,"")</f>
        <v/>
      </c>
    </row>
    <row r="267">
      <c r="A267" s="2" t="inlineStr">
        <is>
          <t>2026-06</t>
        </is>
      </c>
      <c r="B267" s="2" t="inlineStr">
        <is>
          <t>金条</t>
        </is>
      </c>
      <c r="C267" s="2" t="inlineStr">
        <is>
          <t>复贷</t>
        </is>
      </c>
      <c r="D267" s="2" t="inlineStr">
        <is>
          <t>人工</t>
        </is>
      </c>
      <c r="E267" s="2" t="inlineStr">
        <is>
          <t>毅航合肥</t>
        </is>
      </c>
      <c r="F267" s="3" t="n">
        <v>57036</v>
      </c>
      <c r="G267" s="3" t="n">
        <v>4574</v>
      </c>
      <c r="H267" s="3" t="n">
        <v>133189600</v>
      </c>
      <c r="I267" s="3" t="n">
        <v>9996</v>
      </c>
      <c r="J267" s="4" t="n">
        <v>0.36</v>
      </c>
      <c r="K267" s="3" t="n">
        <v>1.068</v>
      </c>
      <c r="L267" s="3" t="n">
        <v>159210</v>
      </c>
      <c r="M267" s="3" t="n">
        <v>139714</v>
      </c>
      <c r="N267" s="3" t="n">
        <v>166</v>
      </c>
      <c r="O267" s="5">
        <f>IF(L267&gt;0,L267-I267,"")</f>
        <v/>
      </c>
      <c r="P267" s="6">
        <f>IF(AND(M267&gt;0,L267&gt;0),M267/L267*100,"")</f>
        <v/>
      </c>
      <c r="Q267" s="7">
        <f>IF(AND(G267&gt;0,F267&gt;0),G267/F267*100,"")</f>
        <v/>
      </c>
      <c r="R267" s="5">
        <f>IF(AND(H267&gt;0,G267&gt;0),H267/G267,"")</f>
        <v/>
      </c>
      <c r="S267" s="8">
        <f>IF(AND(L267&gt;0,G267&gt;0),L267/G267,"")</f>
        <v/>
      </c>
      <c r="T267" s="8">
        <f>IF(AND(M267&gt;0,G267&gt;0),M267/G267,"")</f>
        <v/>
      </c>
      <c r="U267" s="5">
        <f>IF(AND(M267&gt;0,N267&gt;0),M267/N267,"")</f>
        <v/>
      </c>
      <c r="V267" s="6">
        <f>IF(AND(I267&gt;=0,L267&gt;0),I267/L267*100,"")</f>
        <v/>
      </c>
      <c r="W267" s="9">
        <f>IF(AND(L267&gt;0,H267&gt;0,J267&gt;0),(L267-I267)/(H267*J267),"")</f>
        <v/>
      </c>
      <c r="X267" s="5">
        <f>IF(AND(M267&gt;0,N267&gt;0),M267/N267*0.7,"")</f>
        <v/>
      </c>
    </row>
    <row r="268">
      <c r="A268" s="2" t="inlineStr">
        <is>
          <t>2026-06</t>
        </is>
      </c>
      <c r="B268" s="2" t="inlineStr">
        <is>
          <t>金条</t>
        </is>
      </c>
      <c r="C268" s="2" t="inlineStr">
        <is>
          <t>首贷</t>
        </is>
      </c>
      <c r="D268" s="2" t="inlineStr">
        <is>
          <t>纯机</t>
        </is>
      </c>
      <c r="E268" s="2" t="inlineStr">
        <is>
          <t>零犀</t>
        </is>
      </c>
      <c r="F268" s="3" t="n">
        <v>1106000</v>
      </c>
      <c r="G268" s="3" t="n">
        <v>1244</v>
      </c>
      <c r="H268" s="3" t="n">
        <v>14356600</v>
      </c>
      <c r="I268" s="3" t="n">
        <v>144079</v>
      </c>
      <c r="J268" s="4" t="n">
        <v>0.07000000000000001</v>
      </c>
      <c r="K268" s="3" t="n">
        <v>1.068</v>
      </c>
      <c r="L268" s="3" t="n">
        <v>173538</v>
      </c>
      <c r="M268" s="3" t="n">
        <v>27584</v>
      </c>
      <c r="N268" s="2" t="n"/>
      <c r="O268" s="5">
        <f>IF(L268&gt;0,L268-I268,"")</f>
        <v/>
      </c>
      <c r="P268" s="6">
        <f>IF(AND(M268&gt;0,L268&gt;0),M268/L268*100,"")</f>
        <v/>
      </c>
      <c r="Q268" s="7">
        <f>IF(AND(G268&gt;0,F268&gt;0),G268/F268*100,"")</f>
        <v/>
      </c>
      <c r="R268" s="5">
        <f>IF(AND(H268&gt;0,G268&gt;0),H268/G268,"")</f>
        <v/>
      </c>
      <c r="S268" s="8">
        <f>IF(AND(L268&gt;0,G268&gt;0),L268/G268,"")</f>
        <v/>
      </c>
      <c r="T268" s="8">
        <f>IF(AND(M268&gt;0,G268&gt;0),M268/G268,"")</f>
        <v/>
      </c>
      <c r="U268" s="5">
        <f>IF(AND(M268&gt;0,N268&gt;0),M268/N268,"")</f>
        <v/>
      </c>
      <c r="V268" s="6">
        <f>IF(AND(I268&gt;=0,L268&gt;0),I268/L268*100,"")</f>
        <v/>
      </c>
      <c r="W268" s="9">
        <f>IF(AND(L268&gt;0,H268&gt;0,J268&gt;0),(L268-I268)/(H268*J268),"")</f>
        <v/>
      </c>
      <c r="X268" s="5">
        <f>IF(AND(M268&gt;0,N268&gt;0),M268/N268*0.7,"")</f>
        <v/>
      </c>
    </row>
    <row r="269">
      <c r="A269" s="2" t="inlineStr">
        <is>
          <t>2026-06</t>
        </is>
      </c>
      <c r="B269" s="2" t="inlineStr">
        <is>
          <t>金条</t>
        </is>
      </c>
      <c r="C269" s="2" t="inlineStr">
        <is>
          <t>复贷</t>
        </is>
      </c>
      <c r="D269" s="2" t="inlineStr">
        <is>
          <t>纯机</t>
        </is>
      </c>
      <c r="E269" s="2" t="inlineStr">
        <is>
          <t>零犀</t>
        </is>
      </c>
      <c r="F269" s="3" t="n">
        <v>133862</v>
      </c>
      <c r="G269" s="3" t="n">
        <v>10230</v>
      </c>
      <c r="H269" s="3" t="n">
        <v>244951900</v>
      </c>
      <c r="I269" s="3" t="n">
        <v>11769</v>
      </c>
      <c r="J269" s="4" t="n">
        <v>0.36</v>
      </c>
      <c r="K269" s="3" t="n">
        <v>1.068</v>
      </c>
      <c r="L269" s="3" t="n">
        <v>37625</v>
      </c>
      <c r="M269" s="3" t="n">
        <v>24210</v>
      </c>
      <c r="N269" s="2" t="n"/>
      <c r="O269" s="5">
        <f>IF(L269&gt;0,L269-I269,"")</f>
        <v/>
      </c>
      <c r="P269" s="6">
        <f>IF(AND(M269&gt;0,L269&gt;0),M269/L269*100,"")</f>
        <v/>
      </c>
      <c r="Q269" s="7">
        <f>IF(AND(G269&gt;0,F269&gt;0),G269/F269*100,"")</f>
        <v/>
      </c>
      <c r="R269" s="5">
        <f>IF(AND(H269&gt;0,G269&gt;0),H269/G269,"")</f>
        <v/>
      </c>
      <c r="S269" s="8">
        <f>IF(AND(L269&gt;0,G269&gt;0),L269/G269,"")</f>
        <v/>
      </c>
      <c r="T269" s="8">
        <f>IF(AND(M269&gt;0,G269&gt;0),M269/G269,"")</f>
        <v/>
      </c>
      <c r="U269" s="5">
        <f>IF(AND(M269&gt;0,N269&gt;0),M269/N269,"")</f>
        <v/>
      </c>
      <c r="V269" s="6">
        <f>IF(AND(I269&gt;=0,L269&gt;0),I269/L269*100,"")</f>
        <v/>
      </c>
      <c r="W269" s="9">
        <f>IF(AND(L269&gt;0,H269&gt;0,J269&gt;0),(L269-I269)/(H269*J269),"")</f>
        <v/>
      </c>
      <c r="X269" s="5">
        <f>IF(AND(M269&gt;0,N269&gt;0),M269/N269*0.7,"")</f>
        <v/>
      </c>
    </row>
    <row r="270">
      <c r="A270" s="2" t="inlineStr">
        <is>
          <t>2026-06</t>
        </is>
      </c>
      <c r="B270" s="2" t="inlineStr">
        <is>
          <t>金条</t>
        </is>
      </c>
      <c r="C270" s="2" t="inlineStr">
        <is>
          <t>首贷</t>
        </is>
      </c>
      <c r="D270" s="2" t="inlineStr">
        <is>
          <t>纯机</t>
        </is>
      </c>
      <c r="E270" s="2" t="inlineStr">
        <is>
          <t>言犀赛夫</t>
        </is>
      </c>
      <c r="F270" s="3" t="n">
        <v>494000</v>
      </c>
      <c r="G270" s="3" t="n">
        <v>460</v>
      </c>
      <c r="H270" s="3" t="n">
        <v>3935000</v>
      </c>
      <c r="I270" s="3" t="n">
        <v>61268</v>
      </c>
      <c r="J270" s="4" t="n">
        <v>0.07000000000000001</v>
      </c>
      <c r="K270" s="3" t="n">
        <v>1.068</v>
      </c>
      <c r="L270" s="3" t="n">
        <v>64170</v>
      </c>
      <c r="M270" s="3" t="n">
        <v>2717</v>
      </c>
      <c r="N270" s="2" t="n"/>
      <c r="O270" s="5">
        <f>IF(L270&gt;0,L270-I270,"")</f>
        <v/>
      </c>
      <c r="P270" s="6">
        <f>IF(AND(M270&gt;0,L270&gt;0),M270/L270*100,"")</f>
        <v/>
      </c>
      <c r="Q270" s="7">
        <f>IF(AND(G270&gt;0,F270&gt;0),G270/F270*100,"")</f>
        <v/>
      </c>
      <c r="R270" s="5">
        <f>IF(AND(H270&gt;0,G270&gt;0),H270/G270,"")</f>
        <v/>
      </c>
      <c r="S270" s="8">
        <f>IF(AND(L270&gt;0,G270&gt;0),L270/G270,"")</f>
        <v/>
      </c>
      <c r="T270" s="8">
        <f>IF(AND(M270&gt;0,G270&gt;0),M270/G270,"")</f>
        <v/>
      </c>
      <c r="U270" s="5">
        <f>IF(AND(M270&gt;0,N270&gt;0),M270/N270,"")</f>
        <v/>
      </c>
      <c r="V270" s="6">
        <f>IF(AND(I270&gt;=0,L270&gt;0),I270/L270*100,"")</f>
        <v/>
      </c>
      <c r="W270" s="9">
        <f>IF(AND(L270&gt;0,H270&gt;0,J270&gt;0),(L270-I270)/(H270*J270),"")</f>
        <v/>
      </c>
      <c r="X270" s="5">
        <f>IF(AND(M270&gt;0,N270&gt;0),M270/N270*0.7,"")</f>
        <v/>
      </c>
    </row>
    <row r="271">
      <c r="A271" s="2" t="inlineStr">
        <is>
          <t>2026-06</t>
        </is>
      </c>
      <c r="B271" s="2" t="inlineStr">
        <is>
          <t>金条</t>
        </is>
      </c>
      <c r="C271" s="2" t="inlineStr">
        <is>
          <t>复贷</t>
        </is>
      </c>
      <c r="D271" s="2" t="inlineStr">
        <is>
          <t>纯机</t>
        </is>
      </c>
      <c r="E271" s="2" t="inlineStr">
        <is>
          <t>言犀赛夫</t>
        </is>
      </c>
      <c r="F271" s="3" t="n">
        <v>63776</v>
      </c>
      <c r="G271" s="3" t="n">
        <v>4813</v>
      </c>
      <c r="H271" s="3" t="n">
        <v>121321300</v>
      </c>
      <c r="I271" s="3" t="n">
        <v>5636</v>
      </c>
      <c r="J271" s="4" t="n">
        <v>0.36</v>
      </c>
      <c r="K271" s="3" t="n">
        <v>1.068</v>
      </c>
      <c r="L271" s="3" t="n">
        <v>18635</v>
      </c>
      <c r="M271" s="3" t="n">
        <v>12171</v>
      </c>
      <c r="N271" s="2" t="n"/>
      <c r="O271" s="5">
        <f>IF(L271&gt;0,L271-I271,"")</f>
        <v/>
      </c>
      <c r="P271" s="6">
        <f>IF(AND(M271&gt;0,L271&gt;0),M271/L271*100,"")</f>
        <v/>
      </c>
      <c r="Q271" s="7">
        <f>IF(AND(G271&gt;0,F271&gt;0),G271/F271*100,"")</f>
        <v/>
      </c>
      <c r="R271" s="5">
        <f>IF(AND(H271&gt;0,G271&gt;0),H271/G271,"")</f>
        <v/>
      </c>
      <c r="S271" s="8">
        <f>IF(AND(L271&gt;0,G271&gt;0),L271/G271,"")</f>
        <v/>
      </c>
      <c r="T271" s="8">
        <f>IF(AND(M271&gt;0,G271&gt;0),M271/G271,"")</f>
        <v/>
      </c>
      <c r="U271" s="5">
        <f>IF(AND(M271&gt;0,N271&gt;0),M271/N271,"")</f>
        <v/>
      </c>
      <c r="V271" s="6">
        <f>IF(AND(I271&gt;=0,L271&gt;0),I271/L271*100,"")</f>
        <v/>
      </c>
      <c r="W271" s="9">
        <f>IF(AND(L271&gt;0,H271&gt;0,J271&gt;0),(L271-I271)/(H271*J271),"")</f>
        <v/>
      </c>
      <c r="X271" s="5">
        <f>IF(AND(M271&gt;0,N271&gt;0),M271/N271*0.7,"")</f>
        <v/>
      </c>
    </row>
  </sheetData>
  <autoFilter ref="A1:X2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>
      <c r="A1" s="10" t="inlineStr">
        <is>
          <t>人机供应商全景分析</t>
        </is>
      </c>
    </row>
    <row r="2"/>
    <row r="3">
      <c r="A3" s="1" t="inlineStr">
        <is>
          <t>供应商</t>
        </is>
      </c>
      <c r="B3" s="1" t="inlineStr">
        <is>
          <t>月份</t>
        </is>
      </c>
      <c r="C3" s="1" t="inlineStr">
        <is>
          <t>到手薪资</t>
        </is>
      </c>
      <c r="D3" s="1" t="inlineStr">
        <is>
          <t>人力</t>
        </is>
      </c>
      <c r="E3" s="1" t="inlineStr">
        <is>
          <t>元/人/月</t>
        </is>
      </c>
      <c r="F3" s="1" t="inlineStr">
        <is>
          <t>真实人工x70%</t>
        </is>
      </c>
      <c r="G3" s="1" t="inlineStr">
        <is>
          <t>线路费占比%</t>
        </is>
      </c>
      <c r="H3" s="1" t="inlineStr">
        <is>
          <t>转化率%</t>
        </is>
      </c>
      <c r="I3" s="1" t="inlineStr">
        <is>
          <t>户均贷款</t>
        </is>
      </c>
    </row>
    <row r="4">
      <c r="A4" t="inlineStr">
        <is>
          <t>宿迁兆科</t>
        </is>
      </c>
      <c r="B4" t="inlineStr">
        <is>
          <t>2025-12</t>
        </is>
      </c>
      <c r="C4" s="11">
        <f>SUMIFS(清洗后明细!M:M,清洗后明细!A:A,"2025-12",清洗后明细!E:E,"宿迁兆科",清洗后明细!D:D,"人机")</f>
        <v/>
      </c>
      <c r="D4" s="11">
        <f>SUMIFS(清洗后明细!N:N,清洗后明细!A:A,"2025-12",清洗后明细!E:E,"宿迁兆科",清洗后明细!D:D,"人机")</f>
        <v/>
      </c>
      <c r="E4" s="11">
        <f>IF(SUMIFS(清洗后明细!M:M,清洗后明细!A:A,"2025-12",清洗后明细!E:E,"宿迁兆科",清洗后明细!D:D,"人机")&gt;0,SUMIFS(清洗后明细!M:M,清洗后明细!A:A,"2025-12",清洗后明细!E:E,"宿迁兆科",清洗后明细!D:D,"人机")/SUMIFS(清洗后明细!N:N,清洗后明细!A:A,"2025-12",清洗后明细!E:E,"宿迁兆科",清洗后明细!D:D,"人机"),"")</f>
        <v/>
      </c>
      <c r="F4" s="11">
        <f>IF(SUMIFS(清洗后明细!M:M,清洗后明细!A:A,"2025-12",清洗后明细!E:E,"宿迁兆科",清洗后明细!D:D,"人机")&gt;0,SUMIFS(清洗后明细!M:M,清洗后明细!A:A,"2025-12",清洗后明细!E:E,"宿迁兆科",清洗后明细!D:D,"人机")/SUMIFS(清洗后明细!N:N,清洗后明细!A:A,"2025-12",清洗后明细!E:E,"宿迁兆科",清洗后明细!D:D,"人机")*0.7,"")</f>
        <v/>
      </c>
      <c r="G4" s="12">
        <f>IF(SUMIFS(清洗后明细!L:L,清洗后明细!A:A,"2025-12",清洗后明细!E:E,"宿迁兆科",清洗后明细!D:D,"人机")&gt;0,SUMIFS(清洗后明细!I:I,清洗后明细!A:A,"2025-12",清洗后明细!E:E,"宿迁兆科",清洗后明细!D:D,"人机")/SUMIFS(清洗后明细!L:L,清洗后明细!A:A,"2025-12",清洗后明细!E:E,"宿迁兆科",清洗后明细!D:D,"人机")*100,"")</f>
        <v/>
      </c>
      <c r="H4" s="13">
        <f>IF(SUMIFS(清洗后明细!F:F,清洗后明细!A:A,"2025-12",清洗后明细!E:E,"宿迁兆科",清洗后明细!D:D,"人机")&gt;0,SUMIFS(清洗后明细!G:G,清洗后明细!A:A,"2025-12",清洗后明细!E:E,"宿迁兆科",清洗后明细!D:D,"人机")/SUMIFS(清洗后明细!F:F,清洗后明细!A:A,"2025-12",清洗后明细!E:E,"宿迁兆科",清洗后明细!D:D,"人机")*100,"")</f>
        <v/>
      </c>
      <c r="I4" s="11">
        <f>IF(SUMIFS(清洗后明细!G:G,清洗后明细!A:A,"2025-12",清洗后明细!E:E,"宿迁兆科",清洗后明细!D:D,"人机")&gt;0,SUMIFS(清洗后明细!H:H,清洗后明细!A:A,"2025-12",清洗后明细!E:E,"宿迁兆科",清洗后明细!D:D,"人机")/SUMIFS(清洗后明细!G:G,清洗后明细!A:A,"2025-12",清洗后明细!E:E,"宿迁兆科",清洗后明细!D:D,"人机"),"")</f>
        <v/>
      </c>
    </row>
    <row r="5">
      <c r="A5" t="inlineStr">
        <is>
          <t>宿迁兆科</t>
        </is>
      </c>
      <c r="B5" t="inlineStr">
        <is>
          <t>2026-01</t>
        </is>
      </c>
      <c r="C5" s="11">
        <f>SUMIFS(清洗后明细!M:M,清洗后明细!A:A,"2026-01",清洗后明细!E:E,"宿迁兆科",清洗后明细!D:D,"人机")</f>
        <v/>
      </c>
      <c r="D5" s="11">
        <f>SUMIFS(清洗后明细!N:N,清洗后明细!A:A,"2026-01",清洗后明细!E:E,"宿迁兆科",清洗后明细!D:D,"人机")</f>
        <v/>
      </c>
      <c r="E5" s="11">
        <f>IF(SUMIFS(清洗后明细!M:M,清洗后明细!A:A,"2026-01",清洗后明细!E:E,"宿迁兆科",清洗后明细!D:D,"人机")&gt;0,SUMIFS(清洗后明细!M:M,清洗后明细!A:A,"2026-01",清洗后明细!E:E,"宿迁兆科",清洗后明细!D:D,"人机")/SUMIFS(清洗后明细!N:N,清洗后明细!A:A,"2026-01",清洗后明细!E:E,"宿迁兆科",清洗后明细!D:D,"人机"),"")</f>
        <v/>
      </c>
      <c r="F5" s="11">
        <f>IF(SUMIFS(清洗后明细!M:M,清洗后明细!A:A,"2026-01",清洗后明细!E:E,"宿迁兆科",清洗后明细!D:D,"人机")&gt;0,SUMIFS(清洗后明细!M:M,清洗后明细!A:A,"2026-01",清洗后明细!E:E,"宿迁兆科",清洗后明细!D:D,"人机")/SUMIFS(清洗后明细!N:N,清洗后明细!A:A,"2026-01",清洗后明细!E:E,"宿迁兆科",清洗后明细!D:D,"人机")*0.7,"")</f>
        <v/>
      </c>
      <c r="G5" s="12">
        <f>IF(SUMIFS(清洗后明细!L:L,清洗后明细!A:A,"2026-01",清洗后明细!E:E,"宿迁兆科",清洗后明细!D:D,"人机")&gt;0,SUMIFS(清洗后明细!I:I,清洗后明细!A:A,"2026-01",清洗后明细!E:E,"宿迁兆科",清洗后明细!D:D,"人机")/SUMIFS(清洗后明细!L:L,清洗后明细!A:A,"2026-01",清洗后明细!E:E,"宿迁兆科",清洗后明细!D:D,"人机")*100,"")</f>
        <v/>
      </c>
      <c r="H5" s="13">
        <f>IF(SUMIFS(清洗后明细!F:F,清洗后明细!A:A,"2026-01",清洗后明细!E:E,"宿迁兆科",清洗后明细!D:D,"人机")&gt;0,SUMIFS(清洗后明细!G:G,清洗后明细!A:A,"2026-01",清洗后明细!E:E,"宿迁兆科",清洗后明细!D:D,"人机")/SUMIFS(清洗后明细!F:F,清洗后明细!A:A,"2026-01",清洗后明细!E:E,"宿迁兆科",清洗后明细!D:D,"人机")*100,"")</f>
        <v/>
      </c>
      <c r="I5" s="11">
        <f>IF(SUMIFS(清洗后明细!G:G,清洗后明细!A:A,"2026-01",清洗后明细!E:E,"宿迁兆科",清洗后明细!D:D,"人机")&gt;0,SUMIFS(清洗后明细!H:H,清洗后明细!A:A,"2026-01",清洗后明细!E:E,"宿迁兆科",清洗后明细!D:D,"人机")/SUMIFS(清洗后明细!G:G,清洗后明细!A:A,"2026-01",清洗后明细!E:E,"宿迁兆科",清洗后明细!D:D,"人机"),"")</f>
        <v/>
      </c>
    </row>
    <row r="6">
      <c r="A6" t="inlineStr">
        <is>
          <t>宿迁兆科</t>
        </is>
      </c>
      <c r="B6" t="inlineStr">
        <is>
          <t>2026-02</t>
        </is>
      </c>
      <c r="C6" s="11">
        <f>SUMIFS(清洗后明细!M:M,清洗后明细!A:A,"2026-02",清洗后明细!E:E,"宿迁兆科",清洗后明细!D:D,"人机")</f>
        <v/>
      </c>
      <c r="D6" s="11">
        <f>SUMIFS(清洗后明细!N:N,清洗后明细!A:A,"2026-02",清洗后明细!E:E,"宿迁兆科",清洗后明细!D:D,"人机")</f>
        <v/>
      </c>
      <c r="E6" s="11">
        <f>IF(SUMIFS(清洗后明细!M:M,清洗后明细!A:A,"2026-02",清洗后明细!E:E,"宿迁兆科",清洗后明细!D:D,"人机")&gt;0,SUMIFS(清洗后明细!M:M,清洗后明细!A:A,"2026-02",清洗后明细!E:E,"宿迁兆科",清洗后明细!D:D,"人机")/SUMIFS(清洗后明细!N:N,清洗后明细!A:A,"2026-02",清洗后明细!E:E,"宿迁兆科",清洗后明细!D:D,"人机"),"")</f>
        <v/>
      </c>
      <c r="F6" s="11">
        <f>IF(SUMIFS(清洗后明细!M:M,清洗后明细!A:A,"2026-02",清洗后明细!E:E,"宿迁兆科",清洗后明细!D:D,"人机")&gt;0,SUMIFS(清洗后明细!M:M,清洗后明细!A:A,"2026-02",清洗后明细!E:E,"宿迁兆科",清洗后明细!D:D,"人机")/SUMIFS(清洗后明细!N:N,清洗后明细!A:A,"2026-02",清洗后明细!E:E,"宿迁兆科",清洗后明细!D:D,"人机")*0.7,"")</f>
        <v/>
      </c>
      <c r="G6" s="12">
        <f>IF(SUMIFS(清洗后明细!L:L,清洗后明细!A:A,"2026-02",清洗后明细!E:E,"宿迁兆科",清洗后明细!D:D,"人机")&gt;0,SUMIFS(清洗后明细!I:I,清洗后明细!A:A,"2026-02",清洗后明细!E:E,"宿迁兆科",清洗后明细!D:D,"人机")/SUMIFS(清洗后明细!L:L,清洗后明细!A:A,"2026-02",清洗后明细!E:E,"宿迁兆科",清洗后明细!D:D,"人机")*100,"")</f>
        <v/>
      </c>
      <c r="H6" s="13">
        <f>IF(SUMIFS(清洗后明细!F:F,清洗后明细!A:A,"2026-02",清洗后明细!E:E,"宿迁兆科",清洗后明细!D:D,"人机")&gt;0,SUMIFS(清洗后明细!G:G,清洗后明细!A:A,"2026-02",清洗后明细!E:E,"宿迁兆科",清洗后明细!D:D,"人机")/SUMIFS(清洗后明细!F:F,清洗后明细!A:A,"2026-02",清洗后明细!E:E,"宿迁兆科",清洗后明细!D:D,"人机")*100,"")</f>
        <v/>
      </c>
      <c r="I6" s="11">
        <f>IF(SUMIFS(清洗后明细!G:G,清洗后明细!A:A,"2026-02",清洗后明细!E:E,"宿迁兆科",清洗后明细!D:D,"人机")&gt;0,SUMIFS(清洗后明细!H:H,清洗后明细!A:A,"2026-02",清洗后明细!E:E,"宿迁兆科",清洗后明细!D:D,"人机")/SUMIFS(清洗后明细!G:G,清洗后明细!A:A,"2026-02",清洗后明细!E:E,"宿迁兆科",清洗后明细!D:D,"人机"),"")</f>
        <v/>
      </c>
    </row>
    <row r="7">
      <c r="A7" t="inlineStr">
        <is>
          <t>宿迁兆科</t>
        </is>
      </c>
      <c r="B7" t="inlineStr">
        <is>
          <t>2026-03</t>
        </is>
      </c>
      <c r="C7" s="11">
        <f>SUMIFS(清洗后明细!M:M,清洗后明细!A:A,"2026-03",清洗后明细!E:E,"宿迁兆科",清洗后明细!D:D,"人机")</f>
        <v/>
      </c>
      <c r="D7" s="11">
        <f>SUMIFS(清洗后明细!N:N,清洗后明细!A:A,"2026-03",清洗后明细!E:E,"宿迁兆科",清洗后明细!D:D,"人机")</f>
        <v/>
      </c>
      <c r="E7" s="11">
        <f>IF(SUMIFS(清洗后明细!M:M,清洗后明细!A:A,"2026-03",清洗后明细!E:E,"宿迁兆科",清洗后明细!D:D,"人机")&gt;0,SUMIFS(清洗后明细!M:M,清洗后明细!A:A,"2026-03",清洗后明细!E:E,"宿迁兆科",清洗后明细!D:D,"人机")/SUMIFS(清洗后明细!N:N,清洗后明细!A:A,"2026-03",清洗后明细!E:E,"宿迁兆科",清洗后明细!D:D,"人机"),"")</f>
        <v/>
      </c>
      <c r="F7" s="11">
        <f>IF(SUMIFS(清洗后明细!M:M,清洗后明细!A:A,"2026-03",清洗后明细!E:E,"宿迁兆科",清洗后明细!D:D,"人机")&gt;0,SUMIFS(清洗后明细!M:M,清洗后明细!A:A,"2026-03",清洗后明细!E:E,"宿迁兆科",清洗后明细!D:D,"人机")/SUMIFS(清洗后明细!N:N,清洗后明细!A:A,"2026-03",清洗后明细!E:E,"宿迁兆科",清洗后明细!D:D,"人机")*0.7,"")</f>
        <v/>
      </c>
      <c r="G7" s="12">
        <f>IF(SUMIFS(清洗后明细!L:L,清洗后明细!A:A,"2026-03",清洗后明细!E:E,"宿迁兆科",清洗后明细!D:D,"人机")&gt;0,SUMIFS(清洗后明细!I:I,清洗后明细!A:A,"2026-03",清洗后明细!E:E,"宿迁兆科",清洗后明细!D:D,"人机")/SUMIFS(清洗后明细!L:L,清洗后明细!A:A,"2026-03",清洗后明细!E:E,"宿迁兆科",清洗后明细!D:D,"人机")*100,"")</f>
        <v/>
      </c>
      <c r="H7" s="13">
        <f>IF(SUMIFS(清洗后明细!F:F,清洗后明细!A:A,"2026-03",清洗后明细!E:E,"宿迁兆科",清洗后明细!D:D,"人机")&gt;0,SUMIFS(清洗后明细!G:G,清洗后明细!A:A,"2026-03",清洗后明细!E:E,"宿迁兆科",清洗后明细!D:D,"人机")/SUMIFS(清洗后明细!F:F,清洗后明细!A:A,"2026-03",清洗后明细!E:E,"宿迁兆科",清洗后明细!D:D,"人机")*100,"")</f>
        <v/>
      </c>
      <c r="I7" s="11">
        <f>IF(SUMIFS(清洗后明细!G:G,清洗后明细!A:A,"2026-03",清洗后明细!E:E,"宿迁兆科",清洗后明细!D:D,"人机")&gt;0,SUMIFS(清洗后明细!H:H,清洗后明细!A:A,"2026-03",清洗后明细!E:E,"宿迁兆科",清洗后明细!D:D,"人机")/SUMIFS(清洗后明细!G:G,清洗后明细!A:A,"2026-03",清洗后明细!E:E,"宿迁兆科",清洗后明细!D:D,"人机"),"")</f>
        <v/>
      </c>
    </row>
    <row r="8">
      <c r="A8" t="inlineStr">
        <is>
          <t>宿迁兆科</t>
        </is>
      </c>
      <c r="B8" t="inlineStr">
        <is>
          <t>2026-04</t>
        </is>
      </c>
      <c r="C8" s="11">
        <f>SUMIFS(清洗后明细!M:M,清洗后明细!A:A,"2026-04",清洗后明细!E:E,"宿迁兆科",清洗后明细!D:D,"人机")</f>
        <v/>
      </c>
      <c r="D8" s="11">
        <f>SUMIFS(清洗后明细!N:N,清洗后明细!A:A,"2026-04",清洗后明细!E:E,"宿迁兆科",清洗后明细!D:D,"人机")</f>
        <v/>
      </c>
      <c r="E8" s="11">
        <f>IF(SUMIFS(清洗后明细!M:M,清洗后明细!A:A,"2026-04",清洗后明细!E:E,"宿迁兆科",清洗后明细!D:D,"人机")&gt;0,SUMIFS(清洗后明细!M:M,清洗后明细!A:A,"2026-04",清洗后明细!E:E,"宿迁兆科",清洗后明细!D:D,"人机")/SUMIFS(清洗后明细!N:N,清洗后明细!A:A,"2026-04",清洗后明细!E:E,"宿迁兆科",清洗后明细!D:D,"人机"),"")</f>
        <v/>
      </c>
      <c r="F8" s="11">
        <f>IF(SUMIFS(清洗后明细!M:M,清洗后明细!A:A,"2026-04",清洗后明细!E:E,"宿迁兆科",清洗后明细!D:D,"人机")&gt;0,SUMIFS(清洗后明细!M:M,清洗后明细!A:A,"2026-04",清洗后明细!E:E,"宿迁兆科",清洗后明细!D:D,"人机")/SUMIFS(清洗后明细!N:N,清洗后明细!A:A,"2026-04",清洗后明细!E:E,"宿迁兆科",清洗后明细!D:D,"人机")*0.7,"")</f>
        <v/>
      </c>
      <c r="G8" s="12">
        <f>IF(SUMIFS(清洗后明细!L:L,清洗后明细!A:A,"2026-04",清洗后明细!E:E,"宿迁兆科",清洗后明细!D:D,"人机")&gt;0,SUMIFS(清洗后明细!I:I,清洗后明细!A:A,"2026-04",清洗后明细!E:E,"宿迁兆科",清洗后明细!D:D,"人机")/SUMIFS(清洗后明细!L:L,清洗后明细!A:A,"2026-04",清洗后明细!E:E,"宿迁兆科",清洗后明细!D:D,"人机")*100,"")</f>
        <v/>
      </c>
      <c r="H8" s="13">
        <f>IF(SUMIFS(清洗后明细!F:F,清洗后明细!A:A,"2026-04",清洗后明细!E:E,"宿迁兆科",清洗后明细!D:D,"人机")&gt;0,SUMIFS(清洗后明细!G:G,清洗后明细!A:A,"2026-04",清洗后明细!E:E,"宿迁兆科",清洗后明细!D:D,"人机")/SUMIFS(清洗后明细!F:F,清洗后明细!A:A,"2026-04",清洗后明细!E:E,"宿迁兆科",清洗后明细!D:D,"人机")*100,"")</f>
        <v/>
      </c>
      <c r="I8" s="11">
        <f>IF(SUMIFS(清洗后明细!G:G,清洗后明细!A:A,"2026-04",清洗后明细!E:E,"宿迁兆科",清洗后明细!D:D,"人机")&gt;0,SUMIFS(清洗后明细!H:H,清洗后明细!A:A,"2026-04",清洗后明细!E:E,"宿迁兆科",清洗后明细!D:D,"人机")/SUMIFS(清洗后明细!G:G,清洗后明细!A:A,"2026-04",清洗后明细!E:E,"宿迁兆科",清洗后明细!D:D,"人机"),"")</f>
        <v/>
      </c>
    </row>
    <row r="9">
      <c r="A9" t="inlineStr">
        <is>
          <t>宿迁兆科</t>
        </is>
      </c>
      <c r="B9" t="inlineStr">
        <is>
          <t>2026-05</t>
        </is>
      </c>
      <c r="C9" s="11">
        <f>SUMIFS(清洗后明细!M:M,清洗后明细!A:A,"2026-05",清洗后明细!E:E,"宿迁兆科",清洗后明细!D:D,"人机")</f>
        <v/>
      </c>
      <c r="D9" s="11">
        <f>SUMIFS(清洗后明细!N:N,清洗后明细!A:A,"2026-05",清洗后明细!E:E,"宿迁兆科",清洗后明细!D:D,"人机")</f>
        <v/>
      </c>
      <c r="E9" s="11">
        <f>IF(SUMIFS(清洗后明细!M:M,清洗后明细!A:A,"2026-05",清洗后明细!E:E,"宿迁兆科",清洗后明细!D:D,"人机")&gt;0,SUMIFS(清洗后明细!M:M,清洗后明细!A:A,"2026-05",清洗后明细!E:E,"宿迁兆科",清洗后明细!D:D,"人机")/SUMIFS(清洗后明细!N:N,清洗后明细!A:A,"2026-05",清洗后明细!E:E,"宿迁兆科",清洗后明细!D:D,"人机"),"")</f>
        <v/>
      </c>
      <c r="F9" s="11">
        <f>IF(SUMIFS(清洗后明细!M:M,清洗后明细!A:A,"2026-05",清洗后明细!E:E,"宿迁兆科",清洗后明细!D:D,"人机")&gt;0,SUMIFS(清洗后明细!M:M,清洗后明细!A:A,"2026-05",清洗后明细!E:E,"宿迁兆科",清洗后明细!D:D,"人机")/SUMIFS(清洗后明细!N:N,清洗后明细!A:A,"2026-05",清洗后明细!E:E,"宿迁兆科",清洗后明细!D:D,"人机")*0.7,"")</f>
        <v/>
      </c>
      <c r="G9" s="12">
        <f>IF(SUMIFS(清洗后明细!L:L,清洗后明细!A:A,"2026-05",清洗后明细!E:E,"宿迁兆科",清洗后明细!D:D,"人机")&gt;0,SUMIFS(清洗后明细!I:I,清洗后明细!A:A,"2026-05",清洗后明细!E:E,"宿迁兆科",清洗后明细!D:D,"人机")/SUMIFS(清洗后明细!L:L,清洗后明细!A:A,"2026-05",清洗后明细!E:E,"宿迁兆科",清洗后明细!D:D,"人机")*100,"")</f>
        <v/>
      </c>
      <c r="H9" s="13">
        <f>IF(SUMIFS(清洗后明细!F:F,清洗后明细!A:A,"2026-05",清洗后明细!E:E,"宿迁兆科",清洗后明细!D:D,"人机")&gt;0,SUMIFS(清洗后明细!G:G,清洗后明细!A:A,"2026-05",清洗后明细!E:E,"宿迁兆科",清洗后明细!D:D,"人机")/SUMIFS(清洗后明细!F:F,清洗后明细!A:A,"2026-05",清洗后明细!E:E,"宿迁兆科",清洗后明细!D:D,"人机")*100,"")</f>
        <v/>
      </c>
      <c r="I9" s="11">
        <f>IF(SUMIFS(清洗后明细!G:G,清洗后明细!A:A,"2026-05",清洗后明细!E:E,"宿迁兆科",清洗后明细!D:D,"人机")&gt;0,SUMIFS(清洗后明细!H:H,清洗后明细!A:A,"2026-05",清洗后明细!E:E,"宿迁兆科",清洗后明细!D:D,"人机")/SUMIFS(清洗后明细!G:G,清洗后明细!A:A,"2026-05",清洗后明细!E:E,"宿迁兆科",清洗后明细!D:D,"人机"),"")</f>
        <v/>
      </c>
    </row>
    <row r="10">
      <c r="A10" t="inlineStr">
        <is>
          <t>宿迁兆科</t>
        </is>
      </c>
      <c r="B10" t="inlineStr">
        <is>
          <t>2026-06</t>
        </is>
      </c>
      <c r="C10" s="11">
        <f>SUMIFS(清洗后明细!M:M,清洗后明细!A:A,"2026-06",清洗后明细!E:E,"宿迁兆科",清洗后明细!D:D,"人机")</f>
        <v/>
      </c>
      <c r="D10" s="11">
        <f>SUMIFS(清洗后明细!N:N,清洗后明细!A:A,"2026-06",清洗后明细!E:E,"宿迁兆科",清洗后明细!D:D,"人机")</f>
        <v/>
      </c>
      <c r="E10" s="11">
        <f>IF(SUMIFS(清洗后明细!M:M,清洗后明细!A:A,"2026-06",清洗后明细!E:E,"宿迁兆科",清洗后明细!D:D,"人机")&gt;0,SUMIFS(清洗后明细!M:M,清洗后明细!A:A,"2026-06",清洗后明细!E:E,"宿迁兆科",清洗后明细!D:D,"人机")/SUMIFS(清洗后明细!N:N,清洗后明细!A:A,"2026-06",清洗后明细!E:E,"宿迁兆科",清洗后明细!D:D,"人机"),"")</f>
        <v/>
      </c>
      <c r="F10" s="11">
        <f>IF(SUMIFS(清洗后明细!M:M,清洗后明细!A:A,"2026-06",清洗后明细!E:E,"宿迁兆科",清洗后明细!D:D,"人机")&gt;0,SUMIFS(清洗后明细!M:M,清洗后明细!A:A,"2026-06",清洗后明细!E:E,"宿迁兆科",清洗后明细!D:D,"人机")/SUMIFS(清洗后明细!N:N,清洗后明细!A:A,"2026-06",清洗后明细!E:E,"宿迁兆科",清洗后明细!D:D,"人机")*0.7,"")</f>
        <v/>
      </c>
      <c r="G10" s="12">
        <f>IF(SUMIFS(清洗后明细!L:L,清洗后明细!A:A,"2026-06",清洗后明细!E:E,"宿迁兆科",清洗后明细!D:D,"人机")&gt;0,SUMIFS(清洗后明细!I:I,清洗后明细!A:A,"2026-06",清洗后明细!E:E,"宿迁兆科",清洗后明细!D:D,"人机")/SUMIFS(清洗后明细!L:L,清洗后明细!A:A,"2026-06",清洗后明细!E:E,"宿迁兆科",清洗后明细!D:D,"人机")*100,"")</f>
        <v/>
      </c>
      <c r="H10" s="13">
        <f>IF(SUMIFS(清洗后明细!F:F,清洗后明细!A:A,"2026-06",清洗后明细!E:E,"宿迁兆科",清洗后明细!D:D,"人机")&gt;0,SUMIFS(清洗后明细!G:G,清洗后明细!A:A,"2026-06",清洗后明细!E:E,"宿迁兆科",清洗后明细!D:D,"人机")/SUMIFS(清洗后明细!F:F,清洗后明细!A:A,"2026-06",清洗后明细!E:E,"宿迁兆科",清洗后明细!D:D,"人机")*100,"")</f>
        <v/>
      </c>
      <c r="I10" s="11">
        <f>IF(SUMIFS(清洗后明细!G:G,清洗后明细!A:A,"2026-06",清洗后明细!E:E,"宿迁兆科",清洗后明细!D:D,"人机")&gt;0,SUMIFS(清洗后明细!H:H,清洗后明细!A:A,"2026-06",清洗后明细!E:E,"宿迁兆科",清洗后明细!D:D,"人机")/SUMIFS(清洗后明细!G:G,清洗后明细!A:A,"2026-06",清洗后明细!E:E,"宿迁兆科",清洗后明细!D:D,"人机"),"")</f>
        <v/>
      </c>
    </row>
    <row r="11">
      <c r="A11" t="inlineStr">
        <is>
          <t>赛维斯</t>
        </is>
      </c>
      <c r="B11" t="inlineStr">
        <is>
          <t>2025-12</t>
        </is>
      </c>
      <c r="C11" s="11">
        <f>SUMIFS(清洗后明细!M:M,清洗后明细!A:A,"2025-12",清洗后明细!E:E,"赛维斯",清洗后明细!D:D,"人机")</f>
        <v/>
      </c>
      <c r="D11" s="11">
        <f>SUMIFS(清洗后明细!N:N,清洗后明细!A:A,"2025-12",清洗后明细!E:E,"赛维斯",清洗后明细!D:D,"人机")</f>
        <v/>
      </c>
      <c r="E11" s="11">
        <f>IF(SUMIFS(清洗后明细!M:M,清洗后明细!A:A,"2025-12",清洗后明细!E:E,"赛维斯",清洗后明细!D:D,"人机")&gt;0,SUMIFS(清洗后明细!M:M,清洗后明细!A:A,"2025-12",清洗后明细!E:E,"赛维斯",清洗后明细!D:D,"人机")/SUMIFS(清洗后明细!N:N,清洗后明细!A:A,"2025-12",清洗后明细!E:E,"赛维斯",清洗后明细!D:D,"人机"),"")</f>
        <v/>
      </c>
      <c r="F11" s="11">
        <f>IF(SUMIFS(清洗后明细!M:M,清洗后明细!A:A,"2025-12",清洗后明细!E:E,"赛维斯",清洗后明细!D:D,"人机")&gt;0,SUMIFS(清洗后明细!M:M,清洗后明细!A:A,"2025-12",清洗后明细!E:E,"赛维斯",清洗后明细!D:D,"人机")/SUMIFS(清洗后明细!N:N,清洗后明细!A:A,"2025-12",清洗后明细!E:E,"赛维斯",清洗后明细!D:D,"人机")*0.7,"")</f>
        <v/>
      </c>
      <c r="G11" s="12">
        <f>IF(SUMIFS(清洗后明细!L:L,清洗后明细!A:A,"2025-12",清洗后明细!E:E,"赛维斯",清洗后明细!D:D,"人机")&gt;0,SUMIFS(清洗后明细!I:I,清洗后明细!A:A,"2025-12",清洗后明细!E:E,"赛维斯",清洗后明细!D:D,"人机")/SUMIFS(清洗后明细!L:L,清洗后明细!A:A,"2025-12",清洗后明细!E:E,"赛维斯",清洗后明细!D:D,"人机")*100,"")</f>
        <v/>
      </c>
      <c r="H11" s="13">
        <f>IF(SUMIFS(清洗后明细!F:F,清洗后明细!A:A,"2025-12",清洗后明细!E:E,"赛维斯",清洗后明细!D:D,"人机")&gt;0,SUMIFS(清洗后明细!G:G,清洗后明细!A:A,"2025-12",清洗后明细!E:E,"赛维斯",清洗后明细!D:D,"人机")/SUMIFS(清洗后明细!F:F,清洗后明细!A:A,"2025-12",清洗后明细!E:E,"赛维斯",清洗后明细!D:D,"人机")*100,"")</f>
        <v/>
      </c>
      <c r="I11" s="11">
        <f>IF(SUMIFS(清洗后明细!G:G,清洗后明细!A:A,"2025-12",清洗后明细!E:E,"赛维斯",清洗后明细!D:D,"人机")&gt;0,SUMIFS(清洗后明细!H:H,清洗后明细!A:A,"2025-12",清洗后明细!E:E,"赛维斯",清洗后明细!D:D,"人机")/SUMIFS(清洗后明细!G:G,清洗后明细!A:A,"2025-12",清洗后明细!E:E,"赛维斯",清洗后明细!D:D,"人机"),"")</f>
        <v/>
      </c>
    </row>
    <row r="12">
      <c r="A12" t="inlineStr">
        <is>
          <t>赛维斯</t>
        </is>
      </c>
      <c r="B12" t="inlineStr">
        <is>
          <t>2026-01</t>
        </is>
      </c>
      <c r="C12" s="11">
        <f>SUMIFS(清洗后明细!M:M,清洗后明细!A:A,"2026-01",清洗后明细!E:E,"赛维斯",清洗后明细!D:D,"人机")</f>
        <v/>
      </c>
      <c r="D12" s="11">
        <f>SUMIFS(清洗后明细!N:N,清洗后明细!A:A,"2026-01",清洗后明细!E:E,"赛维斯",清洗后明细!D:D,"人机")</f>
        <v/>
      </c>
      <c r="E12" s="11">
        <f>IF(SUMIFS(清洗后明细!M:M,清洗后明细!A:A,"2026-01",清洗后明细!E:E,"赛维斯",清洗后明细!D:D,"人机")&gt;0,SUMIFS(清洗后明细!M:M,清洗后明细!A:A,"2026-01",清洗后明细!E:E,"赛维斯",清洗后明细!D:D,"人机")/SUMIFS(清洗后明细!N:N,清洗后明细!A:A,"2026-01",清洗后明细!E:E,"赛维斯",清洗后明细!D:D,"人机"),"")</f>
        <v/>
      </c>
      <c r="F12" s="11">
        <f>IF(SUMIFS(清洗后明细!M:M,清洗后明细!A:A,"2026-01",清洗后明细!E:E,"赛维斯",清洗后明细!D:D,"人机")&gt;0,SUMIFS(清洗后明细!M:M,清洗后明细!A:A,"2026-01",清洗后明细!E:E,"赛维斯",清洗后明细!D:D,"人机")/SUMIFS(清洗后明细!N:N,清洗后明细!A:A,"2026-01",清洗后明细!E:E,"赛维斯",清洗后明细!D:D,"人机")*0.7,"")</f>
        <v/>
      </c>
      <c r="G12" s="12">
        <f>IF(SUMIFS(清洗后明细!L:L,清洗后明细!A:A,"2026-01",清洗后明细!E:E,"赛维斯",清洗后明细!D:D,"人机")&gt;0,SUMIFS(清洗后明细!I:I,清洗后明细!A:A,"2026-01",清洗后明细!E:E,"赛维斯",清洗后明细!D:D,"人机")/SUMIFS(清洗后明细!L:L,清洗后明细!A:A,"2026-01",清洗后明细!E:E,"赛维斯",清洗后明细!D:D,"人机")*100,"")</f>
        <v/>
      </c>
      <c r="H12" s="13">
        <f>IF(SUMIFS(清洗后明细!F:F,清洗后明细!A:A,"2026-01",清洗后明细!E:E,"赛维斯",清洗后明细!D:D,"人机")&gt;0,SUMIFS(清洗后明细!G:G,清洗后明细!A:A,"2026-01",清洗后明细!E:E,"赛维斯",清洗后明细!D:D,"人机")/SUMIFS(清洗后明细!F:F,清洗后明细!A:A,"2026-01",清洗后明细!E:E,"赛维斯",清洗后明细!D:D,"人机")*100,"")</f>
        <v/>
      </c>
      <c r="I12" s="11">
        <f>IF(SUMIFS(清洗后明细!G:G,清洗后明细!A:A,"2026-01",清洗后明细!E:E,"赛维斯",清洗后明细!D:D,"人机")&gt;0,SUMIFS(清洗后明细!H:H,清洗后明细!A:A,"2026-01",清洗后明细!E:E,"赛维斯",清洗后明细!D:D,"人机")/SUMIFS(清洗后明细!G:G,清洗后明细!A:A,"2026-01",清洗后明细!E:E,"赛维斯",清洗后明细!D:D,"人机"),"")</f>
        <v/>
      </c>
    </row>
    <row r="13">
      <c r="A13" t="inlineStr">
        <is>
          <t>赛维斯</t>
        </is>
      </c>
      <c r="B13" t="inlineStr">
        <is>
          <t>2026-02</t>
        </is>
      </c>
      <c r="C13" s="11">
        <f>SUMIFS(清洗后明细!M:M,清洗后明细!A:A,"2026-02",清洗后明细!E:E,"赛维斯",清洗后明细!D:D,"人机")</f>
        <v/>
      </c>
      <c r="D13" s="11">
        <f>SUMIFS(清洗后明细!N:N,清洗后明细!A:A,"2026-02",清洗后明细!E:E,"赛维斯",清洗后明细!D:D,"人机")</f>
        <v/>
      </c>
      <c r="E13" s="11">
        <f>IF(SUMIFS(清洗后明细!M:M,清洗后明细!A:A,"2026-02",清洗后明细!E:E,"赛维斯",清洗后明细!D:D,"人机")&gt;0,SUMIFS(清洗后明细!M:M,清洗后明细!A:A,"2026-02",清洗后明细!E:E,"赛维斯",清洗后明细!D:D,"人机")/SUMIFS(清洗后明细!N:N,清洗后明细!A:A,"2026-02",清洗后明细!E:E,"赛维斯",清洗后明细!D:D,"人机"),"")</f>
        <v/>
      </c>
      <c r="F13" s="11">
        <f>IF(SUMIFS(清洗后明细!M:M,清洗后明细!A:A,"2026-02",清洗后明细!E:E,"赛维斯",清洗后明细!D:D,"人机")&gt;0,SUMIFS(清洗后明细!M:M,清洗后明细!A:A,"2026-02",清洗后明细!E:E,"赛维斯",清洗后明细!D:D,"人机")/SUMIFS(清洗后明细!N:N,清洗后明细!A:A,"2026-02",清洗后明细!E:E,"赛维斯",清洗后明细!D:D,"人机")*0.7,"")</f>
        <v/>
      </c>
      <c r="G13" s="12">
        <f>IF(SUMIFS(清洗后明细!L:L,清洗后明细!A:A,"2026-02",清洗后明细!E:E,"赛维斯",清洗后明细!D:D,"人机")&gt;0,SUMIFS(清洗后明细!I:I,清洗后明细!A:A,"2026-02",清洗后明细!E:E,"赛维斯",清洗后明细!D:D,"人机")/SUMIFS(清洗后明细!L:L,清洗后明细!A:A,"2026-02",清洗后明细!E:E,"赛维斯",清洗后明细!D:D,"人机")*100,"")</f>
        <v/>
      </c>
      <c r="H13" s="13">
        <f>IF(SUMIFS(清洗后明细!F:F,清洗后明细!A:A,"2026-02",清洗后明细!E:E,"赛维斯",清洗后明细!D:D,"人机")&gt;0,SUMIFS(清洗后明细!G:G,清洗后明细!A:A,"2026-02",清洗后明细!E:E,"赛维斯",清洗后明细!D:D,"人机")/SUMIFS(清洗后明细!F:F,清洗后明细!A:A,"2026-02",清洗后明细!E:E,"赛维斯",清洗后明细!D:D,"人机")*100,"")</f>
        <v/>
      </c>
      <c r="I13" s="11">
        <f>IF(SUMIFS(清洗后明细!G:G,清洗后明细!A:A,"2026-02",清洗后明细!E:E,"赛维斯",清洗后明细!D:D,"人机")&gt;0,SUMIFS(清洗后明细!H:H,清洗后明细!A:A,"2026-02",清洗后明细!E:E,"赛维斯",清洗后明细!D:D,"人机")/SUMIFS(清洗后明细!G:G,清洗后明细!A:A,"2026-02",清洗后明细!E:E,"赛维斯",清洗后明细!D:D,"人机"),"")</f>
        <v/>
      </c>
    </row>
    <row r="14">
      <c r="A14" t="inlineStr">
        <is>
          <t>赛维斯</t>
        </is>
      </c>
      <c r="B14" t="inlineStr">
        <is>
          <t>2026-03</t>
        </is>
      </c>
      <c r="C14" s="11">
        <f>SUMIFS(清洗后明细!M:M,清洗后明细!A:A,"2026-03",清洗后明细!E:E,"赛维斯",清洗后明细!D:D,"人机")</f>
        <v/>
      </c>
      <c r="D14" s="11">
        <f>SUMIFS(清洗后明细!N:N,清洗后明细!A:A,"2026-03",清洗后明细!E:E,"赛维斯",清洗后明细!D:D,"人机")</f>
        <v/>
      </c>
      <c r="E14" s="11">
        <f>IF(SUMIFS(清洗后明细!M:M,清洗后明细!A:A,"2026-03",清洗后明细!E:E,"赛维斯",清洗后明细!D:D,"人机")&gt;0,SUMIFS(清洗后明细!M:M,清洗后明细!A:A,"2026-03",清洗后明细!E:E,"赛维斯",清洗后明细!D:D,"人机")/SUMIFS(清洗后明细!N:N,清洗后明细!A:A,"2026-03",清洗后明细!E:E,"赛维斯",清洗后明细!D:D,"人机"),"")</f>
        <v/>
      </c>
      <c r="F14" s="11">
        <f>IF(SUMIFS(清洗后明细!M:M,清洗后明细!A:A,"2026-03",清洗后明细!E:E,"赛维斯",清洗后明细!D:D,"人机")&gt;0,SUMIFS(清洗后明细!M:M,清洗后明细!A:A,"2026-03",清洗后明细!E:E,"赛维斯",清洗后明细!D:D,"人机")/SUMIFS(清洗后明细!N:N,清洗后明细!A:A,"2026-03",清洗后明细!E:E,"赛维斯",清洗后明细!D:D,"人机")*0.7,"")</f>
        <v/>
      </c>
      <c r="G14" s="12">
        <f>IF(SUMIFS(清洗后明细!L:L,清洗后明细!A:A,"2026-03",清洗后明细!E:E,"赛维斯",清洗后明细!D:D,"人机")&gt;0,SUMIFS(清洗后明细!I:I,清洗后明细!A:A,"2026-03",清洗后明细!E:E,"赛维斯",清洗后明细!D:D,"人机")/SUMIFS(清洗后明细!L:L,清洗后明细!A:A,"2026-03",清洗后明细!E:E,"赛维斯",清洗后明细!D:D,"人机")*100,"")</f>
        <v/>
      </c>
      <c r="H14" s="13">
        <f>IF(SUMIFS(清洗后明细!F:F,清洗后明细!A:A,"2026-03",清洗后明细!E:E,"赛维斯",清洗后明细!D:D,"人机")&gt;0,SUMIFS(清洗后明细!G:G,清洗后明细!A:A,"2026-03",清洗后明细!E:E,"赛维斯",清洗后明细!D:D,"人机")/SUMIFS(清洗后明细!F:F,清洗后明细!A:A,"2026-03",清洗后明细!E:E,"赛维斯",清洗后明细!D:D,"人机")*100,"")</f>
        <v/>
      </c>
      <c r="I14" s="11">
        <f>IF(SUMIFS(清洗后明细!G:G,清洗后明细!A:A,"2026-03",清洗后明细!E:E,"赛维斯",清洗后明细!D:D,"人机")&gt;0,SUMIFS(清洗后明细!H:H,清洗后明细!A:A,"2026-03",清洗后明细!E:E,"赛维斯",清洗后明细!D:D,"人机")/SUMIFS(清洗后明细!G:G,清洗后明细!A:A,"2026-03",清洗后明细!E:E,"赛维斯",清洗后明细!D:D,"人机"),"")</f>
        <v/>
      </c>
    </row>
    <row r="15">
      <c r="A15" t="inlineStr">
        <is>
          <t>赛维斯</t>
        </is>
      </c>
      <c r="B15" t="inlineStr">
        <is>
          <t>2026-04</t>
        </is>
      </c>
      <c r="C15" s="11">
        <f>SUMIFS(清洗后明细!M:M,清洗后明细!A:A,"2026-04",清洗后明细!E:E,"赛维斯",清洗后明细!D:D,"人机")</f>
        <v/>
      </c>
      <c r="D15" s="11">
        <f>SUMIFS(清洗后明细!N:N,清洗后明细!A:A,"2026-04",清洗后明细!E:E,"赛维斯",清洗后明细!D:D,"人机")</f>
        <v/>
      </c>
      <c r="E15" s="11">
        <f>IF(SUMIFS(清洗后明细!M:M,清洗后明细!A:A,"2026-04",清洗后明细!E:E,"赛维斯",清洗后明细!D:D,"人机")&gt;0,SUMIFS(清洗后明细!M:M,清洗后明细!A:A,"2026-04",清洗后明细!E:E,"赛维斯",清洗后明细!D:D,"人机")/SUMIFS(清洗后明细!N:N,清洗后明细!A:A,"2026-04",清洗后明细!E:E,"赛维斯",清洗后明细!D:D,"人机"),"")</f>
        <v/>
      </c>
      <c r="F15" s="11">
        <f>IF(SUMIFS(清洗后明细!M:M,清洗后明细!A:A,"2026-04",清洗后明细!E:E,"赛维斯",清洗后明细!D:D,"人机")&gt;0,SUMIFS(清洗后明细!M:M,清洗后明细!A:A,"2026-04",清洗后明细!E:E,"赛维斯",清洗后明细!D:D,"人机")/SUMIFS(清洗后明细!N:N,清洗后明细!A:A,"2026-04",清洗后明细!E:E,"赛维斯",清洗后明细!D:D,"人机")*0.7,"")</f>
        <v/>
      </c>
      <c r="G15" s="12">
        <f>IF(SUMIFS(清洗后明细!L:L,清洗后明细!A:A,"2026-04",清洗后明细!E:E,"赛维斯",清洗后明细!D:D,"人机")&gt;0,SUMIFS(清洗后明细!I:I,清洗后明细!A:A,"2026-04",清洗后明细!E:E,"赛维斯",清洗后明细!D:D,"人机")/SUMIFS(清洗后明细!L:L,清洗后明细!A:A,"2026-04",清洗后明细!E:E,"赛维斯",清洗后明细!D:D,"人机")*100,"")</f>
        <v/>
      </c>
      <c r="H15" s="13">
        <f>IF(SUMIFS(清洗后明细!F:F,清洗后明细!A:A,"2026-04",清洗后明细!E:E,"赛维斯",清洗后明细!D:D,"人机")&gt;0,SUMIFS(清洗后明细!G:G,清洗后明细!A:A,"2026-04",清洗后明细!E:E,"赛维斯",清洗后明细!D:D,"人机")/SUMIFS(清洗后明细!F:F,清洗后明细!A:A,"2026-04",清洗后明细!E:E,"赛维斯",清洗后明细!D:D,"人机")*100,"")</f>
        <v/>
      </c>
      <c r="I15" s="11">
        <f>IF(SUMIFS(清洗后明细!G:G,清洗后明细!A:A,"2026-04",清洗后明细!E:E,"赛维斯",清洗后明细!D:D,"人机")&gt;0,SUMIFS(清洗后明细!H:H,清洗后明细!A:A,"2026-04",清洗后明细!E:E,"赛维斯",清洗后明细!D:D,"人机")/SUMIFS(清洗后明细!G:G,清洗后明细!A:A,"2026-04",清洗后明细!E:E,"赛维斯",清洗后明细!D:D,"人机"),"")</f>
        <v/>
      </c>
    </row>
    <row r="16">
      <c r="A16" t="inlineStr">
        <is>
          <t>赛维斯</t>
        </is>
      </c>
      <c r="B16" t="inlineStr">
        <is>
          <t>2026-05</t>
        </is>
      </c>
      <c r="C16" s="11">
        <f>SUMIFS(清洗后明细!M:M,清洗后明细!A:A,"2026-05",清洗后明细!E:E,"赛维斯",清洗后明细!D:D,"人机")</f>
        <v/>
      </c>
      <c r="D16" s="11">
        <f>SUMIFS(清洗后明细!N:N,清洗后明细!A:A,"2026-05",清洗后明细!E:E,"赛维斯",清洗后明细!D:D,"人机")</f>
        <v/>
      </c>
      <c r="E16" s="11">
        <f>IF(SUMIFS(清洗后明细!M:M,清洗后明细!A:A,"2026-05",清洗后明细!E:E,"赛维斯",清洗后明细!D:D,"人机")&gt;0,SUMIFS(清洗后明细!M:M,清洗后明细!A:A,"2026-05",清洗后明细!E:E,"赛维斯",清洗后明细!D:D,"人机")/SUMIFS(清洗后明细!N:N,清洗后明细!A:A,"2026-05",清洗后明细!E:E,"赛维斯",清洗后明细!D:D,"人机"),"")</f>
        <v/>
      </c>
      <c r="F16" s="11">
        <f>IF(SUMIFS(清洗后明细!M:M,清洗后明细!A:A,"2026-05",清洗后明细!E:E,"赛维斯",清洗后明细!D:D,"人机")&gt;0,SUMIFS(清洗后明细!M:M,清洗后明细!A:A,"2026-05",清洗后明细!E:E,"赛维斯",清洗后明细!D:D,"人机")/SUMIFS(清洗后明细!N:N,清洗后明细!A:A,"2026-05",清洗后明细!E:E,"赛维斯",清洗后明细!D:D,"人机")*0.7,"")</f>
        <v/>
      </c>
      <c r="G16" s="12">
        <f>IF(SUMIFS(清洗后明细!L:L,清洗后明细!A:A,"2026-05",清洗后明细!E:E,"赛维斯",清洗后明细!D:D,"人机")&gt;0,SUMIFS(清洗后明细!I:I,清洗后明细!A:A,"2026-05",清洗后明细!E:E,"赛维斯",清洗后明细!D:D,"人机")/SUMIFS(清洗后明细!L:L,清洗后明细!A:A,"2026-05",清洗后明细!E:E,"赛维斯",清洗后明细!D:D,"人机")*100,"")</f>
        <v/>
      </c>
      <c r="H16" s="13">
        <f>IF(SUMIFS(清洗后明细!F:F,清洗后明细!A:A,"2026-05",清洗后明细!E:E,"赛维斯",清洗后明细!D:D,"人机")&gt;0,SUMIFS(清洗后明细!G:G,清洗后明细!A:A,"2026-05",清洗后明细!E:E,"赛维斯",清洗后明细!D:D,"人机")/SUMIFS(清洗后明细!F:F,清洗后明细!A:A,"2026-05",清洗后明细!E:E,"赛维斯",清洗后明细!D:D,"人机")*100,"")</f>
        <v/>
      </c>
      <c r="I16" s="11">
        <f>IF(SUMIFS(清洗后明细!G:G,清洗后明细!A:A,"2026-05",清洗后明细!E:E,"赛维斯",清洗后明细!D:D,"人机")&gt;0,SUMIFS(清洗后明细!H:H,清洗后明细!A:A,"2026-05",清洗后明细!E:E,"赛维斯",清洗后明细!D:D,"人机")/SUMIFS(清洗后明细!G:G,清洗后明细!A:A,"2026-05",清洗后明细!E:E,"赛维斯",清洗后明细!D:D,"人机"),"")</f>
        <v/>
      </c>
    </row>
    <row r="17">
      <c r="A17" t="inlineStr">
        <is>
          <t>赛维斯</t>
        </is>
      </c>
      <c r="B17" t="inlineStr">
        <is>
          <t>2026-06</t>
        </is>
      </c>
      <c r="C17" s="11">
        <f>SUMIFS(清洗后明细!M:M,清洗后明细!A:A,"2026-06",清洗后明细!E:E,"赛维斯",清洗后明细!D:D,"人机")</f>
        <v/>
      </c>
      <c r="D17" s="11">
        <f>SUMIFS(清洗后明细!N:N,清洗后明细!A:A,"2026-06",清洗后明细!E:E,"赛维斯",清洗后明细!D:D,"人机")</f>
        <v/>
      </c>
      <c r="E17" s="11">
        <f>IF(SUMIFS(清洗后明细!M:M,清洗后明细!A:A,"2026-06",清洗后明细!E:E,"赛维斯",清洗后明细!D:D,"人机")&gt;0,SUMIFS(清洗后明细!M:M,清洗后明细!A:A,"2026-06",清洗后明细!E:E,"赛维斯",清洗后明细!D:D,"人机")/SUMIFS(清洗后明细!N:N,清洗后明细!A:A,"2026-06",清洗后明细!E:E,"赛维斯",清洗后明细!D:D,"人机"),"")</f>
        <v/>
      </c>
      <c r="F17" s="11">
        <f>IF(SUMIFS(清洗后明细!M:M,清洗后明细!A:A,"2026-06",清洗后明细!E:E,"赛维斯",清洗后明细!D:D,"人机")&gt;0,SUMIFS(清洗后明细!M:M,清洗后明细!A:A,"2026-06",清洗后明细!E:E,"赛维斯",清洗后明细!D:D,"人机")/SUMIFS(清洗后明细!N:N,清洗后明细!A:A,"2026-06",清洗后明细!E:E,"赛维斯",清洗后明细!D:D,"人机")*0.7,"")</f>
        <v/>
      </c>
      <c r="G17" s="12">
        <f>IF(SUMIFS(清洗后明细!L:L,清洗后明细!A:A,"2026-06",清洗后明细!E:E,"赛维斯",清洗后明细!D:D,"人机")&gt;0,SUMIFS(清洗后明细!I:I,清洗后明细!A:A,"2026-06",清洗后明细!E:E,"赛维斯",清洗后明细!D:D,"人机")/SUMIFS(清洗后明细!L:L,清洗后明细!A:A,"2026-06",清洗后明细!E:E,"赛维斯",清洗后明细!D:D,"人机")*100,"")</f>
        <v/>
      </c>
      <c r="H17" s="13">
        <f>IF(SUMIFS(清洗后明细!F:F,清洗后明细!A:A,"2026-06",清洗后明细!E:E,"赛维斯",清洗后明细!D:D,"人机")&gt;0,SUMIFS(清洗后明细!G:G,清洗后明细!A:A,"2026-06",清洗后明细!E:E,"赛维斯",清洗后明细!D:D,"人机")/SUMIFS(清洗后明细!F:F,清洗后明细!A:A,"2026-06",清洗后明细!E:E,"赛维斯",清洗后明细!D:D,"人机")*100,"")</f>
        <v/>
      </c>
      <c r="I17" s="11">
        <f>IF(SUMIFS(清洗后明细!G:G,清洗后明细!A:A,"2026-06",清洗后明细!E:E,"赛维斯",清洗后明细!D:D,"人机")&gt;0,SUMIFS(清洗后明细!H:H,清洗后明细!A:A,"2026-06",清洗后明细!E:E,"赛维斯",清洗后明细!D:D,"人机")/SUMIFS(清洗后明细!G:G,清洗后明细!A:A,"2026-06",清洗后明细!E:E,"赛维斯",清洗后明细!D:D,"人机"),"")</f>
        <v/>
      </c>
    </row>
    <row r="18">
      <c r="A18" t="inlineStr">
        <is>
          <t>零犀</t>
        </is>
      </c>
      <c r="B18" t="inlineStr">
        <is>
          <t>2025-12</t>
        </is>
      </c>
      <c r="C18" s="11">
        <f>SUMIFS(清洗后明细!M:M,清洗后明细!A:A,"2025-12",清洗后明细!E:E,"零犀",清洗后明细!D:D,"人机")</f>
        <v/>
      </c>
      <c r="D18" s="11">
        <f>SUMIFS(清洗后明细!N:N,清洗后明细!A:A,"2025-12",清洗后明细!E:E,"零犀",清洗后明细!D:D,"人机")</f>
        <v/>
      </c>
      <c r="E18" s="11">
        <f>IF(SUMIFS(清洗后明细!M:M,清洗后明细!A:A,"2025-12",清洗后明细!E:E,"零犀",清洗后明细!D:D,"人机")&gt;0,SUMIFS(清洗后明细!M:M,清洗后明细!A:A,"2025-12",清洗后明细!E:E,"零犀",清洗后明细!D:D,"人机")/SUMIFS(清洗后明细!N:N,清洗后明细!A:A,"2025-12",清洗后明细!E:E,"零犀",清洗后明细!D:D,"人机"),"")</f>
        <v/>
      </c>
      <c r="F18" s="11">
        <f>IF(SUMIFS(清洗后明细!M:M,清洗后明细!A:A,"2025-12",清洗后明细!E:E,"零犀",清洗后明细!D:D,"人机")&gt;0,SUMIFS(清洗后明细!M:M,清洗后明细!A:A,"2025-12",清洗后明细!E:E,"零犀",清洗后明细!D:D,"人机")/SUMIFS(清洗后明细!N:N,清洗后明细!A:A,"2025-12",清洗后明细!E:E,"零犀",清洗后明细!D:D,"人机")*0.7,"")</f>
        <v/>
      </c>
      <c r="G18" s="12">
        <f>IF(SUMIFS(清洗后明细!L:L,清洗后明细!A:A,"2025-12",清洗后明细!E:E,"零犀",清洗后明细!D:D,"人机")&gt;0,SUMIFS(清洗后明细!I:I,清洗后明细!A:A,"2025-12",清洗后明细!E:E,"零犀",清洗后明细!D:D,"人机")/SUMIFS(清洗后明细!L:L,清洗后明细!A:A,"2025-12",清洗后明细!E:E,"零犀",清洗后明细!D:D,"人机")*100,"")</f>
        <v/>
      </c>
      <c r="H18" s="13">
        <f>IF(SUMIFS(清洗后明细!F:F,清洗后明细!A:A,"2025-12",清洗后明细!E:E,"零犀",清洗后明细!D:D,"人机")&gt;0,SUMIFS(清洗后明细!G:G,清洗后明细!A:A,"2025-12",清洗后明细!E:E,"零犀",清洗后明细!D:D,"人机")/SUMIFS(清洗后明细!F:F,清洗后明细!A:A,"2025-12",清洗后明细!E:E,"零犀",清洗后明细!D:D,"人机")*100,"")</f>
        <v/>
      </c>
      <c r="I18" s="11">
        <f>IF(SUMIFS(清洗后明细!G:G,清洗后明细!A:A,"2025-12",清洗后明细!E:E,"零犀",清洗后明细!D:D,"人机")&gt;0,SUMIFS(清洗后明细!H:H,清洗后明细!A:A,"2025-12",清洗后明细!E:E,"零犀",清洗后明细!D:D,"人机")/SUMIFS(清洗后明细!G:G,清洗后明细!A:A,"2025-12",清洗后明细!E:E,"零犀",清洗后明细!D:D,"人机"),"")</f>
        <v/>
      </c>
    </row>
    <row r="19">
      <c r="A19" t="inlineStr">
        <is>
          <t>零犀</t>
        </is>
      </c>
      <c r="B19" t="inlineStr">
        <is>
          <t>2026-01</t>
        </is>
      </c>
      <c r="C19" s="11">
        <f>SUMIFS(清洗后明细!M:M,清洗后明细!A:A,"2026-01",清洗后明细!E:E,"零犀",清洗后明细!D:D,"人机")</f>
        <v/>
      </c>
      <c r="D19" s="11">
        <f>SUMIFS(清洗后明细!N:N,清洗后明细!A:A,"2026-01",清洗后明细!E:E,"零犀",清洗后明细!D:D,"人机")</f>
        <v/>
      </c>
      <c r="E19" s="11">
        <f>IF(SUMIFS(清洗后明细!M:M,清洗后明细!A:A,"2026-01",清洗后明细!E:E,"零犀",清洗后明细!D:D,"人机")&gt;0,SUMIFS(清洗后明细!M:M,清洗后明细!A:A,"2026-01",清洗后明细!E:E,"零犀",清洗后明细!D:D,"人机")/SUMIFS(清洗后明细!N:N,清洗后明细!A:A,"2026-01",清洗后明细!E:E,"零犀",清洗后明细!D:D,"人机"),"")</f>
        <v/>
      </c>
      <c r="F19" s="11">
        <f>IF(SUMIFS(清洗后明细!M:M,清洗后明细!A:A,"2026-01",清洗后明细!E:E,"零犀",清洗后明细!D:D,"人机")&gt;0,SUMIFS(清洗后明细!M:M,清洗后明细!A:A,"2026-01",清洗后明细!E:E,"零犀",清洗后明细!D:D,"人机")/SUMIFS(清洗后明细!N:N,清洗后明细!A:A,"2026-01",清洗后明细!E:E,"零犀",清洗后明细!D:D,"人机")*0.7,"")</f>
        <v/>
      </c>
      <c r="G19" s="12">
        <f>IF(SUMIFS(清洗后明细!L:L,清洗后明细!A:A,"2026-01",清洗后明细!E:E,"零犀",清洗后明细!D:D,"人机")&gt;0,SUMIFS(清洗后明细!I:I,清洗后明细!A:A,"2026-01",清洗后明细!E:E,"零犀",清洗后明细!D:D,"人机")/SUMIFS(清洗后明细!L:L,清洗后明细!A:A,"2026-01",清洗后明细!E:E,"零犀",清洗后明细!D:D,"人机")*100,"")</f>
        <v/>
      </c>
      <c r="H19" s="13">
        <f>IF(SUMIFS(清洗后明细!F:F,清洗后明细!A:A,"2026-01",清洗后明细!E:E,"零犀",清洗后明细!D:D,"人机")&gt;0,SUMIFS(清洗后明细!G:G,清洗后明细!A:A,"2026-01",清洗后明细!E:E,"零犀",清洗后明细!D:D,"人机")/SUMIFS(清洗后明细!F:F,清洗后明细!A:A,"2026-01",清洗后明细!E:E,"零犀",清洗后明细!D:D,"人机")*100,"")</f>
        <v/>
      </c>
      <c r="I19" s="11">
        <f>IF(SUMIFS(清洗后明细!G:G,清洗后明细!A:A,"2026-01",清洗后明细!E:E,"零犀",清洗后明细!D:D,"人机")&gt;0,SUMIFS(清洗后明细!H:H,清洗后明细!A:A,"2026-01",清洗后明细!E:E,"零犀",清洗后明细!D:D,"人机")/SUMIFS(清洗后明细!G:G,清洗后明细!A:A,"2026-01",清洗后明细!E:E,"零犀",清洗后明细!D:D,"人机"),"")</f>
        <v/>
      </c>
    </row>
    <row r="20">
      <c r="A20" t="inlineStr">
        <is>
          <t>零犀</t>
        </is>
      </c>
      <c r="B20" t="inlineStr">
        <is>
          <t>2026-02</t>
        </is>
      </c>
      <c r="C20" s="11">
        <f>SUMIFS(清洗后明细!M:M,清洗后明细!A:A,"2026-02",清洗后明细!E:E,"零犀",清洗后明细!D:D,"人机")</f>
        <v/>
      </c>
      <c r="D20" s="11">
        <f>SUMIFS(清洗后明细!N:N,清洗后明细!A:A,"2026-02",清洗后明细!E:E,"零犀",清洗后明细!D:D,"人机")</f>
        <v/>
      </c>
      <c r="E20" s="11">
        <f>IF(SUMIFS(清洗后明细!M:M,清洗后明细!A:A,"2026-02",清洗后明细!E:E,"零犀",清洗后明细!D:D,"人机")&gt;0,SUMIFS(清洗后明细!M:M,清洗后明细!A:A,"2026-02",清洗后明细!E:E,"零犀",清洗后明细!D:D,"人机")/SUMIFS(清洗后明细!N:N,清洗后明细!A:A,"2026-02",清洗后明细!E:E,"零犀",清洗后明细!D:D,"人机"),"")</f>
        <v/>
      </c>
      <c r="F20" s="11">
        <f>IF(SUMIFS(清洗后明细!M:M,清洗后明细!A:A,"2026-02",清洗后明细!E:E,"零犀",清洗后明细!D:D,"人机")&gt;0,SUMIFS(清洗后明细!M:M,清洗后明细!A:A,"2026-02",清洗后明细!E:E,"零犀",清洗后明细!D:D,"人机")/SUMIFS(清洗后明细!N:N,清洗后明细!A:A,"2026-02",清洗后明细!E:E,"零犀",清洗后明细!D:D,"人机")*0.7,"")</f>
        <v/>
      </c>
      <c r="G20" s="12">
        <f>IF(SUMIFS(清洗后明细!L:L,清洗后明细!A:A,"2026-02",清洗后明细!E:E,"零犀",清洗后明细!D:D,"人机")&gt;0,SUMIFS(清洗后明细!I:I,清洗后明细!A:A,"2026-02",清洗后明细!E:E,"零犀",清洗后明细!D:D,"人机")/SUMIFS(清洗后明细!L:L,清洗后明细!A:A,"2026-02",清洗后明细!E:E,"零犀",清洗后明细!D:D,"人机")*100,"")</f>
        <v/>
      </c>
      <c r="H20" s="13">
        <f>IF(SUMIFS(清洗后明细!F:F,清洗后明细!A:A,"2026-02",清洗后明细!E:E,"零犀",清洗后明细!D:D,"人机")&gt;0,SUMIFS(清洗后明细!G:G,清洗后明细!A:A,"2026-02",清洗后明细!E:E,"零犀",清洗后明细!D:D,"人机")/SUMIFS(清洗后明细!F:F,清洗后明细!A:A,"2026-02",清洗后明细!E:E,"零犀",清洗后明细!D:D,"人机")*100,"")</f>
        <v/>
      </c>
      <c r="I20" s="11">
        <f>IF(SUMIFS(清洗后明细!G:G,清洗后明细!A:A,"2026-02",清洗后明细!E:E,"零犀",清洗后明细!D:D,"人机")&gt;0,SUMIFS(清洗后明细!H:H,清洗后明细!A:A,"2026-02",清洗后明细!E:E,"零犀",清洗后明细!D:D,"人机")/SUMIFS(清洗后明细!G:G,清洗后明细!A:A,"2026-02",清洗后明细!E:E,"零犀",清洗后明细!D:D,"人机"),"")</f>
        <v/>
      </c>
    </row>
    <row r="21">
      <c r="A21" t="inlineStr">
        <is>
          <t>零犀</t>
        </is>
      </c>
      <c r="B21" t="inlineStr">
        <is>
          <t>2026-03</t>
        </is>
      </c>
      <c r="C21" s="11">
        <f>SUMIFS(清洗后明细!M:M,清洗后明细!A:A,"2026-03",清洗后明细!E:E,"零犀",清洗后明细!D:D,"人机")</f>
        <v/>
      </c>
      <c r="D21" s="11">
        <f>SUMIFS(清洗后明细!N:N,清洗后明细!A:A,"2026-03",清洗后明细!E:E,"零犀",清洗后明细!D:D,"人机")</f>
        <v/>
      </c>
      <c r="E21" s="11">
        <f>IF(SUMIFS(清洗后明细!M:M,清洗后明细!A:A,"2026-03",清洗后明细!E:E,"零犀",清洗后明细!D:D,"人机")&gt;0,SUMIFS(清洗后明细!M:M,清洗后明细!A:A,"2026-03",清洗后明细!E:E,"零犀",清洗后明细!D:D,"人机")/SUMIFS(清洗后明细!N:N,清洗后明细!A:A,"2026-03",清洗后明细!E:E,"零犀",清洗后明细!D:D,"人机"),"")</f>
        <v/>
      </c>
      <c r="F21" s="11">
        <f>IF(SUMIFS(清洗后明细!M:M,清洗后明细!A:A,"2026-03",清洗后明细!E:E,"零犀",清洗后明细!D:D,"人机")&gt;0,SUMIFS(清洗后明细!M:M,清洗后明细!A:A,"2026-03",清洗后明细!E:E,"零犀",清洗后明细!D:D,"人机")/SUMIFS(清洗后明细!N:N,清洗后明细!A:A,"2026-03",清洗后明细!E:E,"零犀",清洗后明细!D:D,"人机")*0.7,"")</f>
        <v/>
      </c>
      <c r="G21" s="12">
        <f>IF(SUMIFS(清洗后明细!L:L,清洗后明细!A:A,"2026-03",清洗后明细!E:E,"零犀",清洗后明细!D:D,"人机")&gt;0,SUMIFS(清洗后明细!I:I,清洗后明细!A:A,"2026-03",清洗后明细!E:E,"零犀",清洗后明细!D:D,"人机")/SUMIFS(清洗后明细!L:L,清洗后明细!A:A,"2026-03",清洗后明细!E:E,"零犀",清洗后明细!D:D,"人机")*100,"")</f>
        <v/>
      </c>
      <c r="H21" s="13">
        <f>IF(SUMIFS(清洗后明细!F:F,清洗后明细!A:A,"2026-03",清洗后明细!E:E,"零犀",清洗后明细!D:D,"人机")&gt;0,SUMIFS(清洗后明细!G:G,清洗后明细!A:A,"2026-03",清洗后明细!E:E,"零犀",清洗后明细!D:D,"人机")/SUMIFS(清洗后明细!F:F,清洗后明细!A:A,"2026-03",清洗后明细!E:E,"零犀",清洗后明细!D:D,"人机")*100,"")</f>
        <v/>
      </c>
      <c r="I21" s="11">
        <f>IF(SUMIFS(清洗后明细!G:G,清洗后明细!A:A,"2026-03",清洗后明细!E:E,"零犀",清洗后明细!D:D,"人机")&gt;0,SUMIFS(清洗后明细!H:H,清洗后明细!A:A,"2026-03",清洗后明细!E:E,"零犀",清洗后明细!D:D,"人机")/SUMIFS(清洗后明细!G:G,清洗后明细!A:A,"2026-03",清洗后明细!E:E,"零犀",清洗后明细!D:D,"人机"),"")</f>
        <v/>
      </c>
    </row>
    <row r="22">
      <c r="A22" t="inlineStr">
        <is>
          <t>零犀</t>
        </is>
      </c>
      <c r="B22" t="inlineStr">
        <is>
          <t>2026-04</t>
        </is>
      </c>
      <c r="C22" s="11">
        <f>SUMIFS(清洗后明细!M:M,清洗后明细!A:A,"2026-04",清洗后明细!E:E,"零犀",清洗后明细!D:D,"人机")</f>
        <v/>
      </c>
      <c r="D22" s="11">
        <f>SUMIFS(清洗后明细!N:N,清洗后明细!A:A,"2026-04",清洗后明细!E:E,"零犀",清洗后明细!D:D,"人机")</f>
        <v/>
      </c>
      <c r="E22" s="11">
        <f>IF(SUMIFS(清洗后明细!M:M,清洗后明细!A:A,"2026-04",清洗后明细!E:E,"零犀",清洗后明细!D:D,"人机")&gt;0,SUMIFS(清洗后明细!M:M,清洗后明细!A:A,"2026-04",清洗后明细!E:E,"零犀",清洗后明细!D:D,"人机")/SUMIFS(清洗后明细!N:N,清洗后明细!A:A,"2026-04",清洗后明细!E:E,"零犀",清洗后明细!D:D,"人机"),"")</f>
        <v/>
      </c>
      <c r="F22" s="11">
        <f>IF(SUMIFS(清洗后明细!M:M,清洗后明细!A:A,"2026-04",清洗后明细!E:E,"零犀",清洗后明细!D:D,"人机")&gt;0,SUMIFS(清洗后明细!M:M,清洗后明细!A:A,"2026-04",清洗后明细!E:E,"零犀",清洗后明细!D:D,"人机")/SUMIFS(清洗后明细!N:N,清洗后明细!A:A,"2026-04",清洗后明细!E:E,"零犀",清洗后明细!D:D,"人机")*0.7,"")</f>
        <v/>
      </c>
      <c r="G22" s="12">
        <f>IF(SUMIFS(清洗后明细!L:L,清洗后明细!A:A,"2026-04",清洗后明细!E:E,"零犀",清洗后明细!D:D,"人机")&gt;0,SUMIFS(清洗后明细!I:I,清洗后明细!A:A,"2026-04",清洗后明细!E:E,"零犀",清洗后明细!D:D,"人机")/SUMIFS(清洗后明细!L:L,清洗后明细!A:A,"2026-04",清洗后明细!E:E,"零犀",清洗后明细!D:D,"人机")*100,"")</f>
        <v/>
      </c>
      <c r="H22" s="13">
        <f>IF(SUMIFS(清洗后明细!F:F,清洗后明细!A:A,"2026-04",清洗后明细!E:E,"零犀",清洗后明细!D:D,"人机")&gt;0,SUMIFS(清洗后明细!G:G,清洗后明细!A:A,"2026-04",清洗后明细!E:E,"零犀",清洗后明细!D:D,"人机")/SUMIFS(清洗后明细!F:F,清洗后明细!A:A,"2026-04",清洗后明细!E:E,"零犀",清洗后明细!D:D,"人机")*100,"")</f>
        <v/>
      </c>
      <c r="I22" s="11">
        <f>IF(SUMIFS(清洗后明细!G:G,清洗后明细!A:A,"2026-04",清洗后明细!E:E,"零犀",清洗后明细!D:D,"人机")&gt;0,SUMIFS(清洗后明细!H:H,清洗后明细!A:A,"2026-04",清洗后明细!E:E,"零犀",清洗后明细!D:D,"人机")/SUMIFS(清洗后明细!G:G,清洗后明细!A:A,"2026-04",清洗后明细!E:E,"零犀",清洗后明细!D:D,"人机"),"")</f>
        <v/>
      </c>
    </row>
    <row r="23">
      <c r="A23" t="inlineStr">
        <is>
          <t>零犀</t>
        </is>
      </c>
      <c r="B23" t="inlineStr">
        <is>
          <t>2026-05</t>
        </is>
      </c>
      <c r="C23" s="11">
        <f>SUMIFS(清洗后明细!M:M,清洗后明细!A:A,"2026-05",清洗后明细!E:E,"零犀",清洗后明细!D:D,"人机")</f>
        <v/>
      </c>
      <c r="D23" s="11">
        <f>SUMIFS(清洗后明细!N:N,清洗后明细!A:A,"2026-05",清洗后明细!E:E,"零犀",清洗后明细!D:D,"人机")</f>
        <v/>
      </c>
      <c r="E23" s="11">
        <f>IF(SUMIFS(清洗后明细!M:M,清洗后明细!A:A,"2026-05",清洗后明细!E:E,"零犀",清洗后明细!D:D,"人机")&gt;0,SUMIFS(清洗后明细!M:M,清洗后明细!A:A,"2026-05",清洗后明细!E:E,"零犀",清洗后明细!D:D,"人机")/SUMIFS(清洗后明细!N:N,清洗后明细!A:A,"2026-05",清洗后明细!E:E,"零犀",清洗后明细!D:D,"人机"),"")</f>
        <v/>
      </c>
      <c r="F23" s="11">
        <f>IF(SUMIFS(清洗后明细!M:M,清洗后明细!A:A,"2026-05",清洗后明细!E:E,"零犀",清洗后明细!D:D,"人机")&gt;0,SUMIFS(清洗后明细!M:M,清洗后明细!A:A,"2026-05",清洗后明细!E:E,"零犀",清洗后明细!D:D,"人机")/SUMIFS(清洗后明细!N:N,清洗后明细!A:A,"2026-05",清洗后明细!E:E,"零犀",清洗后明细!D:D,"人机")*0.7,"")</f>
        <v/>
      </c>
      <c r="G23" s="12">
        <f>IF(SUMIFS(清洗后明细!L:L,清洗后明细!A:A,"2026-05",清洗后明细!E:E,"零犀",清洗后明细!D:D,"人机")&gt;0,SUMIFS(清洗后明细!I:I,清洗后明细!A:A,"2026-05",清洗后明细!E:E,"零犀",清洗后明细!D:D,"人机")/SUMIFS(清洗后明细!L:L,清洗后明细!A:A,"2026-05",清洗后明细!E:E,"零犀",清洗后明细!D:D,"人机")*100,"")</f>
        <v/>
      </c>
      <c r="H23" s="13">
        <f>IF(SUMIFS(清洗后明细!F:F,清洗后明细!A:A,"2026-05",清洗后明细!E:E,"零犀",清洗后明细!D:D,"人机")&gt;0,SUMIFS(清洗后明细!G:G,清洗后明细!A:A,"2026-05",清洗后明细!E:E,"零犀",清洗后明细!D:D,"人机")/SUMIFS(清洗后明细!F:F,清洗后明细!A:A,"2026-05",清洗后明细!E:E,"零犀",清洗后明细!D:D,"人机")*100,"")</f>
        <v/>
      </c>
      <c r="I23" s="11">
        <f>IF(SUMIFS(清洗后明细!G:G,清洗后明细!A:A,"2026-05",清洗后明细!E:E,"零犀",清洗后明细!D:D,"人机")&gt;0,SUMIFS(清洗后明细!H:H,清洗后明细!A:A,"2026-05",清洗后明细!E:E,"零犀",清洗后明细!D:D,"人机")/SUMIFS(清洗后明细!G:G,清洗后明细!A:A,"2026-05",清洗后明细!E:E,"零犀",清洗后明细!D:D,"人机"),"")</f>
        <v/>
      </c>
    </row>
    <row r="24">
      <c r="A24" t="inlineStr">
        <is>
          <t>零犀</t>
        </is>
      </c>
      <c r="B24" t="inlineStr">
        <is>
          <t>2026-06</t>
        </is>
      </c>
      <c r="C24" s="11">
        <f>SUMIFS(清洗后明细!M:M,清洗后明细!A:A,"2026-06",清洗后明细!E:E,"零犀",清洗后明细!D:D,"人机")</f>
        <v/>
      </c>
      <c r="D24" s="11">
        <f>SUMIFS(清洗后明细!N:N,清洗后明细!A:A,"2026-06",清洗后明细!E:E,"零犀",清洗后明细!D:D,"人机")</f>
        <v/>
      </c>
      <c r="E24" s="11">
        <f>IF(SUMIFS(清洗后明细!M:M,清洗后明细!A:A,"2026-06",清洗后明细!E:E,"零犀",清洗后明细!D:D,"人机")&gt;0,SUMIFS(清洗后明细!M:M,清洗后明细!A:A,"2026-06",清洗后明细!E:E,"零犀",清洗后明细!D:D,"人机")/SUMIFS(清洗后明细!N:N,清洗后明细!A:A,"2026-06",清洗后明细!E:E,"零犀",清洗后明细!D:D,"人机"),"")</f>
        <v/>
      </c>
      <c r="F24" s="11">
        <f>IF(SUMIFS(清洗后明细!M:M,清洗后明细!A:A,"2026-06",清洗后明细!E:E,"零犀",清洗后明细!D:D,"人机")&gt;0,SUMIFS(清洗后明细!M:M,清洗后明细!A:A,"2026-06",清洗后明细!E:E,"零犀",清洗后明细!D:D,"人机")/SUMIFS(清洗后明细!N:N,清洗后明细!A:A,"2026-06",清洗后明细!E:E,"零犀",清洗后明细!D:D,"人机")*0.7,"")</f>
        <v/>
      </c>
      <c r="G24" s="12">
        <f>IF(SUMIFS(清洗后明细!L:L,清洗后明细!A:A,"2026-06",清洗后明细!E:E,"零犀",清洗后明细!D:D,"人机")&gt;0,SUMIFS(清洗后明细!I:I,清洗后明细!A:A,"2026-06",清洗后明细!E:E,"零犀",清洗后明细!D:D,"人机")/SUMIFS(清洗后明细!L:L,清洗后明细!A:A,"2026-06",清洗后明细!E:E,"零犀",清洗后明细!D:D,"人机")*100,"")</f>
        <v/>
      </c>
      <c r="H24" s="13">
        <f>IF(SUMIFS(清洗后明细!F:F,清洗后明细!A:A,"2026-06",清洗后明细!E:E,"零犀",清洗后明细!D:D,"人机")&gt;0,SUMIFS(清洗后明细!G:G,清洗后明细!A:A,"2026-06",清洗后明细!E:E,"零犀",清洗后明细!D:D,"人机")/SUMIFS(清洗后明细!F:F,清洗后明细!A:A,"2026-06",清洗后明细!E:E,"零犀",清洗后明细!D:D,"人机")*100,"")</f>
        <v/>
      </c>
      <c r="I24" s="11">
        <f>IF(SUMIFS(清洗后明细!G:G,清洗后明细!A:A,"2026-06",清洗后明细!E:E,"零犀",清洗后明细!D:D,"人机")&gt;0,SUMIFS(清洗后明细!H:H,清洗后明细!A:A,"2026-06",清洗后明细!E:E,"零犀",清洗后明细!D:D,"人机")/SUMIFS(清洗后明细!G:G,清洗后明细!A:A,"2026-06",清洗后明细!E:E,"零犀",清洗后明细!D:D,"人机"),"")</f>
        <v/>
      </c>
    </row>
    <row r="25">
      <c r="A25" t="inlineStr">
        <is>
          <t>零犀伽玛</t>
        </is>
      </c>
      <c r="B25" t="inlineStr">
        <is>
          <t>2025-12</t>
        </is>
      </c>
      <c r="C25" s="11">
        <f>SUMIFS(清洗后明细!M:M,清洗后明细!A:A,"2025-12",清洗后明细!E:E,"零犀伽玛",清洗后明细!D:D,"人机")</f>
        <v/>
      </c>
      <c r="D25" s="11">
        <f>SUMIFS(清洗后明细!N:N,清洗后明细!A:A,"2025-12",清洗后明细!E:E,"零犀伽玛",清洗后明细!D:D,"人机")</f>
        <v/>
      </c>
      <c r="E25" s="11">
        <f>IF(SUMIFS(清洗后明细!M:M,清洗后明细!A:A,"2025-12",清洗后明细!E:E,"零犀伽玛",清洗后明细!D:D,"人机")&gt;0,SUMIFS(清洗后明细!M:M,清洗后明细!A:A,"2025-12",清洗后明细!E:E,"零犀伽玛",清洗后明细!D:D,"人机")/SUMIFS(清洗后明细!N:N,清洗后明细!A:A,"2025-12",清洗后明细!E:E,"零犀伽玛",清洗后明细!D:D,"人机"),"")</f>
        <v/>
      </c>
      <c r="F25" s="11">
        <f>IF(SUMIFS(清洗后明细!M:M,清洗后明细!A:A,"2025-12",清洗后明细!E:E,"零犀伽玛",清洗后明细!D:D,"人机")&gt;0,SUMIFS(清洗后明细!M:M,清洗后明细!A:A,"2025-12",清洗后明细!E:E,"零犀伽玛",清洗后明细!D:D,"人机")/SUMIFS(清洗后明细!N:N,清洗后明细!A:A,"2025-12",清洗后明细!E:E,"零犀伽玛",清洗后明细!D:D,"人机")*0.7,"")</f>
        <v/>
      </c>
      <c r="G25" s="12">
        <f>IF(SUMIFS(清洗后明细!L:L,清洗后明细!A:A,"2025-12",清洗后明细!E:E,"零犀伽玛",清洗后明细!D:D,"人机")&gt;0,SUMIFS(清洗后明细!I:I,清洗后明细!A:A,"2025-12",清洗后明细!E:E,"零犀伽玛",清洗后明细!D:D,"人机")/SUMIFS(清洗后明细!L:L,清洗后明细!A:A,"2025-12",清洗后明细!E:E,"零犀伽玛",清洗后明细!D:D,"人机")*100,"")</f>
        <v/>
      </c>
      <c r="H25" s="13">
        <f>IF(SUMIFS(清洗后明细!F:F,清洗后明细!A:A,"2025-12",清洗后明细!E:E,"零犀伽玛",清洗后明细!D:D,"人机")&gt;0,SUMIFS(清洗后明细!G:G,清洗后明细!A:A,"2025-12",清洗后明细!E:E,"零犀伽玛",清洗后明细!D:D,"人机")/SUMIFS(清洗后明细!F:F,清洗后明细!A:A,"2025-12",清洗后明细!E:E,"零犀伽玛",清洗后明细!D:D,"人机")*100,"")</f>
        <v/>
      </c>
      <c r="I25" s="11">
        <f>IF(SUMIFS(清洗后明细!G:G,清洗后明细!A:A,"2025-12",清洗后明细!E:E,"零犀伽玛",清洗后明细!D:D,"人机")&gt;0,SUMIFS(清洗后明细!H:H,清洗后明细!A:A,"2025-12",清洗后明细!E:E,"零犀伽玛",清洗后明细!D:D,"人机")/SUMIFS(清洗后明细!G:G,清洗后明细!A:A,"2025-12",清洗后明细!E:E,"零犀伽玛",清洗后明细!D:D,"人机"),"")</f>
        <v/>
      </c>
    </row>
    <row r="26">
      <c r="A26" t="inlineStr">
        <is>
          <t>零犀伽玛</t>
        </is>
      </c>
      <c r="B26" t="inlineStr">
        <is>
          <t>2026-01</t>
        </is>
      </c>
      <c r="C26" s="11">
        <f>SUMIFS(清洗后明细!M:M,清洗后明细!A:A,"2026-01",清洗后明细!E:E,"零犀伽玛",清洗后明细!D:D,"人机")</f>
        <v/>
      </c>
      <c r="D26" s="11">
        <f>SUMIFS(清洗后明细!N:N,清洗后明细!A:A,"2026-01",清洗后明细!E:E,"零犀伽玛",清洗后明细!D:D,"人机")</f>
        <v/>
      </c>
      <c r="E26" s="11">
        <f>IF(SUMIFS(清洗后明细!M:M,清洗后明细!A:A,"2026-01",清洗后明细!E:E,"零犀伽玛",清洗后明细!D:D,"人机")&gt;0,SUMIFS(清洗后明细!M:M,清洗后明细!A:A,"2026-01",清洗后明细!E:E,"零犀伽玛",清洗后明细!D:D,"人机")/SUMIFS(清洗后明细!N:N,清洗后明细!A:A,"2026-01",清洗后明细!E:E,"零犀伽玛",清洗后明细!D:D,"人机"),"")</f>
        <v/>
      </c>
      <c r="F26" s="11">
        <f>IF(SUMIFS(清洗后明细!M:M,清洗后明细!A:A,"2026-01",清洗后明细!E:E,"零犀伽玛",清洗后明细!D:D,"人机")&gt;0,SUMIFS(清洗后明细!M:M,清洗后明细!A:A,"2026-01",清洗后明细!E:E,"零犀伽玛",清洗后明细!D:D,"人机")/SUMIFS(清洗后明细!N:N,清洗后明细!A:A,"2026-01",清洗后明细!E:E,"零犀伽玛",清洗后明细!D:D,"人机")*0.7,"")</f>
        <v/>
      </c>
      <c r="G26" s="12">
        <f>IF(SUMIFS(清洗后明细!L:L,清洗后明细!A:A,"2026-01",清洗后明细!E:E,"零犀伽玛",清洗后明细!D:D,"人机")&gt;0,SUMIFS(清洗后明细!I:I,清洗后明细!A:A,"2026-01",清洗后明细!E:E,"零犀伽玛",清洗后明细!D:D,"人机")/SUMIFS(清洗后明细!L:L,清洗后明细!A:A,"2026-01",清洗后明细!E:E,"零犀伽玛",清洗后明细!D:D,"人机")*100,"")</f>
        <v/>
      </c>
      <c r="H26" s="13">
        <f>IF(SUMIFS(清洗后明细!F:F,清洗后明细!A:A,"2026-01",清洗后明细!E:E,"零犀伽玛",清洗后明细!D:D,"人机")&gt;0,SUMIFS(清洗后明细!G:G,清洗后明细!A:A,"2026-01",清洗后明细!E:E,"零犀伽玛",清洗后明细!D:D,"人机")/SUMIFS(清洗后明细!F:F,清洗后明细!A:A,"2026-01",清洗后明细!E:E,"零犀伽玛",清洗后明细!D:D,"人机")*100,"")</f>
        <v/>
      </c>
      <c r="I26" s="11">
        <f>IF(SUMIFS(清洗后明细!G:G,清洗后明细!A:A,"2026-01",清洗后明细!E:E,"零犀伽玛",清洗后明细!D:D,"人机")&gt;0,SUMIFS(清洗后明细!H:H,清洗后明细!A:A,"2026-01",清洗后明细!E:E,"零犀伽玛",清洗后明细!D:D,"人机")/SUMIFS(清洗后明细!G:G,清洗后明细!A:A,"2026-01",清洗后明细!E:E,"零犀伽玛",清洗后明细!D:D,"人机"),"")</f>
        <v/>
      </c>
    </row>
    <row r="27">
      <c r="A27" t="inlineStr">
        <is>
          <t>零犀伽玛</t>
        </is>
      </c>
      <c r="B27" t="inlineStr">
        <is>
          <t>2026-02</t>
        </is>
      </c>
      <c r="C27" s="11">
        <f>SUMIFS(清洗后明细!M:M,清洗后明细!A:A,"2026-02",清洗后明细!E:E,"零犀伽玛",清洗后明细!D:D,"人机")</f>
        <v/>
      </c>
      <c r="D27" s="11">
        <f>SUMIFS(清洗后明细!N:N,清洗后明细!A:A,"2026-02",清洗后明细!E:E,"零犀伽玛",清洗后明细!D:D,"人机")</f>
        <v/>
      </c>
      <c r="E27" s="11">
        <f>IF(SUMIFS(清洗后明细!M:M,清洗后明细!A:A,"2026-02",清洗后明细!E:E,"零犀伽玛",清洗后明细!D:D,"人机")&gt;0,SUMIFS(清洗后明细!M:M,清洗后明细!A:A,"2026-02",清洗后明细!E:E,"零犀伽玛",清洗后明细!D:D,"人机")/SUMIFS(清洗后明细!N:N,清洗后明细!A:A,"2026-02",清洗后明细!E:E,"零犀伽玛",清洗后明细!D:D,"人机"),"")</f>
        <v/>
      </c>
      <c r="F27" s="11">
        <f>IF(SUMIFS(清洗后明细!M:M,清洗后明细!A:A,"2026-02",清洗后明细!E:E,"零犀伽玛",清洗后明细!D:D,"人机")&gt;0,SUMIFS(清洗后明细!M:M,清洗后明细!A:A,"2026-02",清洗后明细!E:E,"零犀伽玛",清洗后明细!D:D,"人机")/SUMIFS(清洗后明细!N:N,清洗后明细!A:A,"2026-02",清洗后明细!E:E,"零犀伽玛",清洗后明细!D:D,"人机")*0.7,"")</f>
        <v/>
      </c>
      <c r="G27" s="12">
        <f>IF(SUMIFS(清洗后明细!L:L,清洗后明细!A:A,"2026-02",清洗后明细!E:E,"零犀伽玛",清洗后明细!D:D,"人机")&gt;0,SUMIFS(清洗后明细!I:I,清洗后明细!A:A,"2026-02",清洗后明细!E:E,"零犀伽玛",清洗后明细!D:D,"人机")/SUMIFS(清洗后明细!L:L,清洗后明细!A:A,"2026-02",清洗后明细!E:E,"零犀伽玛",清洗后明细!D:D,"人机")*100,"")</f>
        <v/>
      </c>
      <c r="H27" s="13">
        <f>IF(SUMIFS(清洗后明细!F:F,清洗后明细!A:A,"2026-02",清洗后明细!E:E,"零犀伽玛",清洗后明细!D:D,"人机")&gt;0,SUMIFS(清洗后明细!G:G,清洗后明细!A:A,"2026-02",清洗后明细!E:E,"零犀伽玛",清洗后明细!D:D,"人机")/SUMIFS(清洗后明细!F:F,清洗后明细!A:A,"2026-02",清洗后明细!E:E,"零犀伽玛",清洗后明细!D:D,"人机")*100,"")</f>
        <v/>
      </c>
      <c r="I27" s="11">
        <f>IF(SUMIFS(清洗后明细!G:G,清洗后明细!A:A,"2026-02",清洗后明细!E:E,"零犀伽玛",清洗后明细!D:D,"人机")&gt;0,SUMIFS(清洗后明细!H:H,清洗后明细!A:A,"2026-02",清洗后明细!E:E,"零犀伽玛",清洗后明细!D:D,"人机")/SUMIFS(清洗后明细!G:G,清洗后明细!A:A,"2026-02",清洗后明细!E:E,"零犀伽玛",清洗后明细!D:D,"人机"),"")</f>
        <v/>
      </c>
    </row>
    <row r="28">
      <c r="A28" t="inlineStr">
        <is>
          <t>零犀伽玛</t>
        </is>
      </c>
      <c r="B28" t="inlineStr">
        <is>
          <t>2026-03</t>
        </is>
      </c>
      <c r="C28" s="11">
        <f>SUMIFS(清洗后明细!M:M,清洗后明细!A:A,"2026-03",清洗后明细!E:E,"零犀伽玛",清洗后明细!D:D,"人机")</f>
        <v/>
      </c>
      <c r="D28" s="11">
        <f>SUMIFS(清洗后明细!N:N,清洗后明细!A:A,"2026-03",清洗后明细!E:E,"零犀伽玛",清洗后明细!D:D,"人机")</f>
        <v/>
      </c>
      <c r="E28" s="11">
        <f>IF(SUMIFS(清洗后明细!M:M,清洗后明细!A:A,"2026-03",清洗后明细!E:E,"零犀伽玛",清洗后明细!D:D,"人机")&gt;0,SUMIFS(清洗后明细!M:M,清洗后明细!A:A,"2026-03",清洗后明细!E:E,"零犀伽玛",清洗后明细!D:D,"人机")/SUMIFS(清洗后明细!N:N,清洗后明细!A:A,"2026-03",清洗后明细!E:E,"零犀伽玛",清洗后明细!D:D,"人机"),"")</f>
        <v/>
      </c>
      <c r="F28" s="11">
        <f>IF(SUMIFS(清洗后明细!M:M,清洗后明细!A:A,"2026-03",清洗后明细!E:E,"零犀伽玛",清洗后明细!D:D,"人机")&gt;0,SUMIFS(清洗后明细!M:M,清洗后明细!A:A,"2026-03",清洗后明细!E:E,"零犀伽玛",清洗后明细!D:D,"人机")/SUMIFS(清洗后明细!N:N,清洗后明细!A:A,"2026-03",清洗后明细!E:E,"零犀伽玛",清洗后明细!D:D,"人机")*0.7,"")</f>
        <v/>
      </c>
      <c r="G28" s="12">
        <f>IF(SUMIFS(清洗后明细!L:L,清洗后明细!A:A,"2026-03",清洗后明细!E:E,"零犀伽玛",清洗后明细!D:D,"人机")&gt;0,SUMIFS(清洗后明细!I:I,清洗后明细!A:A,"2026-03",清洗后明细!E:E,"零犀伽玛",清洗后明细!D:D,"人机")/SUMIFS(清洗后明细!L:L,清洗后明细!A:A,"2026-03",清洗后明细!E:E,"零犀伽玛",清洗后明细!D:D,"人机")*100,"")</f>
        <v/>
      </c>
      <c r="H28" s="13">
        <f>IF(SUMIFS(清洗后明细!F:F,清洗后明细!A:A,"2026-03",清洗后明细!E:E,"零犀伽玛",清洗后明细!D:D,"人机")&gt;0,SUMIFS(清洗后明细!G:G,清洗后明细!A:A,"2026-03",清洗后明细!E:E,"零犀伽玛",清洗后明细!D:D,"人机")/SUMIFS(清洗后明细!F:F,清洗后明细!A:A,"2026-03",清洗后明细!E:E,"零犀伽玛",清洗后明细!D:D,"人机")*100,"")</f>
        <v/>
      </c>
      <c r="I28" s="11">
        <f>IF(SUMIFS(清洗后明细!G:G,清洗后明细!A:A,"2026-03",清洗后明细!E:E,"零犀伽玛",清洗后明细!D:D,"人机")&gt;0,SUMIFS(清洗后明细!H:H,清洗后明细!A:A,"2026-03",清洗后明细!E:E,"零犀伽玛",清洗后明细!D:D,"人机")/SUMIFS(清洗后明细!G:G,清洗后明细!A:A,"2026-03",清洗后明细!E:E,"零犀伽玛",清洗后明细!D:D,"人机"),"")</f>
        <v/>
      </c>
    </row>
    <row r="29">
      <c r="A29" t="inlineStr">
        <is>
          <t>零犀伽玛</t>
        </is>
      </c>
      <c r="B29" t="inlineStr">
        <is>
          <t>2026-04</t>
        </is>
      </c>
      <c r="C29" s="11">
        <f>SUMIFS(清洗后明细!M:M,清洗后明细!A:A,"2026-04",清洗后明细!E:E,"零犀伽玛",清洗后明细!D:D,"人机")</f>
        <v/>
      </c>
      <c r="D29" s="11">
        <f>SUMIFS(清洗后明细!N:N,清洗后明细!A:A,"2026-04",清洗后明细!E:E,"零犀伽玛",清洗后明细!D:D,"人机")</f>
        <v/>
      </c>
      <c r="E29" s="11">
        <f>IF(SUMIFS(清洗后明细!M:M,清洗后明细!A:A,"2026-04",清洗后明细!E:E,"零犀伽玛",清洗后明细!D:D,"人机")&gt;0,SUMIFS(清洗后明细!M:M,清洗后明细!A:A,"2026-04",清洗后明细!E:E,"零犀伽玛",清洗后明细!D:D,"人机")/SUMIFS(清洗后明细!N:N,清洗后明细!A:A,"2026-04",清洗后明细!E:E,"零犀伽玛",清洗后明细!D:D,"人机"),"")</f>
        <v/>
      </c>
      <c r="F29" s="11">
        <f>IF(SUMIFS(清洗后明细!M:M,清洗后明细!A:A,"2026-04",清洗后明细!E:E,"零犀伽玛",清洗后明细!D:D,"人机")&gt;0,SUMIFS(清洗后明细!M:M,清洗后明细!A:A,"2026-04",清洗后明细!E:E,"零犀伽玛",清洗后明细!D:D,"人机")/SUMIFS(清洗后明细!N:N,清洗后明细!A:A,"2026-04",清洗后明细!E:E,"零犀伽玛",清洗后明细!D:D,"人机")*0.7,"")</f>
        <v/>
      </c>
      <c r="G29" s="12">
        <f>IF(SUMIFS(清洗后明细!L:L,清洗后明细!A:A,"2026-04",清洗后明细!E:E,"零犀伽玛",清洗后明细!D:D,"人机")&gt;0,SUMIFS(清洗后明细!I:I,清洗后明细!A:A,"2026-04",清洗后明细!E:E,"零犀伽玛",清洗后明细!D:D,"人机")/SUMIFS(清洗后明细!L:L,清洗后明细!A:A,"2026-04",清洗后明细!E:E,"零犀伽玛",清洗后明细!D:D,"人机")*100,"")</f>
        <v/>
      </c>
      <c r="H29" s="13">
        <f>IF(SUMIFS(清洗后明细!F:F,清洗后明细!A:A,"2026-04",清洗后明细!E:E,"零犀伽玛",清洗后明细!D:D,"人机")&gt;0,SUMIFS(清洗后明细!G:G,清洗后明细!A:A,"2026-04",清洗后明细!E:E,"零犀伽玛",清洗后明细!D:D,"人机")/SUMIFS(清洗后明细!F:F,清洗后明细!A:A,"2026-04",清洗后明细!E:E,"零犀伽玛",清洗后明细!D:D,"人机")*100,"")</f>
        <v/>
      </c>
      <c r="I29" s="11">
        <f>IF(SUMIFS(清洗后明细!G:G,清洗后明细!A:A,"2026-04",清洗后明细!E:E,"零犀伽玛",清洗后明细!D:D,"人机")&gt;0,SUMIFS(清洗后明细!H:H,清洗后明细!A:A,"2026-04",清洗后明细!E:E,"零犀伽玛",清洗后明细!D:D,"人机")/SUMIFS(清洗后明细!G:G,清洗后明细!A:A,"2026-04",清洗后明细!E:E,"零犀伽玛",清洗后明细!D:D,"人机"),"")</f>
        <v/>
      </c>
    </row>
    <row r="30">
      <c r="A30" t="inlineStr">
        <is>
          <t>零犀伽玛</t>
        </is>
      </c>
      <c r="B30" t="inlineStr">
        <is>
          <t>2026-05</t>
        </is>
      </c>
      <c r="C30" s="11">
        <f>SUMIFS(清洗后明细!M:M,清洗后明细!A:A,"2026-05",清洗后明细!E:E,"零犀伽玛",清洗后明细!D:D,"人机")</f>
        <v/>
      </c>
      <c r="D30" s="11">
        <f>SUMIFS(清洗后明细!N:N,清洗后明细!A:A,"2026-05",清洗后明细!E:E,"零犀伽玛",清洗后明细!D:D,"人机")</f>
        <v/>
      </c>
      <c r="E30" s="11">
        <f>IF(SUMIFS(清洗后明细!M:M,清洗后明细!A:A,"2026-05",清洗后明细!E:E,"零犀伽玛",清洗后明细!D:D,"人机")&gt;0,SUMIFS(清洗后明细!M:M,清洗后明细!A:A,"2026-05",清洗后明细!E:E,"零犀伽玛",清洗后明细!D:D,"人机")/SUMIFS(清洗后明细!N:N,清洗后明细!A:A,"2026-05",清洗后明细!E:E,"零犀伽玛",清洗后明细!D:D,"人机"),"")</f>
        <v/>
      </c>
      <c r="F30" s="11">
        <f>IF(SUMIFS(清洗后明细!M:M,清洗后明细!A:A,"2026-05",清洗后明细!E:E,"零犀伽玛",清洗后明细!D:D,"人机")&gt;0,SUMIFS(清洗后明细!M:M,清洗后明细!A:A,"2026-05",清洗后明细!E:E,"零犀伽玛",清洗后明细!D:D,"人机")/SUMIFS(清洗后明细!N:N,清洗后明细!A:A,"2026-05",清洗后明细!E:E,"零犀伽玛",清洗后明细!D:D,"人机")*0.7,"")</f>
        <v/>
      </c>
      <c r="G30" s="12">
        <f>IF(SUMIFS(清洗后明细!L:L,清洗后明细!A:A,"2026-05",清洗后明细!E:E,"零犀伽玛",清洗后明细!D:D,"人机")&gt;0,SUMIFS(清洗后明细!I:I,清洗后明细!A:A,"2026-05",清洗后明细!E:E,"零犀伽玛",清洗后明细!D:D,"人机")/SUMIFS(清洗后明细!L:L,清洗后明细!A:A,"2026-05",清洗后明细!E:E,"零犀伽玛",清洗后明细!D:D,"人机")*100,"")</f>
        <v/>
      </c>
      <c r="H30" s="13">
        <f>IF(SUMIFS(清洗后明细!F:F,清洗后明细!A:A,"2026-05",清洗后明细!E:E,"零犀伽玛",清洗后明细!D:D,"人机")&gt;0,SUMIFS(清洗后明细!G:G,清洗后明细!A:A,"2026-05",清洗后明细!E:E,"零犀伽玛",清洗后明细!D:D,"人机")/SUMIFS(清洗后明细!F:F,清洗后明细!A:A,"2026-05",清洗后明细!E:E,"零犀伽玛",清洗后明细!D:D,"人机")*100,"")</f>
        <v/>
      </c>
      <c r="I30" s="11">
        <f>IF(SUMIFS(清洗后明细!G:G,清洗后明细!A:A,"2026-05",清洗后明细!E:E,"零犀伽玛",清洗后明细!D:D,"人机")&gt;0,SUMIFS(清洗后明细!H:H,清洗后明细!A:A,"2026-05",清洗后明细!E:E,"零犀伽玛",清洗后明细!D:D,"人机")/SUMIFS(清洗后明细!G:G,清洗后明细!A:A,"2026-05",清洗后明细!E:E,"零犀伽玛",清洗后明细!D:D,"人机"),"")</f>
        <v/>
      </c>
    </row>
    <row r="31">
      <c r="A31" t="inlineStr">
        <is>
          <t>零犀伽玛</t>
        </is>
      </c>
      <c r="B31" t="inlineStr">
        <is>
          <t>2026-06</t>
        </is>
      </c>
      <c r="C31" s="11">
        <f>SUMIFS(清洗后明细!M:M,清洗后明细!A:A,"2026-06",清洗后明细!E:E,"零犀伽玛",清洗后明细!D:D,"人机")</f>
        <v/>
      </c>
      <c r="D31" s="11">
        <f>SUMIFS(清洗后明细!N:N,清洗后明细!A:A,"2026-06",清洗后明细!E:E,"零犀伽玛",清洗后明细!D:D,"人机")</f>
        <v/>
      </c>
      <c r="E31" s="11">
        <f>IF(SUMIFS(清洗后明细!M:M,清洗后明细!A:A,"2026-06",清洗后明细!E:E,"零犀伽玛",清洗后明细!D:D,"人机")&gt;0,SUMIFS(清洗后明细!M:M,清洗后明细!A:A,"2026-06",清洗后明细!E:E,"零犀伽玛",清洗后明细!D:D,"人机")/SUMIFS(清洗后明细!N:N,清洗后明细!A:A,"2026-06",清洗后明细!E:E,"零犀伽玛",清洗后明细!D:D,"人机"),"")</f>
        <v/>
      </c>
      <c r="F31" s="11">
        <f>IF(SUMIFS(清洗后明细!M:M,清洗后明细!A:A,"2026-06",清洗后明细!E:E,"零犀伽玛",清洗后明细!D:D,"人机")&gt;0,SUMIFS(清洗后明细!M:M,清洗后明细!A:A,"2026-06",清洗后明细!E:E,"零犀伽玛",清洗后明细!D:D,"人机")/SUMIFS(清洗后明细!N:N,清洗后明细!A:A,"2026-06",清洗后明细!E:E,"零犀伽玛",清洗后明细!D:D,"人机")*0.7,"")</f>
        <v/>
      </c>
      <c r="G31" s="12">
        <f>IF(SUMIFS(清洗后明细!L:L,清洗后明细!A:A,"2026-06",清洗后明细!E:E,"零犀伽玛",清洗后明细!D:D,"人机")&gt;0,SUMIFS(清洗后明细!I:I,清洗后明细!A:A,"2026-06",清洗后明细!E:E,"零犀伽玛",清洗后明细!D:D,"人机")/SUMIFS(清洗后明细!L:L,清洗后明细!A:A,"2026-06",清洗后明细!E:E,"零犀伽玛",清洗后明细!D:D,"人机")*100,"")</f>
        <v/>
      </c>
      <c r="H31" s="13">
        <f>IF(SUMIFS(清洗后明细!F:F,清洗后明细!A:A,"2026-06",清洗后明细!E:E,"零犀伽玛",清洗后明细!D:D,"人机")&gt;0,SUMIFS(清洗后明细!G:G,清洗后明细!A:A,"2026-06",清洗后明细!E:E,"零犀伽玛",清洗后明细!D:D,"人机")/SUMIFS(清洗后明细!F:F,清洗后明细!A:A,"2026-06",清洗后明细!E:E,"零犀伽玛",清洗后明细!D:D,"人机")*100,"")</f>
        <v/>
      </c>
      <c r="I31" s="11">
        <f>IF(SUMIFS(清洗后明细!G:G,清洗后明细!A:A,"2026-06",清洗后明细!E:E,"零犀伽玛",清洗后明细!D:D,"人机")&gt;0,SUMIFS(清洗后明细!H:H,清洗后明细!A:A,"2026-06",清洗后明细!E:E,"零犀伽玛",清洗后明细!D:D,"人机")/SUMIFS(清洗后明细!G:G,清洗后明细!A:A,"2026-06",清洗后明细!E:E,"零犀伽玛",清洗后明细!D:D,"人机"),"")</f>
        <v/>
      </c>
    </row>
    <row r="32">
      <c r="A32" t="inlineStr">
        <is>
          <t>零犀岐力</t>
        </is>
      </c>
      <c r="B32" t="inlineStr">
        <is>
          <t>2025-12</t>
        </is>
      </c>
      <c r="C32" s="11">
        <f>SUMIFS(清洗后明细!M:M,清洗后明细!A:A,"2025-12",清洗后明细!E:E,"零犀岐力",清洗后明细!D:D,"人机")</f>
        <v/>
      </c>
      <c r="D32" s="11">
        <f>SUMIFS(清洗后明细!N:N,清洗后明细!A:A,"2025-12",清洗后明细!E:E,"零犀岐力",清洗后明细!D:D,"人机")</f>
        <v/>
      </c>
      <c r="E32" s="11">
        <f>IF(SUMIFS(清洗后明细!M:M,清洗后明细!A:A,"2025-12",清洗后明细!E:E,"零犀岐力",清洗后明细!D:D,"人机")&gt;0,SUMIFS(清洗后明细!M:M,清洗后明细!A:A,"2025-12",清洗后明细!E:E,"零犀岐力",清洗后明细!D:D,"人机")/SUMIFS(清洗后明细!N:N,清洗后明细!A:A,"2025-12",清洗后明细!E:E,"零犀岐力",清洗后明细!D:D,"人机"),"")</f>
        <v/>
      </c>
      <c r="F32" s="11">
        <f>IF(SUMIFS(清洗后明细!M:M,清洗后明细!A:A,"2025-12",清洗后明细!E:E,"零犀岐力",清洗后明细!D:D,"人机")&gt;0,SUMIFS(清洗后明细!M:M,清洗后明细!A:A,"2025-12",清洗后明细!E:E,"零犀岐力",清洗后明细!D:D,"人机")/SUMIFS(清洗后明细!N:N,清洗后明细!A:A,"2025-12",清洗后明细!E:E,"零犀岐力",清洗后明细!D:D,"人机")*0.7,"")</f>
        <v/>
      </c>
      <c r="G32" s="12">
        <f>IF(SUMIFS(清洗后明细!L:L,清洗后明细!A:A,"2025-12",清洗后明细!E:E,"零犀岐力",清洗后明细!D:D,"人机")&gt;0,SUMIFS(清洗后明细!I:I,清洗后明细!A:A,"2025-12",清洗后明细!E:E,"零犀岐力",清洗后明细!D:D,"人机")/SUMIFS(清洗后明细!L:L,清洗后明细!A:A,"2025-12",清洗后明细!E:E,"零犀岐力",清洗后明细!D:D,"人机")*100,"")</f>
        <v/>
      </c>
      <c r="H32" s="13">
        <f>IF(SUMIFS(清洗后明细!F:F,清洗后明细!A:A,"2025-12",清洗后明细!E:E,"零犀岐力",清洗后明细!D:D,"人机")&gt;0,SUMIFS(清洗后明细!G:G,清洗后明细!A:A,"2025-12",清洗后明细!E:E,"零犀岐力",清洗后明细!D:D,"人机")/SUMIFS(清洗后明细!F:F,清洗后明细!A:A,"2025-12",清洗后明细!E:E,"零犀岐力",清洗后明细!D:D,"人机")*100,"")</f>
        <v/>
      </c>
      <c r="I32" s="11">
        <f>IF(SUMIFS(清洗后明细!G:G,清洗后明细!A:A,"2025-12",清洗后明细!E:E,"零犀岐力",清洗后明细!D:D,"人机")&gt;0,SUMIFS(清洗后明细!H:H,清洗后明细!A:A,"2025-12",清洗后明细!E:E,"零犀岐力",清洗后明细!D:D,"人机")/SUMIFS(清洗后明细!G:G,清洗后明细!A:A,"2025-12",清洗后明细!E:E,"零犀岐力",清洗后明细!D:D,"人机"),"")</f>
        <v/>
      </c>
    </row>
    <row r="33">
      <c r="A33" t="inlineStr">
        <is>
          <t>零犀岐力</t>
        </is>
      </c>
      <c r="B33" t="inlineStr">
        <is>
          <t>2026-01</t>
        </is>
      </c>
      <c r="C33" s="11">
        <f>SUMIFS(清洗后明细!M:M,清洗后明细!A:A,"2026-01",清洗后明细!E:E,"零犀岐力",清洗后明细!D:D,"人机")</f>
        <v/>
      </c>
      <c r="D33" s="11">
        <f>SUMIFS(清洗后明细!N:N,清洗后明细!A:A,"2026-01",清洗后明细!E:E,"零犀岐力",清洗后明细!D:D,"人机")</f>
        <v/>
      </c>
      <c r="E33" s="11">
        <f>IF(SUMIFS(清洗后明细!M:M,清洗后明细!A:A,"2026-01",清洗后明细!E:E,"零犀岐力",清洗后明细!D:D,"人机")&gt;0,SUMIFS(清洗后明细!M:M,清洗后明细!A:A,"2026-01",清洗后明细!E:E,"零犀岐力",清洗后明细!D:D,"人机")/SUMIFS(清洗后明细!N:N,清洗后明细!A:A,"2026-01",清洗后明细!E:E,"零犀岐力",清洗后明细!D:D,"人机"),"")</f>
        <v/>
      </c>
      <c r="F33" s="11">
        <f>IF(SUMIFS(清洗后明细!M:M,清洗后明细!A:A,"2026-01",清洗后明细!E:E,"零犀岐力",清洗后明细!D:D,"人机")&gt;0,SUMIFS(清洗后明细!M:M,清洗后明细!A:A,"2026-01",清洗后明细!E:E,"零犀岐力",清洗后明细!D:D,"人机")/SUMIFS(清洗后明细!N:N,清洗后明细!A:A,"2026-01",清洗后明细!E:E,"零犀岐力",清洗后明细!D:D,"人机")*0.7,"")</f>
        <v/>
      </c>
      <c r="G33" s="12">
        <f>IF(SUMIFS(清洗后明细!L:L,清洗后明细!A:A,"2026-01",清洗后明细!E:E,"零犀岐力",清洗后明细!D:D,"人机")&gt;0,SUMIFS(清洗后明细!I:I,清洗后明细!A:A,"2026-01",清洗后明细!E:E,"零犀岐力",清洗后明细!D:D,"人机")/SUMIFS(清洗后明细!L:L,清洗后明细!A:A,"2026-01",清洗后明细!E:E,"零犀岐力",清洗后明细!D:D,"人机")*100,"")</f>
        <v/>
      </c>
      <c r="H33" s="13">
        <f>IF(SUMIFS(清洗后明细!F:F,清洗后明细!A:A,"2026-01",清洗后明细!E:E,"零犀岐力",清洗后明细!D:D,"人机")&gt;0,SUMIFS(清洗后明细!G:G,清洗后明细!A:A,"2026-01",清洗后明细!E:E,"零犀岐力",清洗后明细!D:D,"人机")/SUMIFS(清洗后明细!F:F,清洗后明细!A:A,"2026-01",清洗后明细!E:E,"零犀岐力",清洗后明细!D:D,"人机")*100,"")</f>
        <v/>
      </c>
      <c r="I33" s="11">
        <f>IF(SUMIFS(清洗后明细!G:G,清洗后明细!A:A,"2026-01",清洗后明细!E:E,"零犀岐力",清洗后明细!D:D,"人机")&gt;0,SUMIFS(清洗后明细!H:H,清洗后明细!A:A,"2026-01",清洗后明细!E:E,"零犀岐力",清洗后明细!D:D,"人机")/SUMIFS(清洗后明细!G:G,清洗后明细!A:A,"2026-01",清洗后明细!E:E,"零犀岐力",清洗后明细!D:D,"人机"),"")</f>
        <v/>
      </c>
    </row>
    <row r="34">
      <c r="A34" t="inlineStr">
        <is>
          <t>零犀岐力</t>
        </is>
      </c>
      <c r="B34" t="inlineStr">
        <is>
          <t>2026-02</t>
        </is>
      </c>
      <c r="C34" s="11">
        <f>SUMIFS(清洗后明细!M:M,清洗后明细!A:A,"2026-02",清洗后明细!E:E,"零犀岐力",清洗后明细!D:D,"人机")</f>
        <v/>
      </c>
      <c r="D34" s="11">
        <f>SUMIFS(清洗后明细!N:N,清洗后明细!A:A,"2026-02",清洗后明细!E:E,"零犀岐力",清洗后明细!D:D,"人机")</f>
        <v/>
      </c>
      <c r="E34" s="11">
        <f>IF(SUMIFS(清洗后明细!M:M,清洗后明细!A:A,"2026-02",清洗后明细!E:E,"零犀岐力",清洗后明细!D:D,"人机")&gt;0,SUMIFS(清洗后明细!M:M,清洗后明细!A:A,"2026-02",清洗后明细!E:E,"零犀岐力",清洗后明细!D:D,"人机")/SUMIFS(清洗后明细!N:N,清洗后明细!A:A,"2026-02",清洗后明细!E:E,"零犀岐力",清洗后明细!D:D,"人机"),"")</f>
        <v/>
      </c>
      <c r="F34" s="11">
        <f>IF(SUMIFS(清洗后明细!M:M,清洗后明细!A:A,"2026-02",清洗后明细!E:E,"零犀岐力",清洗后明细!D:D,"人机")&gt;0,SUMIFS(清洗后明细!M:M,清洗后明细!A:A,"2026-02",清洗后明细!E:E,"零犀岐力",清洗后明细!D:D,"人机")/SUMIFS(清洗后明细!N:N,清洗后明细!A:A,"2026-02",清洗后明细!E:E,"零犀岐力",清洗后明细!D:D,"人机")*0.7,"")</f>
        <v/>
      </c>
      <c r="G34" s="12">
        <f>IF(SUMIFS(清洗后明细!L:L,清洗后明细!A:A,"2026-02",清洗后明细!E:E,"零犀岐力",清洗后明细!D:D,"人机")&gt;0,SUMIFS(清洗后明细!I:I,清洗后明细!A:A,"2026-02",清洗后明细!E:E,"零犀岐力",清洗后明细!D:D,"人机")/SUMIFS(清洗后明细!L:L,清洗后明细!A:A,"2026-02",清洗后明细!E:E,"零犀岐力",清洗后明细!D:D,"人机")*100,"")</f>
        <v/>
      </c>
      <c r="H34" s="13">
        <f>IF(SUMIFS(清洗后明细!F:F,清洗后明细!A:A,"2026-02",清洗后明细!E:E,"零犀岐力",清洗后明细!D:D,"人机")&gt;0,SUMIFS(清洗后明细!G:G,清洗后明细!A:A,"2026-02",清洗后明细!E:E,"零犀岐力",清洗后明细!D:D,"人机")/SUMIFS(清洗后明细!F:F,清洗后明细!A:A,"2026-02",清洗后明细!E:E,"零犀岐力",清洗后明细!D:D,"人机")*100,"")</f>
        <v/>
      </c>
      <c r="I34" s="11">
        <f>IF(SUMIFS(清洗后明细!G:G,清洗后明细!A:A,"2026-02",清洗后明细!E:E,"零犀岐力",清洗后明细!D:D,"人机")&gt;0,SUMIFS(清洗后明细!H:H,清洗后明细!A:A,"2026-02",清洗后明细!E:E,"零犀岐力",清洗后明细!D:D,"人机")/SUMIFS(清洗后明细!G:G,清洗后明细!A:A,"2026-02",清洗后明细!E:E,"零犀岐力",清洗后明细!D:D,"人机"),"")</f>
        <v/>
      </c>
    </row>
    <row r="35">
      <c r="A35" t="inlineStr">
        <is>
          <t>零犀岐力</t>
        </is>
      </c>
      <c r="B35" t="inlineStr">
        <is>
          <t>2026-03</t>
        </is>
      </c>
      <c r="C35" s="11">
        <f>SUMIFS(清洗后明细!M:M,清洗后明细!A:A,"2026-03",清洗后明细!E:E,"零犀岐力",清洗后明细!D:D,"人机")</f>
        <v/>
      </c>
      <c r="D35" s="11">
        <f>SUMIFS(清洗后明细!N:N,清洗后明细!A:A,"2026-03",清洗后明细!E:E,"零犀岐力",清洗后明细!D:D,"人机")</f>
        <v/>
      </c>
      <c r="E35" s="11">
        <f>IF(SUMIFS(清洗后明细!M:M,清洗后明细!A:A,"2026-03",清洗后明细!E:E,"零犀岐力",清洗后明细!D:D,"人机")&gt;0,SUMIFS(清洗后明细!M:M,清洗后明细!A:A,"2026-03",清洗后明细!E:E,"零犀岐力",清洗后明细!D:D,"人机")/SUMIFS(清洗后明细!N:N,清洗后明细!A:A,"2026-03",清洗后明细!E:E,"零犀岐力",清洗后明细!D:D,"人机"),"")</f>
        <v/>
      </c>
      <c r="F35" s="11">
        <f>IF(SUMIFS(清洗后明细!M:M,清洗后明细!A:A,"2026-03",清洗后明细!E:E,"零犀岐力",清洗后明细!D:D,"人机")&gt;0,SUMIFS(清洗后明细!M:M,清洗后明细!A:A,"2026-03",清洗后明细!E:E,"零犀岐力",清洗后明细!D:D,"人机")/SUMIFS(清洗后明细!N:N,清洗后明细!A:A,"2026-03",清洗后明细!E:E,"零犀岐力",清洗后明细!D:D,"人机")*0.7,"")</f>
        <v/>
      </c>
      <c r="G35" s="12">
        <f>IF(SUMIFS(清洗后明细!L:L,清洗后明细!A:A,"2026-03",清洗后明细!E:E,"零犀岐力",清洗后明细!D:D,"人机")&gt;0,SUMIFS(清洗后明细!I:I,清洗后明细!A:A,"2026-03",清洗后明细!E:E,"零犀岐力",清洗后明细!D:D,"人机")/SUMIFS(清洗后明细!L:L,清洗后明细!A:A,"2026-03",清洗后明细!E:E,"零犀岐力",清洗后明细!D:D,"人机")*100,"")</f>
        <v/>
      </c>
      <c r="H35" s="13">
        <f>IF(SUMIFS(清洗后明细!F:F,清洗后明细!A:A,"2026-03",清洗后明细!E:E,"零犀岐力",清洗后明细!D:D,"人机")&gt;0,SUMIFS(清洗后明细!G:G,清洗后明细!A:A,"2026-03",清洗后明细!E:E,"零犀岐力",清洗后明细!D:D,"人机")/SUMIFS(清洗后明细!F:F,清洗后明细!A:A,"2026-03",清洗后明细!E:E,"零犀岐力",清洗后明细!D:D,"人机")*100,"")</f>
        <v/>
      </c>
      <c r="I35" s="11">
        <f>IF(SUMIFS(清洗后明细!G:G,清洗后明细!A:A,"2026-03",清洗后明细!E:E,"零犀岐力",清洗后明细!D:D,"人机")&gt;0,SUMIFS(清洗后明细!H:H,清洗后明细!A:A,"2026-03",清洗后明细!E:E,"零犀岐力",清洗后明细!D:D,"人机")/SUMIFS(清洗后明细!G:G,清洗后明细!A:A,"2026-03",清洗后明细!E:E,"零犀岐力",清洗后明细!D:D,"人机"),"")</f>
        <v/>
      </c>
    </row>
    <row r="36">
      <c r="A36" t="inlineStr">
        <is>
          <t>零犀岐力</t>
        </is>
      </c>
      <c r="B36" t="inlineStr">
        <is>
          <t>2026-04</t>
        </is>
      </c>
      <c r="C36" s="11">
        <f>SUMIFS(清洗后明细!M:M,清洗后明细!A:A,"2026-04",清洗后明细!E:E,"零犀岐力",清洗后明细!D:D,"人机")</f>
        <v/>
      </c>
      <c r="D36" s="11">
        <f>SUMIFS(清洗后明细!N:N,清洗后明细!A:A,"2026-04",清洗后明细!E:E,"零犀岐力",清洗后明细!D:D,"人机")</f>
        <v/>
      </c>
      <c r="E36" s="11">
        <f>IF(SUMIFS(清洗后明细!M:M,清洗后明细!A:A,"2026-04",清洗后明细!E:E,"零犀岐力",清洗后明细!D:D,"人机")&gt;0,SUMIFS(清洗后明细!M:M,清洗后明细!A:A,"2026-04",清洗后明细!E:E,"零犀岐力",清洗后明细!D:D,"人机")/SUMIFS(清洗后明细!N:N,清洗后明细!A:A,"2026-04",清洗后明细!E:E,"零犀岐力",清洗后明细!D:D,"人机"),"")</f>
        <v/>
      </c>
      <c r="F36" s="11">
        <f>IF(SUMIFS(清洗后明细!M:M,清洗后明细!A:A,"2026-04",清洗后明细!E:E,"零犀岐力",清洗后明细!D:D,"人机")&gt;0,SUMIFS(清洗后明细!M:M,清洗后明细!A:A,"2026-04",清洗后明细!E:E,"零犀岐力",清洗后明细!D:D,"人机")/SUMIFS(清洗后明细!N:N,清洗后明细!A:A,"2026-04",清洗后明细!E:E,"零犀岐力",清洗后明细!D:D,"人机")*0.7,"")</f>
        <v/>
      </c>
      <c r="G36" s="12">
        <f>IF(SUMIFS(清洗后明细!L:L,清洗后明细!A:A,"2026-04",清洗后明细!E:E,"零犀岐力",清洗后明细!D:D,"人机")&gt;0,SUMIFS(清洗后明细!I:I,清洗后明细!A:A,"2026-04",清洗后明细!E:E,"零犀岐力",清洗后明细!D:D,"人机")/SUMIFS(清洗后明细!L:L,清洗后明细!A:A,"2026-04",清洗后明细!E:E,"零犀岐力",清洗后明细!D:D,"人机")*100,"")</f>
        <v/>
      </c>
      <c r="H36" s="13">
        <f>IF(SUMIFS(清洗后明细!F:F,清洗后明细!A:A,"2026-04",清洗后明细!E:E,"零犀岐力",清洗后明细!D:D,"人机")&gt;0,SUMIFS(清洗后明细!G:G,清洗后明细!A:A,"2026-04",清洗后明细!E:E,"零犀岐力",清洗后明细!D:D,"人机")/SUMIFS(清洗后明细!F:F,清洗后明细!A:A,"2026-04",清洗后明细!E:E,"零犀岐力",清洗后明细!D:D,"人机")*100,"")</f>
        <v/>
      </c>
      <c r="I36" s="11">
        <f>IF(SUMIFS(清洗后明细!G:G,清洗后明细!A:A,"2026-04",清洗后明细!E:E,"零犀岐力",清洗后明细!D:D,"人机")&gt;0,SUMIFS(清洗后明细!H:H,清洗后明细!A:A,"2026-04",清洗后明细!E:E,"零犀岐力",清洗后明细!D:D,"人机")/SUMIFS(清洗后明细!G:G,清洗后明细!A:A,"2026-04",清洗后明细!E:E,"零犀岐力",清洗后明细!D:D,"人机"),"")</f>
        <v/>
      </c>
    </row>
    <row r="37">
      <c r="A37" t="inlineStr">
        <is>
          <t>零犀岐力</t>
        </is>
      </c>
      <c r="B37" t="inlineStr">
        <is>
          <t>2026-05</t>
        </is>
      </c>
      <c r="C37" s="11">
        <f>SUMIFS(清洗后明细!M:M,清洗后明细!A:A,"2026-05",清洗后明细!E:E,"零犀岐力",清洗后明细!D:D,"人机")</f>
        <v/>
      </c>
      <c r="D37" s="11">
        <f>SUMIFS(清洗后明细!N:N,清洗后明细!A:A,"2026-05",清洗后明细!E:E,"零犀岐力",清洗后明细!D:D,"人机")</f>
        <v/>
      </c>
      <c r="E37" s="11">
        <f>IF(SUMIFS(清洗后明细!M:M,清洗后明细!A:A,"2026-05",清洗后明细!E:E,"零犀岐力",清洗后明细!D:D,"人机")&gt;0,SUMIFS(清洗后明细!M:M,清洗后明细!A:A,"2026-05",清洗后明细!E:E,"零犀岐力",清洗后明细!D:D,"人机")/SUMIFS(清洗后明细!N:N,清洗后明细!A:A,"2026-05",清洗后明细!E:E,"零犀岐力",清洗后明细!D:D,"人机"),"")</f>
        <v/>
      </c>
      <c r="F37" s="11">
        <f>IF(SUMIFS(清洗后明细!M:M,清洗后明细!A:A,"2026-05",清洗后明细!E:E,"零犀岐力",清洗后明细!D:D,"人机")&gt;0,SUMIFS(清洗后明细!M:M,清洗后明细!A:A,"2026-05",清洗后明细!E:E,"零犀岐力",清洗后明细!D:D,"人机")/SUMIFS(清洗后明细!N:N,清洗后明细!A:A,"2026-05",清洗后明细!E:E,"零犀岐力",清洗后明细!D:D,"人机")*0.7,"")</f>
        <v/>
      </c>
      <c r="G37" s="12">
        <f>IF(SUMIFS(清洗后明细!L:L,清洗后明细!A:A,"2026-05",清洗后明细!E:E,"零犀岐力",清洗后明细!D:D,"人机")&gt;0,SUMIFS(清洗后明细!I:I,清洗后明细!A:A,"2026-05",清洗后明细!E:E,"零犀岐力",清洗后明细!D:D,"人机")/SUMIFS(清洗后明细!L:L,清洗后明细!A:A,"2026-05",清洗后明细!E:E,"零犀岐力",清洗后明细!D:D,"人机")*100,"")</f>
        <v/>
      </c>
      <c r="H37" s="13">
        <f>IF(SUMIFS(清洗后明细!F:F,清洗后明细!A:A,"2026-05",清洗后明细!E:E,"零犀岐力",清洗后明细!D:D,"人机")&gt;0,SUMIFS(清洗后明细!G:G,清洗后明细!A:A,"2026-05",清洗后明细!E:E,"零犀岐力",清洗后明细!D:D,"人机")/SUMIFS(清洗后明细!F:F,清洗后明细!A:A,"2026-05",清洗后明细!E:E,"零犀岐力",清洗后明细!D:D,"人机")*100,"")</f>
        <v/>
      </c>
      <c r="I37" s="11">
        <f>IF(SUMIFS(清洗后明细!G:G,清洗后明细!A:A,"2026-05",清洗后明细!E:E,"零犀岐力",清洗后明细!D:D,"人机")&gt;0,SUMIFS(清洗后明细!H:H,清洗后明细!A:A,"2026-05",清洗后明细!E:E,"零犀岐力",清洗后明细!D:D,"人机")/SUMIFS(清洗后明细!G:G,清洗后明细!A:A,"2026-05",清洗后明细!E:E,"零犀岐力",清洗后明细!D:D,"人机"),"")</f>
        <v/>
      </c>
    </row>
    <row r="38">
      <c r="A38" t="inlineStr">
        <is>
          <t>零犀岐力</t>
        </is>
      </c>
      <c r="B38" t="inlineStr">
        <is>
          <t>2026-06</t>
        </is>
      </c>
      <c r="C38" s="11">
        <f>SUMIFS(清洗后明细!M:M,清洗后明细!A:A,"2026-06",清洗后明细!E:E,"零犀岐力",清洗后明细!D:D,"人机")</f>
        <v/>
      </c>
      <c r="D38" s="11">
        <f>SUMIFS(清洗后明细!N:N,清洗后明细!A:A,"2026-06",清洗后明细!E:E,"零犀岐力",清洗后明细!D:D,"人机")</f>
        <v/>
      </c>
      <c r="E38" s="11">
        <f>IF(SUMIFS(清洗后明细!M:M,清洗后明细!A:A,"2026-06",清洗后明细!E:E,"零犀岐力",清洗后明细!D:D,"人机")&gt;0,SUMIFS(清洗后明细!M:M,清洗后明细!A:A,"2026-06",清洗后明细!E:E,"零犀岐力",清洗后明细!D:D,"人机")/SUMIFS(清洗后明细!N:N,清洗后明细!A:A,"2026-06",清洗后明细!E:E,"零犀岐力",清洗后明细!D:D,"人机"),"")</f>
        <v/>
      </c>
      <c r="F38" s="11">
        <f>IF(SUMIFS(清洗后明细!M:M,清洗后明细!A:A,"2026-06",清洗后明细!E:E,"零犀岐力",清洗后明细!D:D,"人机")&gt;0,SUMIFS(清洗后明细!M:M,清洗后明细!A:A,"2026-06",清洗后明细!E:E,"零犀岐力",清洗后明细!D:D,"人机")/SUMIFS(清洗后明细!N:N,清洗后明细!A:A,"2026-06",清洗后明细!E:E,"零犀岐力",清洗后明细!D:D,"人机")*0.7,"")</f>
        <v/>
      </c>
      <c r="G38" s="12">
        <f>IF(SUMIFS(清洗后明细!L:L,清洗后明细!A:A,"2026-06",清洗后明细!E:E,"零犀岐力",清洗后明细!D:D,"人机")&gt;0,SUMIFS(清洗后明细!I:I,清洗后明细!A:A,"2026-06",清洗后明细!E:E,"零犀岐力",清洗后明细!D:D,"人机")/SUMIFS(清洗后明细!L:L,清洗后明细!A:A,"2026-06",清洗后明细!E:E,"零犀岐力",清洗后明细!D:D,"人机")*100,"")</f>
        <v/>
      </c>
      <c r="H38" s="13">
        <f>IF(SUMIFS(清洗后明细!F:F,清洗后明细!A:A,"2026-06",清洗后明细!E:E,"零犀岐力",清洗后明细!D:D,"人机")&gt;0,SUMIFS(清洗后明细!G:G,清洗后明细!A:A,"2026-06",清洗后明细!E:E,"零犀岐力",清洗后明细!D:D,"人机")/SUMIFS(清洗后明细!F:F,清洗后明细!A:A,"2026-06",清洗后明细!E:E,"零犀岐力",清洗后明细!D:D,"人机")*100,"")</f>
        <v/>
      </c>
      <c r="I38" s="11">
        <f>IF(SUMIFS(清洗后明细!G:G,清洗后明细!A:A,"2026-06",清洗后明细!E:E,"零犀岐力",清洗后明细!D:D,"人机")&gt;0,SUMIFS(清洗后明细!H:H,清洗后明细!A:A,"2026-06",清洗后明细!E:E,"零犀岐力",清洗后明细!D:D,"人机")/SUMIFS(清洗后明细!G:G,清洗后明细!A:A,"2026-06",清洗后明细!E:E,"零犀岐力",清洗后明细!D:D,"人机"),"")</f>
        <v/>
      </c>
    </row>
    <row r="39">
      <c r="A39" t="inlineStr">
        <is>
          <t>零犀毅航</t>
        </is>
      </c>
      <c r="B39" t="inlineStr">
        <is>
          <t>2025-12</t>
        </is>
      </c>
      <c r="C39" s="11">
        <f>SUMIFS(清洗后明细!M:M,清洗后明细!A:A,"2025-12",清洗后明细!E:E,"零犀毅航",清洗后明细!D:D,"人机")</f>
        <v/>
      </c>
      <c r="D39" s="11">
        <f>SUMIFS(清洗后明细!N:N,清洗后明细!A:A,"2025-12",清洗后明细!E:E,"零犀毅航",清洗后明细!D:D,"人机")</f>
        <v/>
      </c>
      <c r="E39" s="11">
        <f>IF(SUMIFS(清洗后明细!M:M,清洗后明细!A:A,"2025-12",清洗后明细!E:E,"零犀毅航",清洗后明细!D:D,"人机")&gt;0,SUMIFS(清洗后明细!M:M,清洗后明细!A:A,"2025-12",清洗后明细!E:E,"零犀毅航",清洗后明细!D:D,"人机")/SUMIFS(清洗后明细!N:N,清洗后明细!A:A,"2025-12",清洗后明细!E:E,"零犀毅航",清洗后明细!D:D,"人机"),"")</f>
        <v/>
      </c>
      <c r="F39" s="11">
        <f>IF(SUMIFS(清洗后明细!M:M,清洗后明细!A:A,"2025-12",清洗后明细!E:E,"零犀毅航",清洗后明细!D:D,"人机")&gt;0,SUMIFS(清洗后明细!M:M,清洗后明细!A:A,"2025-12",清洗后明细!E:E,"零犀毅航",清洗后明细!D:D,"人机")/SUMIFS(清洗后明细!N:N,清洗后明细!A:A,"2025-12",清洗后明细!E:E,"零犀毅航",清洗后明细!D:D,"人机")*0.7,"")</f>
        <v/>
      </c>
      <c r="G39" s="12">
        <f>IF(SUMIFS(清洗后明细!L:L,清洗后明细!A:A,"2025-12",清洗后明细!E:E,"零犀毅航",清洗后明细!D:D,"人机")&gt;0,SUMIFS(清洗后明细!I:I,清洗后明细!A:A,"2025-12",清洗后明细!E:E,"零犀毅航",清洗后明细!D:D,"人机")/SUMIFS(清洗后明细!L:L,清洗后明细!A:A,"2025-12",清洗后明细!E:E,"零犀毅航",清洗后明细!D:D,"人机")*100,"")</f>
        <v/>
      </c>
      <c r="H39" s="13">
        <f>IF(SUMIFS(清洗后明细!F:F,清洗后明细!A:A,"2025-12",清洗后明细!E:E,"零犀毅航",清洗后明细!D:D,"人机")&gt;0,SUMIFS(清洗后明细!G:G,清洗后明细!A:A,"2025-12",清洗后明细!E:E,"零犀毅航",清洗后明细!D:D,"人机")/SUMIFS(清洗后明细!F:F,清洗后明细!A:A,"2025-12",清洗后明细!E:E,"零犀毅航",清洗后明细!D:D,"人机")*100,"")</f>
        <v/>
      </c>
      <c r="I39" s="11">
        <f>IF(SUMIFS(清洗后明细!G:G,清洗后明细!A:A,"2025-12",清洗后明细!E:E,"零犀毅航",清洗后明细!D:D,"人机")&gt;0,SUMIFS(清洗后明细!H:H,清洗后明细!A:A,"2025-12",清洗后明细!E:E,"零犀毅航",清洗后明细!D:D,"人机")/SUMIFS(清洗后明细!G:G,清洗后明细!A:A,"2025-12",清洗后明细!E:E,"零犀毅航",清洗后明细!D:D,"人机"),"")</f>
        <v/>
      </c>
    </row>
    <row r="40">
      <c r="A40" t="inlineStr">
        <is>
          <t>零犀毅航</t>
        </is>
      </c>
      <c r="B40" t="inlineStr">
        <is>
          <t>2026-01</t>
        </is>
      </c>
      <c r="C40" s="11">
        <f>SUMIFS(清洗后明细!M:M,清洗后明细!A:A,"2026-01",清洗后明细!E:E,"零犀毅航",清洗后明细!D:D,"人机")</f>
        <v/>
      </c>
      <c r="D40" s="11">
        <f>SUMIFS(清洗后明细!N:N,清洗后明细!A:A,"2026-01",清洗后明细!E:E,"零犀毅航",清洗后明细!D:D,"人机")</f>
        <v/>
      </c>
      <c r="E40" s="11">
        <f>IF(SUMIFS(清洗后明细!M:M,清洗后明细!A:A,"2026-01",清洗后明细!E:E,"零犀毅航",清洗后明细!D:D,"人机")&gt;0,SUMIFS(清洗后明细!M:M,清洗后明细!A:A,"2026-01",清洗后明细!E:E,"零犀毅航",清洗后明细!D:D,"人机")/SUMIFS(清洗后明细!N:N,清洗后明细!A:A,"2026-01",清洗后明细!E:E,"零犀毅航",清洗后明细!D:D,"人机"),"")</f>
        <v/>
      </c>
      <c r="F40" s="11">
        <f>IF(SUMIFS(清洗后明细!M:M,清洗后明细!A:A,"2026-01",清洗后明细!E:E,"零犀毅航",清洗后明细!D:D,"人机")&gt;0,SUMIFS(清洗后明细!M:M,清洗后明细!A:A,"2026-01",清洗后明细!E:E,"零犀毅航",清洗后明细!D:D,"人机")/SUMIFS(清洗后明细!N:N,清洗后明细!A:A,"2026-01",清洗后明细!E:E,"零犀毅航",清洗后明细!D:D,"人机")*0.7,"")</f>
        <v/>
      </c>
      <c r="G40" s="12">
        <f>IF(SUMIFS(清洗后明细!L:L,清洗后明细!A:A,"2026-01",清洗后明细!E:E,"零犀毅航",清洗后明细!D:D,"人机")&gt;0,SUMIFS(清洗后明细!I:I,清洗后明细!A:A,"2026-01",清洗后明细!E:E,"零犀毅航",清洗后明细!D:D,"人机")/SUMIFS(清洗后明细!L:L,清洗后明细!A:A,"2026-01",清洗后明细!E:E,"零犀毅航",清洗后明细!D:D,"人机")*100,"")</f>
        <v/>
      </c>
      <c r="H40" s="13">
        <f>IF(SUMIFS(清洗后明细!F:F,清洗后明细!A:A,"2026-01",清洗后明细!E:E,"零犀毅航",清洗后明细!D:D,"人机")&gt;0,SUMIFS(清洗后明细!G:G,清洗后明细!A:A,"2026-01",清洗后明细!E:E,"零犀毅航",清洗后明细!D:D,"人机")/SUMIFS(清洗后明细!F:F,清洗后明细!A:A,"2026-01",清洗后明细!E:E,"零犀毅航",清洗后明细!D:D,"人机")*100,"")</f>
        <v/>
      </c>
      <c r="I40" s="11">
        <f>IF(SUMIFS(清洗后明细!G:G,清洗后明细!A:A,"2026-01",清洗后明细!E:E,"零犀毅航",清洗后明细!D:D,"人机")&gt;0,SUMIFS(清洗后明细!H:H,清洗后明细!A:A,"2026-01",清洗后明细!E:E,"零犀毅航",清洗后明细!D:D,"人机")/SUMIFS(清洗后明细!G:G,清洗后明细!A:A,"2026-01",清洗后明细!E:E,"零犀毅航",清洗后明细!D:D,"人机"),"")</f>
        <v/>
      </c>
    </row>
    <row r="41">
      <c r="A41" t="inlineStr">
        <is>
          <t>零犀毅航</t>
        </is>
      </c>
      <c r="B41" t="inlineStr">
        <is>
          <t>2026-02</t>
        </is>
      </c>
      <c r="C41" s="11">
        <f>SUMIFS(清洗后明细!M:M,清洗后明细!A:A,"2026-02",清洗后明细!E:E,"零犀毅航",清洗后明细!D:D,"人机")</f>
        <v/>
      </c>
      <c r="D41" s="11">
        <f>SUMIFS(清洗后明细!N:N,清洗后明细!A:A,"2026-02",清洗后明细!E:E,"零犀毅航",清洗后明细!D:D,"人机")</f>
        <v/>
      </c>
      <c r="E41" s="11">
        <f>IF(SUMIFS(清洗后明细!M:M,清洗后明细!A:A,"2026-02",清洗后明细!E:E,"零犀毅航",清洗后明细!D:D,"人机")&gt;0,SUMIFS(清洗后明细!M:M,清洗后明细!A:A,"2026-02",清洗后明细!E:E,"零犀毅航",清洗后明细!D:D,"人机")/SUMIFS(清洗后明细!N:N,清洗后明细!A:A,"2026-02",清洗后明细!E:E,"零犀毅航",清洗后明细!D:D,"人机"),"")</f>
        <v/>
      </c>
      <c r="F41" s="11">
        <f>IF(SUMIFS(清洗后明细!M:M,清洗后明细!A:A,"2026-02",清洗后明细!E:E,"零犀毅航",清洗后明细!D:D,"人机")&gt;0,SUMIFS(清洗后明细!M:M,清洗后明细!A:A,"2026-02",清洗后明细!E:E,"零犀毅航",清洗后明细!D:D,"人机")/SUMIFS(清洗后明细!N:N,清洗后明细!A:A,"2026-02",清洗后明细!E:E,"零犀毅航",清洗后明细!D:D,"人机")*0.7,"")</f>
        <v/>
      </c>
      <c r="G41" s="12">
        <f>IF(SUMIFS(清洗后明细!L:L,清洗后明细!A:A,"2026-02",清洗后明细!E:E,"零犀毅航",清洗后明细!D:D,"人机")&gt;0,SUMIFS(清洗后明细!I:I,清洗后明细!A:A,"2026-02",清洗后明细!E:E,"零犀毅航",清洗后明细!D:D,"人机")/SUMIFS(清洗后明细!L:L,清洗后明细!A:A,"2026-02",清洗后明细!E:E,"零犀毅航",清洗后明细!D:D,"人机")*100,"")</f>
        <v/>
      </c>
      <c r="H41" s="13">
        <f>IF(SUMIFS(清洗后明细!F:F,清洗后明细!A:A,"2026-02",清洗后明细!E:E,"零犀毅航",清洗后明细!D:D,"人机")&gt;0,SUMIFS(清洗后明细!G:G,清洗后明细!A:A,"2026-02",清洗后明细!E:E,"零犀毅航",清洗后明细!D:D,"人机")/SUMIFS(清洗后明细!F:F,清洗后明细!A:A,"2026-02",清洗后明细!E:E,"零犀毅航",清洗后明细!D:D,"人机")*100,"")</f>
        <v/>
      </c>
      <c r="I41" s="11">
        <f>IF(SUMIFS(清洗后明细!G:G,清洗后明细!A:A,"2026-02",清洗后明细!E:E,"零犀毅航",清洗后明细!D:D,"人机")&gt;0,SUMIFS(清洗后明细!H:H,清洗后明细!A:A,"2026-02",清洗后明细!E:E,"零犀毅航",清洗后明细!D:D,"人机")/SUMIFS(清洗后明细!G:G,清洗后明细!A:A,"2026-02",清洗后明细!E:E,"零犀毅航",清洗后明细!D:D,"人机"),"")</f>
        <v/>
      </c>
    </row>
    <row r="42">
      <c r="A42" t="inlineStr">
        <is>
          <t>零犀毅航</t>
        </is>
      </c>
      <c r="B42" t="inlineStr">
        <is>
          <t>2026-03</t>
        </is>
      </c>
      <c r="C42" s="11">
        <f>SUMIFS(清洗后明细!M:M,清洗后明细!A:A,"2026-03",清洗后明细!E:E,"零犀毅航",清洗后明细!D:D,"人机")</f>
        <v/>
      </c>
      <c r="D42" s="11">
        <f>SUMIFS(清洗后明细!N:N,清洗后明细!A:A,"2026-03",清洗后明细!E:E,"零犀毅航",清洗后明细!D:D,"人机")</f>
        <v/>
      </c>
      <c r="E42" s="11">
        <f>IF(SUMIFS(清洗后明细!M:M,清洗后明细!A:A,"2026-03",清洗后明细!E:E,"零犀毅航",清洗后明细!D:D,"人机")&gt;0,SUMIFS(清洗后明细!M:M,清洗后明细!A:A,"2026-03",清洗后明细!E:E,"零犀毅航",清洗后明细!D:D,"人机")/SUMIFS(清洗后明细!N:N,清洗后明细!A:A,"2026-03",清洗后明细!E:E,"零犀毅航",清洗后明细!D:D,"人机"),"")</f>
        <v/>
      </c>
      <c r="F42" s="11">
        <f>IF(SUMIFS(清洗后明细!M:M,清洗后明细!A:A,"2026-03",清洗后明细!E:E,"零犀毅航",清洗后明细!D:D,"人机")&gt;0,SUMIFS(清洗后明细!M:M,清洗后明细!A:A,"2026-03",清洗后明细!E:E,"零犀毅航",清洗后明细!D:D,"人机")/SUMIFS(清洗后明细!N:N,清洗后明细!A:A,"2026-03",清洗后明细!E:E,"零犀毅航",清洗后明细!D:D,"人机")*0.7,"")</f>
        <v/>
      </c>
      <c r="G42" s="12">
        <f>IF(SUMIFS(清洗后明细!L:L,清洗后明细!A:A,"2026-03",清洗后明细!E:E,"零犀毅航",清洗后明细!D:D,"人机")&gt;0,SUMIFS(清洗后明细!I:I,清洗后明细!A:A,"2026-03",清洗后明细!E:E,"零犀毅航",清洗后明细!D:D,"人机")/SUMIFS(清洗后明细!L:L,清洗后明细!A:A,"2026-03",清洗后明细!E:E,"零犀毅航",清洗后明细!D:D,"人机")*100,"")</f>
        <v/>
      </c>
      <c r="H42" s="13">
        <f>IF(SUMIFS(清洗后明细!F:F,清洗后明细!A:A,"2026-03",清洗后明细!E:E,"零犀毅航",清洗后明细!D:D,"人机")&gt;0,SUMIFS(清洗后明细!G:G,清洗后明细!A:A,"2026-03",清洗后明细!E:E,"零犀毅航",清洗后明细!D:D,"人机")/SUMIFS(清洗后明细!F:F,清洗后明细!A:A,"2026-03",清洗后明细!E:E,"零犀毅航",清洗后明细!D:D,"人机")*100,"")</f>
        <v/>
      </c>
      <c r="I42" s="11">
        <f>IF(SUMIFS(清洗后明细!G:G,清洗后明细!A:A,"2026-03",清洗后明细!E:E,"零犀毅航",清洗后明细!D:D,"人机")&gt;0,SUMIFS(清洗后明细!H:H,清洗后明细!A:A,"2026-03",清洗后明细!E:E,"零犀毅航",清洗后明细!D:D,"人机")/SUMIFS(清洗后明细!G:G,清洗后明细!A:A,"2026-03",清洗后明细!E:E,"零犀毅航",清洗后明细!D:D,"人机"),"")</f>
        <v/>
      </c>
    </row>
    <row r="43">
      <c r="A43" t="inlineStr">
        <is>
          <t>零犀毅航</t>
        </is>
      </c>
      <c r="B43" t="inlineStr">
        <is>
          <t>2026-04</t>
        </is>
      </c>
      <c r="C43" s="11">
        <f>SUMIFS(清洗后明细!M:M,清洗后明细!A:A,"2026-04",清洗后明细!E:E,"零犀毅航",清洗后明细!D:D,"人机")</f>
        <v/>
      </c>
      <c r="D43" s="11">
        <f>SUMIFS(清洗后明细!N:N,清洗后明细!A:A,"2026-04",清洗后明细!E:E,"零犀毅航",清洗后明细!D:D,"人机")</f>
        <v/>
      </c>
      <c r="E43" s="11">
        <f>IF(SUMIFS(清洗后明细!M:M,清洗后明细!A:A,"2026-04",清洗后明细!E:E,"零犀毅航",清洗后明细!D:D,"人机")&gt;0,SUMIFS(清洗后明细!M:M,清洗后明细!A:A,"2026-04",清洗后明细!E:E,"零犀毅航",清洗后明细!D:D,"人机")/SUMIFS(清洗后明细!N:N,清洗后明细!A:A,"2026-04",清洗后明细!E:E,"零犀毅航",清洗后明细!D:D,"人机"),"")</f>
        <v/>
      </c>
      <c r="F43" s="11">
        <f>IF(SUMIFS(清洗后明细!M:M,清洗后明细!A:A,"2026-04",清洗后明细!E:E,"零犀毅航",清洗后明细!D:D,"人机")&gt;0,SUMIFS(清洗后明细!M:M,清洗后明细!A:A,"2026-04",清洗后明细!E:E,"零犀毅航",清洗后明细!D:D,"人机")/SUMIFS(清洗后明细!N:N,清洗后明细!A:A,"2026-04",清洗后明细!E:E,"零犀毅航",清洗后明细!D:D,"人机")*0.7,"")</f>
        <v/>
      </c>
      <c r="G43" s="12">
        <f>IF(SUMIFS(清洗后明细!L:L,清洗后明细!A:A,"2026-04",清洗后明细!E:E,"零犀毅航",清洗后明细!D:D,"人机")&gt;0,SUMIFS(清洗后明细!I:I,清洗后明细!A:A,"2026-04",清洗后明细!E:E,"零犀毅航",清洗后明细!D:D,"人机")/SUMIFS(清洗后明细!L:L,清洗后明细!A:A,"2026-04",清洗后明细!E:E,"零犀毅航",清洗后明细!D:D,"人机")*100,"")</f>
        <v/>
      </c>
      <c r="H43" s="13">
        <f>IF(SUMIFS(清洗后明细!F:F,清洗后明细!A:A,"2026-04",清洗后明细!E:E,"零犀毅航",清洗后明细!D:D,"人机")&gt;0,SUMIFS(清洗后明细!G:G,清洗后明细!A:A,"2026-04",清洗后明细!E:E,"零犀毅航",清洗后明细!D:D,"人机")/SUMIFS(清洗后明细!F:F,清洗后明细!A:A,"2026-04",清洗后明细!E:E,"零犀毅航",清洗后明细!D:D,"人机")*100,"")</f>
        <v/>
      </c>
      <c r="I43" s="11">
        <f>IF(SUMIFS(清洗后明细!G:G,清洗后明细!A:A,"2026-04",清洗后明细!E:E,"零犀毅航",清洗后明细!D:D,"人机")&gt;0,SUMIFS(清洗后明细!H:H,清洗后明细!A:A,"2026-04",清洗后明细!E:E,"零犀毅航",清洗后明细!D:D,"人机")/SUMIFS(清洗后明细!G:G,清洗后明细!A:A,"2026-04",清洗后明细!E:E,"零犀毅航",清洗后明细!D:D,"人机"),"")</f>
        <v/>
      </c>
    </row>
    <row r="44">
      <c r="A44" t="inlineStr">
        <is>
          <t>零犀毅航</t>
        </is>
      </c>
      <c r="B44" t="inlineStr">
        <is>
          <t>2026-05</t>
        </is>
      </c>
      <c r="C44" s="11">
        <f>SUMIFS(清洗后明细!M:M,清洗后明细!A:A,"2026-05",清洗后明细!E:E,"零犀毅航",清洗后明细!D:D,"人机")</f>
        <v/>
      </c>
      <c r="D44" s="11">
        <f>SUMIFS(清洗后明细!N:N,清洗后明细!A:A,"2026-05",清洗后明细!E:E,"零犀毅航",清洗后明细!D:D,"人机")</f>
        <v/>
      </c>
      <c r="E44" s="11">
        <f>IF(SUMIFS(清洗后明细!M:M,清洗后明细!A:A,"2026-05",清洗后明细!E:E,"零犀毅航",清洗后明细!D:D,"人机")&gt;0,SUMIFS(清洗后明细!M:M,清洗后明细!A:A,"2026-05",清洗后明细!E:E,"零犀毅航",清洗后明细!D:D,"人机")/SUMIFS(清洗后明细!N:N,清洗后明细!A:A,"2026-05",清洗后明细!E:E,"零犀毅航",清洗后明细!D:D,"人机"),"")</f>
        <v/>
      </c>
      <c r="F44" s="11">
        <f>IF(SUMIFS(清洗后明细!M:M,清洗后明细!A:A,"2026-05",清洗后明细!E:E,"零犀毅航",清洗后明细!D:D,"人机")&gt;0,SUMIFS(清洗后明细!M:M,清洗后明细!A:A,"2026-05",清洗后明细!E:E,"零犀毅航",清洗后明细!D:D,"人机")/SUMIFS(清洗后明细!N:N,清洗后明细!A:A,"2026-05",清洗后明细!E:E,"零犀毅航",清洗后明细!D:D,"人机")*0.7,"")</f>
        <v/>
      </c>
      <c r="G44" s="12">
        <f>IF(SUMIFS(清洗后明细!L:L,清洗后明细!A:A,"2026-05",清洗后明细!E:E,"零犀毅航",清洗后明细!D:D,"人机")&gt;0,SUMIFS(清洗后明细!I:I,清洗后明细!A:A,"2026-05",清洗后明细!E:E,"零犀毅航",清洗后明细!D:D,"人机")/SUMIFS(清洗后明细!L:L,清洗后明细!A:A,"2026-05",清洗后明细!E:E,"零犀毅航",清洗后明细!D:D,"人机")*100,"")</f>
        <v/>
      </c>
      <c r="H44" s="13">
        <f>IF(SUMIFS(清洗后明细!F:F,清洗后明细!A:A,"2026-05",清洗后明细!E:E,"零犀毅航",清洗后明细!D:D,"人机")&gt;0,SUMIFS(清洗后明细!G:G,清洗后明细!A:A,"2026-05",清洗后明细!E:E,"零犀毅航",清洗后明细!D:D,"人机")/SUMIFS(清洗后明细!F:F,清洗后明细!A:A,"2026-05",清洗后明细!E:E,"零犀毅航",清洗后明细!D:D,"人机")*100,"")</f>
        <v/>
      </c>
      <c r="I44" s="11">
        <f>IF(SUMIFS(清洗后明细!G:G,清洗后明细!A:A,"2026-05",清洗后明细!E:E,"零犀毅航",清洗后明细!D:D,"人机")&gt;0,SUMIFS(清洗后明细!H:H,清洗后明细!A:A,"2026-05",清洗后明细!E:E,"零犀毅航",清洗后明细!D:D,"人机")/SUMIFS(清洗后明细!G:G,清洗后明细!A:A,"2026-05",清洗后明细!E:E,"零犀毅航",清洗后明细!D:D,"人机"),"")</f>
        <v/>
      </c>
    </row>
    <row r="45">
      <c r="A45" t="inlineStr">
        <is>
          <t>零犀毅航</t>
        </is>
      </c>
      <c r="B45" t="inlineStr">
        <is>
          <t>2026-06</t>
        </is>
      </c>
      <c r="C45" s="11">
        <f>SUMIFS(清洗后明细!M:M,清洗后明细!A:A,"2026-06",清洗后明细!E:E,"零犀毅航",清洗后明细!D:D,"人机")</f>
        <v/>
      </c>
      <c r="D45" s="11">
        <f>SUMIFS(清洗后明细!N:N,清洗后明细!A:A,"2026-06",清洗后明细!E:E,"零犀毅航",清洗后明细!D:D,"人机")</f>
        <v/>
      </c>
      <c r="E45" s="11">
        <f>IF(SUMIFS(清洗后明细!M:M,清洗后明细!A:A,"2026-06",清洗后明细!E:E,"零犀毅航",清洗后明细!D:D,"人机")&gt;0,SUMIFS(清洗后明细!M:M,清洗后明细!A:A,"2026-06",清洗后明细!E:E,"零犀毅航",清洗后明细!D:D,"人机")/SUMIFS(清洗后明细!N:N,清洗后明细!A:A,"2026-06",清洗后明细!E:E,"零犀毅航",清洗后明细!D:D,"人机"),"")</f>
        <v/>
      </c>
      <c r="F45" s="11">
        <f>IF(SUMIFS(清洗后明细!M:M,清洗后明细!A:A,"2026-06",清洗后明细!E:E,"零犀毅航",清洗后明细!D:D,"人机")&gt;0,SUMIFS(清洗后明细!M:M,清洗后明细!A:A,"2026-06",清洗后明细!E:E,"零犀毅航",清洗后明细!D:D,"人机")/SUMIFS(清洗后明细!N:N,清洗后明细!A:A,"2026-06",清洗后明细!E:E,"零犀毅航",清洗后明细!D:D,"人机")*0.7,"")</f>
        <v/>
      </c>
      <c r="G45" s="12">
        <f>IF(SUMIFS(清洗后明细!L:L,清洗后明细!A:A,"2026-06",清洗后明细!E:E,"零犀毅航",清洗后明细!D:D,"人机")&gt;0,SUMIFS(清洗后明细!I:I,清洗后明细!A:A,"2026-06",清洗后明细!E:E,"零犀毅航",清洗后明细!D:D,"人机")/SUMIFS(清洗后明细!L:L,清洗后明细!A:A,"2026-06",清洗后明细!E:E,"零犀毅航",清洗后明细!D:D,"人机")*100,"")</f>
        <v/>
      </c>
      <c r="H45" s="13">
        <f>IF(SUMIFS(清洗后明细!F:F,清洗后明细!A:A,"2026-06",清洗后明细!E:E,"零犀毅航",清洗后明细!D:D,"人机")&gt;0,SUMIFS(清洗后明细!G:G,清洗后明细!A:A,"2026-06",清洗后明细!E:E,"零犀毅航",清洗后明细!D:D,"人机")/SUMIFS(清洗后明细!F:F,清洗后明细!A:A,"2026-06",清洗后明细!E:E,"零犀毅航",清洗后明细!D:D,"人机")*100,"")</f>
        <v/>
      </c>
      <c r="I45" s="11">
        <f>IF(SUMIFS(清洗后明细!G:G,清洗后明细!A:A,"2026-06",清洗后明细!E:E,"零犀毅航",清洗后明细!D:D,"人机")&gt;0,SUMIFS(清洗后明细!H:H,清洗后明细!A:A,"2026-06",清洗后明细!E:E,"零犀毅航",清洗后明细!D:D,"人机")/SUMIFS(清洗后明细!G:G,清洗后明细!A:A,"2026-06",清洗后明细!E:E,"零犀毅航",清洗后明细!D:D,"人机"),"")</f>
        <v/>
      </c>
    </row>
    <row r="46">
      <c r="A46" t="inlineStr">
        <is>
          <t>零犀毛毛虫</t>
        </is>
      </c>
      <c r="B46" t="inlineStr">
        <is>
          <t>2025-12</t>
        </is>
      </c>
      <c r="C46" s="11">
        <f>SUMIFS(清洗后明细!M:M,清洗后明细!A:A,"2025-12",清洗后明细!E:E,"零犀毛毛虫",清洗后明细!D:D,"人机")</f>
        <v/>
      </c>
      <c r="D46" s="11">
        <f>SUMIFS(清洗后明细!N:N,清洗后明细!A:A,"2025-12",清洗后明细!E:E,"零犀毛毛虫",清洗后明细!D:D,"人机")</f>
        <v/>
      </c>
      <c r="E46" s="11">
        <f>IF(SUMIFS(清洗后明细!M:M,清洗后明细!A:A,"2025-12",清洗后明细!E:E,"零犀毛毛虫",清洗后明细!D:D,"人机")&gt;0,SUMIFS(清洗后明细!M:M,清洗后明细!A:A,"2025-12",清洗后明细!E:E,"零犀毛毛虫",清洗后明细!D:D,"人机")/SUMIFS(清洗后明细!N:N,清洗后明细!A:A,"2025-12",清洗后明细!E:E,"零犀毛毛虫",清洗后明细!D:D,"人机"),"")</f>
        <v/>
      </c>
      <c r="F46" s="11">
        <f>IF(SUMIFS(清洗后明细!M:M,清洗后明细!A:A,"2025-12",清洗后明细!E:E,"零犀毛毛虫",清洗后明细!D:D,"人机")&gt;0,SUMIFS(清洗后明细!M:M,清洗后明细!A:A,"2025-12",清洗后明细!E:E,"零犀毛毛虫",清洗后明细!D:D,"人机")/SUMIFS(清洗后明细!N:N,清洗后明细!A:A,"2025-12",清洗后明细!E:E,"零犀毛毛虫",清洗后明细!D:D,"人机")*0.7,"")</f>
        <v/>
      </c>
      <c r="G46" s="12">
        <f>IF(SUMIFS(清洗后明细!L:L,清洗后明细!A:A,"2025-12",清洗后明细!E:E,"零犀毛毛虫",清洗后明细!D:D,"人机")&gt;0,SUMIFS(清洗后明细!I:I,清洗后明细!A:A,"2025-12",清洗后明细!E:E,"零犀毛毛虫",清洗后明细!D:D,"人机")/SUMIFS(清洗后明细!L:L,清洗后明细!A:A,"2025-12",清洗后明细!E:E,"零犀毛毛虫",清洗后明细!D:D,"人机")*100,"")</f>
        <v/>
      </c>
      <c r="H46" s="13">
        <f>IF(SUMIFS(清洗后明细!F:F,清洗后明细!A:A,"2025-12",清洗后明细!E:E,"零犀毛毛虫",清洗后明细!D:D,"人机")&gt;0,SUMIFS(清洗后明细!G:G,清洗后明细!A:A,"2025-12",清洗后明细!E:E,"零犀毛毛虫",清洗后明细!D:D,"人机")/SUMIFS(清洗后明细!F:F,清洗后明细!A:A,"2025-12",清洗后明细!E:E,"零犀毛毛虫",清洗后明细!D:D,"人机")*100,"")</f>
        <v/>
      </c>
      <c r="I46" s="11">
        <f>IF(SUMIFS(清洗后明细!G:G,清洗后明细!A:A,"2025-12",清洗后明细!E:E,"零犀毛毛虫",清洗后明细!D:D,"人机")&gt;0,SUMIFS(清洗后明细!H:H,清洗后明细!A:A,"2025-12",清洗后明细!E:E,"零犀毛毛虫",清洗后明细!D:D,"人机")/SUMIFS(清洗后明细!G:G,清洗后明细!A:A,"2025-12",清洗后明细!E:E,"零犀毛毛虫",清洗后明细!D:D,"人机"),"")</f>
        <v/>
      </c>
    </row>
    <row r="47">
      <c r="A47" t="inlineStr">
        <is>
          <t>零犀毛毛虫</t>
        </is>
      </c>
      <c r="B47" t="inlineStr">
        <is>
          <t>2026-01</t>
        </is>
      </c>
      <c r="C47" s="11">
        <f>SUMIFS(清洗后明细!M:M,清洗后明细!A:A,"2026-01",清洗后明细!E:E,"零犀毛毛虫",清洗后明细!D:D,"人机")</f>
        <v/>
      </c>
      <c r="D47" s="11">
        <f>SUMIFS(清洗后明细!N:N,清洗后明细!A:A,"2026-01",清洗后明细!E:E,"零犀毛毛虫",清洗后明细!D:D,"人机")</f>
        <v/>
      </c>
      <c r="E47" s="11">
        <f>IF(SUMIFS(清洗后明细!M:M,清洗后明细!A:A,"2026-01",清洗后明细!E:E,"零犀毛毛虫",清洗后明细!D:D,"人机")&gt;0,SUMIFS(清洗后明细!M:M,清洗后明细!A:A,"2026-01",清洗后明细!E:E,"零犀毛毛虫",清洗后明细!D:D,"人机")/SUMIFS(清洗后明细!N:N,清洗后明细!A:A,"2026-01",清洗后明细!E:E,"零犀毛毛虫",清洗后明细!D:D,"人机"),"")</f>
        <v/>
      </c>
      <c r="F47" s="11">
        <f>IF(SUMIFS(清洗后明细!M:M,清洗后明细!A:A,"2026-01",清洗后明细!E:E,"零犀毛毛虫",清洗后明细!D:D,"人机")&gt;0,SUMIFS(清洗后明细!M:M,清洗后明细!A:A,"2026-01",清洗后明细!E:E,"零犀毛毛虫",清洗后明细!D:D,"人机")/SUMIFS(清洗后明细!N:N,清洗后明细!A:A,"2026-01",清洗后明细!E:E,"零犀毛毛虫",清洗后明细!D:D,"人机")*0.7,"")</f>
        <v/>
      </c>
      <c r="G47" s="12">
        <f>IF(SUMIFS(清洗后明细!L:L,清洗后明细!A:A,"2026-01",清洗后明细!E:E,"零犀毛毛虫",清洗后明细!D:D,"人机")&gt;0,SUMIFS(清洗后明细!I:I,清洗后明细!A:A,"2026-01",清洗后明细!E:E,"零犀毛毛虫",清洗后明细!D:D,"人机")/SUMIFS(清洗后明细!L:L,清洗后明细!A:A,"2026-01",清洗后明细!E:E,"零犀毛毛虫",清洗后明细!D:D,"人机")*100,"")</f>
        <v/>
      </c>
      <c r="H47" s="13">
        <f>IF(SUMIFS(清洗后明细!F:F,清洗后明细!A:A,"2026-01",清洗后明细!E:E,"零犀毛毛虫",清洗后明细!D:D,"人机")&gt;0,SUMIFS(清洗后明细!G:G,清洗后明细!A:A,"2026-01",清洗后明细!E:E,"零犀毛毛虫",清洗后明细!D:D,"人机")/SUMIFS(清洗后明细!F:F,清洗后明细!A:A,"2026-01",清洗后明细!E:E,"零犀毛毛虫",清洗后明细!D:D,"人机")*100,"")</f>
        <v/>
      </c>
      <c r="I47" s="11">
        <f>IF(SUMIFS(清洗后明细!G:G,清洗后明细!A:A,"2026-01",清洗后明细!E:E,"零犀毛毛虫",清洗后明细!D:D,"人机")&gt;0,SUMIFS(清洗后明细!H:H,清洗后明细!A:A,"2026-01",清洗后明细!E:E,"零犀毛毛虫",清洗后明细!D:D,"人机")/SUMIFS(清洗后明细!G:G,清洗后明细!A:A,"2026-01",清洗后明细!E:E,"零犀毛毛虫",清洗后明细!D:D,"人机"),"")</f>
        <v/>
      </c>
    </row>
    <row r="48">
      <c r="A48" t="inlineStr">
        <is>
          <t>零犀毛毛虫</t>
        </is>
      </c>
      <c r="B48" t="inlineStr">
        <is>
          <t>2026-02</t>
        </is>
      </c>
      <c r="C48" s="11">
        <f>SUMIFS(清洗后明细!M:M,清洗后明细!A:A,"2026-02",清洗后明细!E:E,"零犀毛毛虫",清洗后明细!D:D,"人机")</f>
        <v/>
      </c>
      <c r="D48" s="11">
        <f>SUMIFS(清洗后明细!N:N,清洗后明细!A:A,"2026-02",清洗后明细!E:E,"零犀毛毛虫",清洗后明细!D:D,"人机")</f>
        <v/>
      </c>
      <c r="E48" s="11">
        <f>IF(SUMIFS(清洗后明细!M:M,清洗后明细!A:A,"2026-02",清洗后明细!E:E,"零犀毛毛虫",清洗后明细!D:D,"人机")&gt;0,SUMIFS(清洗后明细!M:M,清洗后明细!A:A,"2026-02",清洗后明细!E:E,"零犀毛毛虫",清洗后明细!D:D,"人机")/SUMIFS(清洗后明细!N:N,清洗后明细!A:A,"2026-02",清洗后明细!E:E,"零犀毛毛虫",清洗后明细!D:D,"人机"),"")</f>
        <v/>
      </c>
      <c r="F48" s="11">
        <f>IF(SUMIFS(清洗后明细!M:M,清洗后明细!A:A,"2026-02",清洗后明细!E:E,"零犀毛毛虫",清洗后明细!D:D,"人机")&gt;0,SUMIFS(清洗后明细!M:M,清洗后明细!A:A,"2026-02",清洗后明细!E:E,"零犀毛毛虫",清洗后明细!D:D,"人机")/SUMIFS(清洗后明细!N:N,清洗后明细!A:A,"2026-02",清洗后明细!E:E,"零犀毛毛虫",清洗后明细!D:D,"人机")*0.7,"")</f>
        <v/>
      </c>
      <c r="G48" s="12">
        <f>IF(SUMIFS(清洗后明细!L:L,清洗后明细!A:A,"2026-02",清洗后明细!E:E,"零犀毛毛虫",清洗后明细!D:D,"人机")&gt;0,SUMIFS(清洗后明细!I:I,清洗后明细!A:A,"2026-02",清洗后明细!E:E,"零犀毛毛虫",清洗后明细!D:D,"人机")/SUMIFS(清洗后明细!L:L,清洗后明细!A:A,"2026-02",清洗后明细!E:E,"零犀毛毛虫",清洗后明细!D:D,"人机")*100,"")</f>
        <v/>
      </c>
      <c r="H48" s="13">
        <f>IF(SUMIFS(清洗后明细!F:F,清洗后明细!A:A,"2026-02",清洗后明细!E:E,"零犀毛毛虫",清洗后明细!D:D,"人机")&gt;0,SUMIFS(清洗后明细!G:G,清洗后明细!A:A,"2026-02",清洗后明细!E:E,"零犀毛毛虫",清洗后明细!D:D,"人机")/SUMIFS(清洗后明细!F:F,清洗后明细!A:A,"2026-02",清洗后明细!E:E,"零犀毛毛虫",清洗后明细!D:D,"人机")*100,"")</f>
        <v/>
      </c>
      <c r="I48" s="11">
        <f>IF(SUMIFS(清洗后明细!G:G,清洗后明细!A:A,"2026-02",清洗后明细!E:E,"零犀毛毛虫",清洗后明细!D:D,"人机")&gt;0,SUMIFS(清洗后明细!H:H,清洗后明细!A:A,"2026-02",清洗后明细!E:E,"零犀毛毛虫",清洗后明细!D:D,"人机")/SUMIFS(清洗后明细!G:G,清洗后明细!A:A,"2026-02",清洗后明细!E:E,"零犀毛毛虫",清洗后明细!D:D,"人机"),"")</f>
        <v/>
      </c>
    </row>
    <row r="49">
      <c r="A49" t="inlineStr">
        <is>
          <t>零犀毛毛虫</t>
        </is>
      </c>
      <c r="B49" t="inlineStr">
        <is>
          <t>2026-03</t>
        </is>
      </c>
      <c r="C49" s="11">
        <f>SUMIFS(清洗后明细!M:M,清洗后明细!A:A,"2026-03",清洗后明细!E:E,"零犀毛毛虫",清洗后明细!D:D,"人机")</f>
        <v/>
      </c>
      <c r="D49" s="11">
        <f>SUMIFS(清洗后明细!N:N,清洗后明细!A:A,"2026-03",清洗后明细!E:E,"零犀毛毛虫",清洗后明细!D:D,"人机")</f>
        <v/>
      </c>
      <c r="E49" s="11">
        <f>IF(SUMIFS(清洗后明细!M:M,清洗后明细!A:A,"2026-03",清洗后明细!E:E,"零犀毛毛虫",清洗后明细!D:D,"人机")&gt;0,SUMIFS(清洗后明细!M:M,清洗后明细!A:A,"2026-03",清洗后明细!E:E,"零犀毛毛虫",清洗后明细!D:D,"人机")/SUMIFS(清洗后明细!N:N,清洗后明细!A:A,"2026-03",清洗后明细!E:E,"零犀毛毛虫",清洗后明细!D:D,"人机"),"")</f>
        <v/>
      </c>
      <c r="F49" s="11">
        <f>IF(SUMIFS(清洗后明细!M:M,清洗后明细!A:A,"2026-03",清洗后明细!E:E,"零犀毛毛虫",清洗后明细!D:D,"人机")&gt;0,SUMIFS(清洗后明细!M:M,清洗后明细!A:A,"2026-03",清洗后明细!E:E,"零犀毛毛虫",清洗后明细!D:D,"人机")/SUMIFS(清洗后明细!N:N,清洗后明细!A:A,"2026-03",清洗后明细!E:E,"零犀毛毛虫",清洗后明细!D:D,"人机")*0.7,"")</f>
        <v/>
      </c>
      <c r="G49" s="12">
        <f>IF(SUMIFS(清洗后明细!L:L,清洗后明细!A:A,"2026-03",清洗后明细!E:E,"零犀毛毛虫",清洗后明细!D:D,"人机")&gt;0,SUMIFS(清洗后明细!I:I,清洗后明细!A:A,"2026-03",清洗后明细!E:E,"零犀毛毛虫",清洗后明细!D:D,"人机")/SUMIFS(清洗后明细!L:L,清洗后明细!A:A,"2026-03",清洗后明细!E:E,"零犀毛毛虫",清洗后明细!D:D,"人机")*100,"")</f>
        <v/>
      </c>
      <c r="H49" s="13">
        <f>IF(SUMIFS(清洗后明细!F:F,清洗后明细!A:A,"2026-03",清洗后明细!E:E,"零犀毛毛虫",清洗后明细!D:D,"人机")&gt;0,SUMIFS(清洗后明细!G:G,清洗后明细!A:A,"2026-03",清洗后明细!E:E,"零犀毛毛虫",清洗后明细!D:D,"人机")/SUMIFS(清洗后明细!F:F,清洗后明细!A:A,"2026-03",清洗后明细!E:E,"零犀毛毛虫",清洗后明细!D:D,"人机")*100,"")</f>
        <v/>
      </c>
      <c r="I49" s="11">
        <f>IF(SUMIFS(清洗后明细!G:G,清洗后明细!A:A,"2026-03",清洗后明细!E:E,"零犀毛毛虫",清洗后明细!D:D,"人机")&gt;0,SUMIFS(清洗后明细!H:H,清洗后明细!A:A,"2026-03",清洗后明细!E:E,"零犀毛毛虫",清洗后明细!D:D,"人机")/SUMIFS(清洗后明细!G:G,清洗后明细!A:A,"2026-03",清洗后明细!E:E,"零犀毛毛虫",清洗后明细!D:D,"人机"),"")</f>
        <v/>
      </c>
    </row>
    <row r="50">
      <c r="A50" t="inlineStr">
        <is>
          <t>零犀毛毛虫</t>
        </is>
      </c>
      <c r="B50" t="inlineStr">
        <is>
          <t>2026-04</t>
        </is>
      </c>
      <c r="C50" s="11">
        <f>SUMIFS(清洗后明细!M:M,清洗后明细!A:A,"2026-04",清洗后明细!E:E,"零犀毛毛虫",清洗后明细!D:D,"人机")</f>
        <v/>
      </c>
      <c r="D50" s="11">
        <f>SUMIFS(清洗后明细!N:N,清洗后明细!A:A,"2026-04",清洗后明细!E:E,"零犀毛毛虫",清洗后明细!D:D,"人机")</f>
        <v/>
      </c>
      <c r="E50" s="11">
        <f>IF(SUMIFS(清洗后明细!M:M,清洗后明细!A:A,"2026-04",清洗后明细!E:E,"零犀毛毛虫",清洗后明细!D:D,"人机")&gt;0,SUMIFS(清洗后明细!M:M,清洗后明细!A:A,"2026-04",清洗后明细!E:E,"零犀毛毛虫",清洗后明细!D:D,"人机")/SUMIFS(清洗后明细!N:N,清洗后明细!A:A,"2026-04",清洗后明细!E:E,"零犀毛毛虫",清洗后明细!D:D,"人机"),"")</f>
        <v/>
      </c>
      <c r="F50" s="11">
        <f>IF(SUMIFS(清洗后明细!M:M,清洗后明细!A:A,"2026-04",清洗后明细!E:E,"零犀毛毛虫",清洗后明细!D:D,"人机")&gt;0,SUMIFS(清洗后明细!M:M,清洗后明细!A:A,"2026-04",清洗后明细!E:E,"零犀毛毛虫",清洗后明细!D:D,"人机")/SUMIFS(清洗后明细!N:N,清洗后明细!A:A,"2026-04",清洗后明细!E:E,"零犀毛毛虫",清洗后明细!D:D,"人机")*0.7,"")</f>
        <v/>
      </c>
      <c r="G50" s="12">
        <f>IF(SUMIFS(清洗后明细!L:L,清洗后明细!A:A,"2026-04",清洗后明细!E:E,"零犀毛毛虫",清洗后明细!D:D,"人机")&gt;0,SUMIFS(清洗后明细!I:I,清洗后明细!A:A,"2026-04",清洗后明细!E:E,"零犀毛毛虫",清洗后明细!D:D,"人机")/SUMIFS(清洗后明细!L:L,清洗后明细!A:A,"2026-04",清洗后明细!E:E,"零犀毛毛虫",清洗后明细!D:D,"人机")*100,"")</f>
        <v/>
      </c>
      <c r="H50" s="13">
        <f>IF(SUMIFS(清洗后明细!F:F,清洗后明细!A:A,"2026-04",清洗后明细!E:E,"零犀毛毛虫",清洗后明细!D:D,"人机")&gt;0,SUMIFS(清洗后明细!G:G,清洗后明细!A:A,"2026-04",清洗后明细!E:E,"零犀毛毛虫",清洗后明细!D:D,"人机")/SUMIFS(清洗后明细!F:F,清洗后明细!A:A,"2026-04",清洗后明细!E:E,"零犀毛毛虫",清洗后明细!D:D,"人机")*100,"")</f>
        <v/>
      </c>
      <c r="I50" s="11">
        <f>IF(SUMIFS(清洗后明细!G:G,清洗后明细!A:A,"2026-04",清洗后明细!E:E,"零犀毛毛虫",清洗后明细!D:D,"人机")&gt;0,SUMIFS(清洗后明细!H:H,清洗后明细!A:A,"2026-04",清洗后明细!E:E,"零犀毛毛虫",清洗后明细!D:D,"人机")/SUMIFS(清洗后明细!G:G,清洗后明细!A:A,"2026-04",清洗后明细!E:E,"零犀毛毛虫",清洗后明细!D:D,"人机"),"")</f>
        <v/>
      </c>
    </row>
    <row r="51">
      <c r="A51" t="inlineStr">
        <is>
          <t>零犀毛毛虫</t>
        </is>
      </c>
      <c r="B51" t="inlineStr">
        <is>
          <t>2026-05</t>
        </is>
      </c>
      <c r="C51" s="11">
        <f>SUMIFS(清洗后明细!M:M,清洗后明细!A:A,"2026-05",清洗后明细!E:E,"零犀毛毛虫",清洗后明细!D:D,"人机")</f>
        <v/>
      </c>
      <c r="D51" s="11">
        <f>SUMIFS(清洗后明细!N:N,清洗后明细!A:A,"2026-05",清洗后明细!E:E,"零犀毛毛虫",清洗后明细!D:D,"人机")</f>
        <v/>
      </c>
      <c r="E51" s="11">
        <f>IF(SUMIFS(清洗后明细!M:M,清洗后明细!A:A,"2026-05",清洗后明细!E:E,"零犀毛毛虫",清洗后明细!D:D,"人机")&gt;0,SUMIFS(清洗后明细!M:M,清洗后明细!A:A,"2026-05",清洗后明细!E:E,"零犀毛毛虫",清洗后明细!D:D,"人机")/SUMIFS(清洗后明细!N:N,清洗后明细!A:A,"2026-05",清洗后明细!E:E,"零犀毛毛虫",清洗后明细!D:D,"人机"),"")</f>
        <v/>
      </c>
      <c r="F51" s="11">
        <f>IF(SUMIFS(清洗后明细!M:M,清洗后明细!A:A,"2026-05",清洗后明细!E:E,"零犀毛毛虫",清洗后明细!D:D,"人机")&gt;0,SUMIFS(清洗后明细!M:M,清洗后明细!A:A,"2026-05",清洗后明细!E:E,"零犀毛毛虫",清洗后明细!D:D,"人机")/SUMIFS(清洗后明细!N:N,清洗后明细!A:A,"2026-05",清洗后明细!E:E,"零犀毛毛虫",清洗后明细!D:D,"人机")*0.7,"")</f>
        <v/>
      </c>
      <c r="G51" s="12">
        <f>IF(SUMIFS(清洗后明细!L:L,清洗后明细!A:A,"2026-05",清洗后明细!E:E,"零犀毛毛虫",清洗后明细!D:D,"人机")&gt;0,SUMIFS(清洗后明细!I:I,清洗后明细!A:A,"2026-05",清洗后明细!E:E,"零犀毛毛虫",清洗后明细!D:D,"人机")/SUMIFS(清洗后明细!L:L,清洗后明细!A:A,"2026-05",清洗后明细!E:E,"零犀毛毛虫",清洗后明细!D:D,"人机")*100,"")</f>
        <v/>
      </c>
      <c r="H51" s="13">
        <f>IF(SUMIFS(清洗后明细!F:F,清洗后明细!A:A,"2026-05",清洗后明细!E:E,"零犀毛毛虫",清洗后明细!D:D,"人机")&gt;0,SUMIFS(清洗后明细!G:G,清洗后明细!A:A,"2026-05",清洗后明细!E:E,"零犀毛毛虫",清洗后明细!D:D,"人机")/SUMIFS(清洗后明细!F:F,清洗后明细!A:A,"2026-05",清洗后明细!E:E,"零犀毛毛虫",清洗后明细!D:D,"人机")*100,"")</f>
        <v/>
      </c>
      <c r="I51" s="11">
        <f>IF(SUMIFS(清洗后明细!G:G,清洗后明细!A:A,"2026-05",清洗后明细!E:E,"零犀毛毛虫",清洗后明细!D:D,"人机")&gt;0,SUMIFS(清洗后明细!H:H,清洗后明细!A:A,"2026-05",清洗后明细!E:E,"零犀毛毛虫",清洗后明细!D:D,"人机")/SUMIFS(清洗后明细!G:G,清洗后明细!A:A,"2026-05",清洗后明细!E:E,"零犀毛毛虫",清洗后明细!D:D,"人机"),"")</f>
        <v/>
      </c>
    </row>
    <row r="52">
      <c r="A52" t="inlineStr">
        <is>
          <t>零犀毛毛虫</t>
        </is>
      </c>
      <c r="B52" t="inlineStr">
        <is>
          <t>2026-06</t>
        </is>
      </c>
      <c r="C52" s="11">
        <f>SUMIFS(清洗后明细!M:M,清洗后明细!A:A,"2026-06",清洗后明细!E:E,"零犀毛毛虫",清洗后明细!D:D,"人机")</f>
        <v/>
      </c>
      <c r="D52" s="11">
        <f>SUMIFS(清洗后明细!N:N,清洗后明细!A:A,"2026-06",清洗后明细!E:E,"零犀毛毛虫",清洗后明细!D:D,"人机")</f>
        <v/>
      </c>
      <c r="E52" s="11">
        <f>IF(SUMIFS(清洗后明细!M:M,清洗后明细!A:A,"2026-06",清洗后明细!E:E,"零犀毛毛虫",清洗后明细!D:D,"人机")&gt;0,SUMIFS(清洗后明细!M:M,清洗后明细!A:A,"2026-06",清洗后明细!E:E,"零犀毛毛虫",清洗后明细!D:D,"人机")/SUMIFS(清洗后明细!N:N,清洗后明细!A:A,"2026-06",清洗后明细!E:E,"零犀毛毛虫",清洗后明细!D:D,"人机"),"")</f>
        <v/>
      </c>
      <c r="F52" s="11">
        <f>IF(SUMIFS(清洗后明细!M:M,清洗后明细!A:A,"2026-06",清洗后明细!E:E,"零犀毛毛虫",清洗后明细!D:D,"人机")&gt;0,SUMIFS(清洗后明细!M:M,清洗后明细!A:A,"2026-06",清洗后明细!E:E,"零犀毛毛虫",清洗后明细!D:D,"人机")/SUMIFS(清洗后明细!N:N,清洗后明细!A:A,"2026-06",清洗后明细!E:E,"零犀毛毛虫",清洗后明细!D:D,"人机")*0.7,"")</f>
        <v/>
      </c>
      <c r="G52" s="12">
        <f>IF(SUMIFS(清洗后明细!L:L,清洗后明细!A:A,"2026-06",清洗后明细!E:E,"零犀毛毛虫",清洗后明细!D:D,"人机")&gt;0,SUMIFS(清洗后明细!I:I,清洗后明细!A:A,"2026-06",清洗后明细!E:E,"零犀毛毛虫",清洗后明细!D:D,"人机")/SUMIFS(清洗后明细!L:L,清洗后明细!A:A,"2026-06",清洗后明细!E:E,"零犀毛毛虫",清洗后明细!D:D,"人机")*100,"")</f>
        <v/>
      </c>
      <c r="H52" s="13">
        <f>IF(SUMIFS(清洗后明细!F:F,清洗后明细!A:A,"2026-06",清洗后明细!E:E,"零犀毛毛虫",清洗后明细!D:D,"人机")&gt;0,SUMIFS(清洗后明细!G:G,清洗后明细!A:A,"2026-06",清洗后明细!E:E,"零犀毛毛虫",清洗后明细!D:D,"人机")/SUMIFS(清洗后明细!F:F,清洗后明细!A:A,"2026-06",清洗后明细!E:E,"零犀毛毛虫",清洗后明细!D:D,"人机")*100,"")</f>
        <v/>
      </c>
      <c r="I52" s="11">
        <f>IF(SUMIFS(清洗后明细!G:G,清洗后明细!A:A,"2026-06",清洗后明细!E:E,"零犀毛毛虫",清洗后明细!D:D,"人机")&gt;0,SUMIFS(清洗后明细!H:H,清洗后明细!A:A,"2026-06",清洗后明细!E:E,"零犀毛毛虫",清洗后明细!D:D,"人机")/SUMIFS(清洗后明细!G:G,清洗后明细!A:A,"2026-06",清洗后明细!E:E,"零犀毛毛虫",清洗后明细!D:D,"人机"),"")</f>
        <v/>
      </c>
    </row>
    <row r="53">
      <c r="A53" t="inlineStr">
        <is>
          <t>零犀赛维斯</t>
        </is>
      </c>
      <c r="B53" t="inlineStr">
        <is>
          <t>2025-12</t>
        </is>
      </c>
      <c r="C53" s="11">
        <f>SUMIFS(清洗后明细!M:M,清洗后明细!A:A,"2025-12",清洗后明细!E:E,"零犀赛维斯",清洗后明细!D:D,"人机")</f>
        <v/>
      </c>
      <c r="D53" s="11">
        <f>SUMIFS(清洗后明细!N:N,清洗后明细!A:A,"2025-12",清洗后明细!E:E,"零犀赛维斯",清洗后明细!D:D,"人机")</f>
        <v/>
      </c>
      <c r="E53" s="11">
        <f>IF(SUMIFS(清洗后明细!M:M,清洗后明细!A:A,"2025-12",清洗后明细!E:E,"零犀赛维斯",清洗后明细!D:D,"人机")&gt;0,SUMIFS(清洗后明细!M:M,清洗后明细!A:A,"2025-12",清洗后明细!E:E,"零犀赛维斯",清洗后明细!D:D,"人机")/SUMIFS(清洗后明细!N:N,清洗后明细!A:A,"2025-12",清洗后明细!E:E,"零犀赛维斯",清洗后明细!D:D,"人机"),"")</f>
        <v/>
      </c>
      <c r="F53" s="11">
        <f>IF(SUMIFS(清洗后明细!M:M,清洗后明细!A:A,"2025-12",清洗后明细!E:E,"零犀赛维斯",清洗后明细!D:D,"人机")&gt;0,SUMIFS(清洗后明细!M:M,清洗后明细!A:A,"2025-12",清洗后明细!E:E,"零犀赛维斯",清洗后明细!D:D,"人机")/SUMIFS(清洗后明细!N:N,清洗后明细!A:A,"2025-12",清洗后明细!E:E,"零犀赛维斯",清洗后明细!D:D,"人机")*0.7,"")</f>
        <v/>
      </c>
      <c r="G53" s="12">
        <f>IF(SUMIFS(清洗后明细!L:L,清洗后明细!A:A,"2025-12",清洗后明细!E:E,"零犀赛维斯",清洗后明细!D:D,"人机")&gt;0,SUMIFS(清洗后明细!I:I,清洗后明细!A:A,"2025-12",清洗后明细!E:E,"零犀赛维斯",清洗后明细!D:D,"人机")/SUMIFS(清洗后明细!L:L,清洗后明细!A:A,"2025-12",清洗后明细!E:E,"零犀赛维斯",清洗后明细!D:D,"人机")*100,"")</f>
        <v/>
      </c>
      <c r="H53" s="13">
        <f>IF(SUMIFS(清洗后明细!F:F,清洗后明细!A:A,"2025-12",清洗后明细!E:E,"零犀赛维斯",清洗后明细!D:D,"人机")&gt;0,SUMIFS(清洗后明细!G:G,清洗后明细!A:A,"2025-12",清洗后明细!E:E,"零犀赛维斯",清洗后明细!D:D,"人机")/SUMIFS(清洗后明细!F:F,清洗后明细!A:A,"2025-12",清洗后明细!E:E,"零犀赛维斯",清洗后明细!D:D,"人机")*100,"")</f>
        <v/>
      </c>
      <c r="I53" s="11">
        <f>IF(SUMIFS(清洗后明细!G:G,清洗后明细!A:A,"2025-12",清洗后明细!E:E,"零犀赛维斯",清洗后明细!D:D,"人机")&gt;0,SUMIFS(清洗后明细!H:H,清洗后明细!A:A,"2025-12",清洗后明细!E:E,"零犀赛维斯",清洗后明细!D:D,"人机")/SUMIFS(清洗后明细!G:G,清洗后明细!A:A,"2025-12",清洗后明细!E:E,"零犀赛维斯",清洗后明细!D:D,"人机"),"")</f>
        <v/>
      </c>
    </row>
    <row r="54">
      <c r="A54" t="inlineStr">
        <is>
          <t>零犀赛维斯</t>
        </is>
      </c>
      <c r="B54" t="inlineStr">
        <is>
          <t>2026-01</t>
        </is>
      </c>
      <c r="C54" s="11">
        <f>SUMIFS(清洗后明细!M:M,清洗后明细!A:A,"2026-01",清洗后明细!E:E,"零犀赛维斯",清洗后明细!D:D,"人机")</f>
        <v/>
      </c>
      <c r="D54" s="11">
        <f>SUMIFS(清洗后明细!N:N,清洗后明细!A:A,"2026-01",清洗后明细!E:E,"零犀赛维斯",清洗后明细!D:D,"人机")</f>
        <v/>
      </c>
      <c r="E54" s="11">
        <f>IF(SUMIFS(清洗后明细!M:M,清洗后明细!A:A,"2026-01",清洗后明细!E:E,"零犀赛维斯",清洗后明细!D:D,"人机")&gt;0,SUMIFS(清洗后明细!M:M,清洗后明细!A:A,"2026-01",清洗后明细!E:E,"零犀赛维斯",清洗后明细!D:D,"人机")/SUMIFS(清洗后明细!N:N,清洗后明细!A:A,"2026-01",清洗后明细!E:E,"零犀赛维斯",清洗后明细!D:D,"人机"),"")</f>
        <v/>
      </c>
      <c r="F54" s="11">
        <f>IF(SUMIFS(清洗后明细!M:M,清洗后明细!A:A,"2026-01",清洗后明细!E:E,"零犀赛维斯",清洗后明细!D:D,"人机")&gt;0,SUMIFS(清洗后明细!M:M,清洗后明细!A:A,"2026-01",清洗后明细!E:E,"零犀赛维斯",清洗后明细!D:D,"人机")/SUMIFS(清洗后明细!N:N,清洗后明细!A:A,"2026-01",清洗后明细!E:E,"零犀赛维斯",清洗后明细!D:D,"人机")*0.7,"")</f>
        <v/>
      </c>
      <c r="G54" s="12">
        <f>IF(SUMIFS(清洗后明细!L:L,清洗后明细!A:A,"2026-01",清洗后明细!E:E,"零犀赛维斯",清洗后明细!D:D,"人机")&gt;0,SUMIFS(清洗后明细!I:I,清洗后明细!A:A,"2026-01",清洗后明细!E:E,"零犀赛维斯",清洗后明细!D:D,"人机")/SUMIFS(清洗后明细!L:L,清洗后明细!A:A,"2026-01",清洗后明细!E:E,"零犀赛维斯",清洗后明细!D:D,"人机")*100,"")</f>
        <v/>
      </c>
      <c r="H54" s="13">
        <f>IF(SUMIFS(清洗后明细!F:F,清洗后明细!A:A,"2026-01",清洗后明细!E:E,"零犀赛维斯",清洗后明细!D:D,"人机")&gt;0,SUMIFS(清洗后明细!G:G,清洗后明细!A:A,"2026-01",清洗后明细!E:E,"零犀赛维斯",清洗后明细!D:D,"人机")/SUMIFS(清洗后明细!F:F,清洗后明细!A:A,"2026-01",清洗后明细!E:E,"零犀赛维斯",清洗后明细!D:D,"人机")*100,"")</f>
        <v/>
      </c>
      <c r="I54" s="11">
        <f>IF(SUMIFS(清洗后明细!G:G,清洗后明细!A:A,"2026-01",清洗后明细!E:E,"零犀赛维斯",清洗后明细!D:D,"人机")&gt;0,SUMIFS(清洗后明细!H:H,清洗后明细!A:A,"2026-01",清洗后明细!E:E,"零犀赛维斯",清洗后明细!D:D,"人机")/SUMIFS(清洗后明细!G:G,清洗后明细!A:A,"2026-01",清洗后明细!E:E,"零犀赛维斯",清洗后明细!D:D,"人机"),"")</f>
        <v/>
      </c>
    </row>
    <row r="55">
      <c r="A55" t="inlineStr">
        <is>
          <t>零犀赛维斯</t>
        </is>
      </c>
      <c r="B55" t="inlineStr">
        <is>
          <t>2026-02</t>
        </is>
      </c>
      <c r="C55" s="11">
        <f>SUMIFS(清洗后明细!M:M,清洗后明细!A:A,"2026-02",清洗后明细!E:E,"零犀赛维斯",清洗后明细!D:D,"人机")</f>
        <v/>
      </c>
      <c r="D55" s="11">
        <f>SUMIFS(清洗后明细!N:N,清洗后明细!A:A,"2026-02",清洗后明细!E:E,"零犀赛维斯",清洗后明细!D:D,"人机")</f>
        <v/>
      </c>
      <c r="E55" s="11">
        <f>IF(SUMIFS(清洗后明细!M:M,清洗后明细!A:A,"2026-02",清洗后明细!E:E,"零犀赛维斯",清洗后明细!D:D,"人机")&gt;0,SUMIFS(清洗后明细!M:M,清洗后明细!A:A,"2026-02",清洗后明细!E:E,"零犀赛维斯",清洗后明细!D:D,"人机")/SUMIFS(清洗后明细!N:N,清洗后明细!A:A,"2026-02",清洗后明细!E:E,"零犀赛维斯",清洗后明细!D:D,"人机"),"")</f>
        <v/>
      </c>
      <c r="F55" s="11">
        <f>IF(SUMIFS(清洗后明细!M:M,清洗后明细!A:A,"2026-02",清洗后明细!E:E,"零犀赛维斯",清洗后明细!D:D,"人机")&gt;0,SUMIFS(清洗后明细!M:M,清洗后明细!A:A,"2026-02",清洗后明细!E:E,"零犀赛维斯",清洗后明细!D:D,"人机")/SUMIFS(清洗后明细!N:N,清洗后明细!A:A,"2026-02",清洗后明细!E:E,"零犀赛维斯",清洗后明细!D:D,"人机")*0.7,"")</f>
        <v/>
      </c>
      <c r="G55" s="12">
        <f>IF(SUMIFS(清洗后明细!L:L,清洗后明细!A:A,"2026-02",清洗后明细!E:E,"零犀赛维斯",清洗后明细!D:D,"人机")&gt;0,SUMIFS(清洗后明细!I:I,清洗后明细!A:A,"2026-02",清洗后明细!E:E,"零犀赛维斯",清洗后明细!D:D,"人机")/SUMIFS(清洗后明细!L:L,清洗后明细!A:A,"2026-02",清洗后明细!E:E,"零犀赛维斯",清洗后明细!D:D,"人机")*100,"")</f>
        <v/>
      </c>
      <c r="H55" s="13">
        <f>IF(SUMIFS(清洗后明细!F:F,清洗后明细!A:A,"2026-02",清洗后明细!E:E,"零犀赛维斯",清洗后明细!D:D,"人机")&gt;0,SUMIFS(清洗后明细!G:G,清洗后明细!A:A,"2026-02",清洗后明细!E:E,"零犀赛维斯",清洗后明细!D:D,"人机")/SUMIFS(清洗后明细!F:F,清洗后明细!A:A,"2026-02",清洗后明细!E:E,"零犀赛维斯",清洗后明细!D:D,"人机")*100,"")</f>
        <v/>
      </c>
      <c r="I55" s="11">
        <f>IF(SUMIFS(清洗后明细!G:G,清洗后明细!A:A,"2026-02",清洗后明细!E:E,"零犀赛维斯",清洗后明细!D:D,"人机")&gt;0,SUMIFS(清洗后明细!H:H,清洗后明细!A:A,"2026-02",清洗后明细!E:E,"零犀赛维斯",清洗后明细!D:D,"人机")/SUMIFS(清洗后明细!G:G,清洗后明细!A:A,"2026-02",清洗后明细!E:E,"零犀赛维斯",清洗后明细!D:D,"人机"),"")</f>
        <v/>
      </c>
    </row>
    <row r="56">
      <c r="A56" t="inlineStr">
        <is>
          <t>零犀赛维斯</t>
        </is>
      </c>
      <c r="B56" t="inlineStr">
        <is>
          <t>2026-03</t>
        </is>
      </c>
      <c r="C56" s="11">
        <f>SUMIFS(清洗后明细!M:M,清洗后明细!A:A,"2026-03",清洗后明细!E:E,"零犀赛维斯",清洗后明细!D:D,"人机")</f>
        <v/>
      </c>
      <c r="D56" s="11">
        <f>SUMIFS(清洗后明细!N:N,清洗后明细!A:A,"2026-03",清洗后明细!E:E,"零犀赛维斯",清洗后明细!D:D,"人机")</f>
        <v/>
      </c>
      <c r="E56" s="11">
        <f>IF(SUMIFS(清洗后明细!M:M,清洗后明细!A:A,"2026-03",清洗后明细!E:E,"零犀赛维斯",清洗后明细!D:D,"人机")&gt;0,SUMIFS(清洗后明细!M:M,清洗后明细!A:A,"2026-03",清洗后明细!E:E,"零犀赛维斯",清洗后明细!D:D,"人机")/SUMIFS(清洗后明细!N:N,清洗后明细!A:A,"2026-03",清洗后明细!E:E,"零犀赛维斯",清洗后明细!D:D,"人机"),"")</f>
        <v/>
      </c>
      <c r="F56" s="11">
        <f>IF(SUMIFS(清洗后明细!M:M,清洗后明细!A:A,"2026-03",清洗后明细!E:E,"零犀赛维斯",清洗后明细!D:D,"人机")&gt;0,SUMIFS(清洗后明细!M:M,清洗后明细!A:A,"2026-03",清洗后明细!E:E,"零犀赛维斯",清洗后明细!D:D,"人机")/SUMIFS(清洗后明细!N:N,清洗后明细!A:A,"2026-03",清洗后明细!E:E,"零犀赛维斯",清洗后明细!D:D,"人机")*0.7,"")</f>
        <v/>
      </c>
      <c r="G56" s="12">
        <f>IF(SUMIFS(清洗后明细!L:L,清洗后明细!A:A,"2026-03",清洗后明细!E:E,"零犀赛维斯",清洗后明细!D:D,"人机")&gt;0,SUMIFS(清洗后明细!I:I,清洗后明细!A:A,"2026-03",清洗后明细!E:E,"零犀赛维斯",清洗后明细!D:D,"人机")/SUMIFS(清洗后明细!L:L,清洗后明细!A:A,"2026-03",清洗后明细!E:E,"零犀赛维斯",清洗后明细!D:D,"人机")*100,"")</f>
        <v/>
      </c>
      <c r="H56" s="13">
        <f>IF(SUMIFS(清洗后明细!F:F,清洗后明细!A:A,"2026-03",清洗后明细!E:E,"零犀赛维斯",清洗后明细!D:D,"人机")&gt;0,SUMIFS(清洗后明细!G:G,清洗后明细!A:A,"2026-03",清洗后明细!E:E,"零犀赛维斯",清洗后明细!D:D,"人机")/SUMIFS(清洗后明细!F:F,清洗后明细!A:A,"2026-03",清洗后明细!E:E,"零犀赛维斯",清洗后明细!D:D,"人机")*100,"")</f>
        <v/>
      </c>
      <c r="I56" s="11">
        <f>IF(SUMIFS(清洗后明细!G:G,清洗后明细!A:A,"2026-03",清洗后明细!E:E,"零犀赛维斯",清洗后明细!D:D,"人机")&gt;0,SUMIFS(清洗后明细!H:H,清洗后明细!A:A,"2026-03",清洗后明细!E:E,"零犀赛维斯",清洗后明细!D:D,"人机")/SUMIFS(清洗后明细!G:G,清洗后明细!A:A,"2026-03",清洗后明细!E:E,"零犀赛维斯",清洗后明细!D:D,"人机"),"")</f>
        <v/>
      </c>
    </row>
    <row r="57">
      <c r="A57" t="inlineStr">
        <is>
          <t>零犀赛维斯</t>
        </is>
      </c>
      <c r="B57" t="inlineStr">
        <is>
          <t>2026-04</t>
        </is>
      </c>
      <c r="C57" s="11">
        <f>SUMIFS(清洗后明细!M:M,清洗后明细!A:A,"2026-04",清洗后明细!E:E,"零犀赛维斯",清洗后明细!D:D,"人机")</f>
        <v/>
      </c>
      <c r="D57" s="11">
        <f>SUMIFS(清洗后明细!N:N,清洗后明细!A:A,"2026-04",清洗后明细!E:E,"零犀赛维斯",清洗后明细!D:D,"人机")</f>
        <v/>
      </c>
      <c r="E57" s="11">
        <f>IF(SUMIFS(清洗后明细!M:M,清洗后明细!A:A,"2026-04",清洗后明细!E:E,"零犀赛维斯",清洗后明细!D:D,"人机")&gt;0,SUMIFS(清洗后明细!M:M,清洗后明细!A:A,"2026-04",清洗后明细!E:E,"零犀赛维斯",清洗后明细!D:D,"人机")/SUMIFS(清洗后明细!N:N,清洗后明细!A:A,"2026-04",清洗后明细!E:E,"零犀赛维斯",清洗后明细!D:D,"人机"),"")</f>
        <v/>
      </c>
      <c r="F57" s="11">
        <f>IF(SUMIFS(清洗后明细!M:M,清洗后明细!A:A,"2026-04",清洗后明细!E:E,"零犀赛维斯",清洗后明细!D:D,"人机")&gt;0,SUMIFS(清洗后明细!M:M,清洗后明细!A:A,"2026-04",清洗后明细!E:E,"零犀赛维斯",清洗后明细!D:D,"人机")/SUMIFS(清洗后明细!N:N,清洗后明细!A:A,"2026-04",清洗后明细!E:E,"零犀赛维斯",清洗后明细!D:D,"人机")*0.7,"")</f>
        <v/>
      </c>
      <c r="G57" s="12">
        <f>IF(SUMIFS(清洗后明细!L:L,清洗后明细!A:A,"2026-04",清洗后明细!E:E,"零犀赛维斯",清洗后明细!D:D,"人机")&gt;0,SUMIFS(清洗后明细!I:I,清洗后明细!A:A,"2026-04",清洗后明细!E:E,"零犀赛维斯",清洗后明细!D:D,"人机")/SUMIFS(清洗后明细!L:L,清洗后明细!A:A,"2026-04",清洗后明细!E:E,"零犀赛维斯",清洗后明细!D:D,"人机")*100,"")</f>
        <v/>
      </c>
      <c r="H57" s="13">
        <f>IF(SUMIFS(清洗后明细!F:F,清洗后明细!A:A,"2026-04",清洗后明细!E:E,"零犀赛维斯",清洗后明细!D:D,"人机")&gt;0,SUMIFS(清洗后明细!G:G,清洗后明细!A:A,"2026-04",清洗后明细!E:E,"零犀赛维斯",清洗后明细!D:D,"人机")/SUMIFS(清洗后明细!F:F,清洗后明细!A:A,"2026-04",清洗后明细!E:E,"零犀赛维斯",清洗后明细!D:D,"人机")*100,"")</f>
        <v/>
      </c>
      <c r="I57" s="11">
        <f>IF(SUMIFS(清洗后明细!G:G,清洗后明细!A:A,"2026-04",清洗后明细!E:E,"零犀赛维斯",清洗后明细!D:D,"人机")&gt;0,SUMIFS(清洗后明细!H:H,清洗后明细!A:A,"2026-04",清洗后明细!E:E,"零犀赛维斯",清洗后明细!D:D,"人机")/SUMIFS(清洗后明细!G:G,清洗后明细!A:A,"2026-04",清洗后明细!E:E,"零犀赛维斯",清洗后明细!D:D,"人机"),"")</f>
        <v/>
      </c>
    </row>
    <row r="58">
      <c r="A58" t="inlineStr">
        <is>
          <t>零犀赛维斯</t>
        </is>
      </c>
      <c r="B58" t="inlineStr">
        <is>
          <t>2026-05</t>
        </is>
      </c>
      <c r="C58" s="11">
        <f>SUMIFS(清洗后明细!M:M,清洗后明细!A:A,"2026-05",清洗后明细!E:E,"零犀赛维斯",清洗后明细!D:D,"人机")</f>
        <v/>
      </c>
      <c r="D58" s="11">
        <f>SUMIFS(清洗后明细!N:N,清洗后明细!A:A,"2026-05",清洗后明细!E:E,"零犀赛维斯",清洗后明细!D:D,"人机")</f>
        <v/>
      </c>
      <c r="E58" s="11">
        <f>IF(SUMIFS(清洗后明细!M:M,清洗后明细!A:A,"2026-05",清洗后明细!E:E,"零犀赛维斯",清洗后明细!D:D,"人机")&gt;0,SUMIFS(清洗后明细!M:M,清洗后明细!A:A,"2026-05",清洗后明细!E:E,"零犀赛维斯",清洗后明细!D:D,"人机")/SUMIFS(清洗后明细!N:N,清洗后明细!A:A,"2026-05",清洗后明细!E:E,"零犀赛维斯",清洗后明细!D:D,"人机"),"")</f>
        <v/>
      </c>
      <c r="F58" s="11">
        <f>IF(SUMIFS(清洗后明细!M:M,清洗后明细!A:A,"2026-05",清洗后明细!E:E,"零犀赛维斯",清洗后明细!D:D,"人机")&gt;0,SUMIFS(清洗后明细!M:M,清洗后明细!A:A,"2026-05",清洗后明细!E:E,"零犀赛维斯",清洗后明细!D:D,"人机")/SUMIFS(清洗后明细!N:N,清洗后明细!A:A,"2026-05",清洗后明细!E:E,"零犀赛维斯",清洗后明细!D:D,"人机")*0.7,"")</f>
        <v/>
      </c>
      <c r="G58" s="12">
        <f>IF(SUMIFS(清洗后明细!L:L,清洗后明细!A:A,"2026-05",清洗后明细!E:E,"零犀赛维斯",清洗后明细!D:D,"人机")&gt;0,SUMIFS(清洗后明细!I:I,清洗后明细!A:A,"2026-05",清洗后明细!E:E,"零犀赛维斯",清洗后明细!D:D,"人机")/SUMIFS(清洗后明细!L:L,清洗后明细!A:A,"2026-05",清洗后明细!E:E,"零犀赛维斯",清洗后明细!D:D,"人机")*100,"")</f>
        <v/>
      </c>
      <c r="H58" s="13">
        <f>IF(SUMIFS(清洗后明细!F:F,清洗后明细!A:A,"2026-05",清洗后明细!E:E,"零犀赛维斯",清洗后明细!D:D,"人机")&gt;0,SUMIFS(清洗后明细!G:G,清洗后明细!A:A,"2026-05",清洗后明细!E:E,"零犀赛维斯",清洗后明细!D:D,"人机")/SUMIFS(清洗后明细!F:F,清洗后明细!A:A,"2026-05",清洗后明细!E:E,"零犀赛维斯",清洗后明细!D:D,"人机")*100,"")</f>
        <v/>
      </c>
      <c r="I58" s="11">
        <f>IF(SUMIFS(清洗后明细!G:G,清洗后明细!A:A,"2026-05",清洗后明细!E:E,"零犀赛维斯",清洗后明细!D:D,"人机")&gt;0,SUMIFS(清洗后明细!H:H,清洗后明细!A:A,"2026-05",清洗后明细!E:E,"零犀赛维斯",清洗后明细!D:D,"人机")/SUMIFS(清洗后明细!G:G,清洗后明细!A:A,"2026-05",清洗后明细!E:E,"零犀赛维斯",清洗后明细!D:D,"人机"),"")</f>
        <v/>
      </c>
    </row>
    <row r="59">
      <c r="A59" t="inlineStr">
        <is>
          <t>零犀赛维斯</t>
        </is>
      </c>
      <c r="B59" t="inlineStr">
        <is>
          <t>2026-06</t>
        </is>
      </c>
      <c r="C59" s="11">
        <f>SUMIFS(清洗后明细!M:M,清洗后明细!A:A,"2026-06",清洗后明细!E:E,"零犀赛维斯",清洗后明细!D:D,"人机")</f>
        <v/>
      </c>
      <c r="D59" s="11">
        <f>SUMIFS(清洗后明细!N:N,清洗后明细!A:A,"2026-06",清洗后明细!E:E,"零犀赛维斯",清洗后明细!D:D,"人机")</f>
        <v/>
      </c>
      <c r="E59" s="11">
        <f>IF(SUMIFS(清洗后明细!M:M,清洗后明细!A:A,"2026-06",清洗后明细!E:E,"零犀赛维斯",清洗后明细!D:D,"人机")&gt;0,SUMIFS(清洗后明细!M:M,清洗后明细!A:A,"2026-06",清洗后明细!E:E,"零犀赛维斯",清洗后明细!D:D,"人机")/SUMIFS(清洗后明细!N:N,清洗后明细!A:A,"2026-06",清洗后明细!E:E,"零犀赛维斯",清洗后明细!D:D,"人机"),"")</f>
        <v/>
      </c>
      <c r="F59" s="11">
        <f>IF(SUMIFS(清洗后明细!M:M,清洗后明细!A:A,"2026-06",清洗后明细!E:E,"零犀赛维斯",清洗后明细!D:D,"人机")&gt;0,SUMIFS(清洗后明细!M:M,清洗后明细!A:A,"2026-06",清洗后明细!E:E,"零犀赛维斯",清洗后明细!D:D,"人机")/SUMIFS(清洗后明细!N:N,清洗后明细!A:A,"2026-06",清洗后明细!E:E,"零犀赛维斯",清洗后明细!D:D,"人机")*0.7,"")</f>
        <v/>
      </c>
      <c r="G59" s="12">
        <f>IF(SUMIFS(清洗后明细!L:L,清洗后明细!A:A,"2026-06",清洗后明细!E:E,"零犀赛维斯",清洗后明细!D:D,"人机")&gt;0,SUMIFS(清洗后明细!I:I,清洗后明细!A:A,"2026-06",清洗后明细!E:E,"零犀赛维斯",清洗后明细!D:D,"人机")/SUMIFS(清洗后明细!L:L,清洗后明细!A:A,"2026-06",清洗后明细!E:E,"零犀赛维斯",清洗后明细!D:D,"人机")*100,"")</f>
        <v/>
      </c>
      <c r="H59" s="13">
        <f>IF(SUMIFS(清洗后明细!F:F,清洗后明细!A:A,"2026-06",清洗后明细!E:E,"零犀赛维斯",清洗后明细!D:D,"人机")&gt;0,SUMIFS(清洗后明细!G:G,清洗后明细!A:A,"2026-06",清洗后明细!E:E,"零犀赛维斯",清洗后明细!D:D,"人机")/SUMIFS(清洗后明细!F:F,清洗后明细!A:A,"2026-06",清洗后明细!E:E,"零犀赛维斯",清洗后明细!D:D,"人机")*100,"")</f>
        <v/>
      </c>
      <c r="I59" s="11">
        <f>IF(SUMIFS(清洗后明细!G:G,清洗后明细!A:A,"2026-06",清洗后明细!E:E,"零犀赛维斯",清洗后明细!D:D,"人机")&gt;0,SUMIFS(清洗后明细!H:H,清洗后明细!A:A,"2026-06",清洗后明细!E:E,"零犀赛维斯",清洗后明细!D:D,"人机")/SUMIFS(清洗后明细!G:G,清洗后明细!A:A,"2026-06",清洗后明细!E:E,"零犀赛维斯",清洗后明细!D:D,"人机"),"")</f>
        <v/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50" customWidth="1" min="4" max="4"/>
  </cols>
  <sheetData>
    <row r="1">
      <c r="A1" t="inlineStr">
        <is>
          <t>清洗后明细-列</t>
        </is>
      </c>
      <c r="B1" t="inlineStr">
        <is>
          <t>字段名</t>
        </is>
      </c>
      <c r="C1" t="inlineStr">
        <is>
          <t>类型</t>
        </is>
      </c>
      <c r="D1" t="inlineStr">
        <is>
          <t>公式</t>
        </is>
      </c>
    </row>
    <row r="2">
      <c r="A2" t="inlineStr">
        <is>
          <t>A</t>
        </is>
      </c>
      <c r="B2" t="inlineStr">
        <is>
          <t>月份</t>
        </is>
      </c>
      <c r="C2" t="inlineStr">
        <is>
          <t>原始值</t>
        </is>
      </c>
      <c r="D2" t="inlineStr"/>
    </row>
    <row r="3">
      <c r="A3" t="inlineStr">
        <is>
          <t>B</t>
        </is>
      </c>
      <c r="B3" t="inlineStr">
        <is>
          <t>业务线</t>
        </is>
      </c>
      <c r="C3" t="inlineStr">
        <is>
          <t>原始值</t>
        </is>
      </c>
      <c r="D3" t="inlineStr"/>
    </row>
    <row r="4">
      <c r="A4" t="inlineStr">
        <is>
          <t>C</t>
        </is>
      </c>
      <c r="B4" t="inlineStr">
        <is>
          <t>首复贷</t>
        </is>
      </c>
      <c r="C4" t="inlineStr">
        <is>
          <t>原始值</t>
        </is>
      </c>
      <c r="D4" t="inlineStr"/>
    </row>
    <row r="5">
      <c r="A5" t="inlineStr">
        <is>
          <t>D</t>
        </is>
      </c>
      <c r="B5" t="inlineStr">
        <is>
          <t>作业模式</t>
        </is>
      </c>
      <c r="C5" t="inlineStr">
        <is>
          <t>原始值</t>
        </is>
      </c>
      <c r="D5" t="inlineStr">
        <is>
          <t>人工/人机/纯机</t>
        </is>
      </c>
    </row>
    <row r="6">
      <c r="A6" t="inlineStr">
        <is>
          <t>E</t>
        </is>
      </c>
      <c r="B6" t="inlineStr">
        <is>
          <t>供应商</t>
        </is>
      </c>
      <c r="C6" t="inlineStr">
        <is>
          <t>原始值</t>
        </is>
      </c>
      <c r="D6" t="inlineStr">
        <is>
          <t>从职场名提取</t>
        </is>
      </c>
    </row>
    <row r="7">
      <c r="A7" t="inlineStr">
        <is>
          <t>F</t>
        </is>
      </c>
      <c r="B7" t="inlineStr">
        <is>
          <t>下发用户</t>
        </is>
      </c>
      <c r="C7" t="inlineStr">
        <is>
          <t>原始值</t>
        </is>
      </c>
      <c r="D7" t="inlineStr"/>
    </row>
    <row r="8">
      <c r="A8" t="inlineStr">
        <is>
          <t>G</t>
        </is>
      </c>
      <c r="B8" t="inlineStr">
        <is>
          <t>贷款用户</t>
        </is>
      </c>
      <c r="C8" t="inlineStr">
        <is>
          <t>原始值</t>
        </is>
      </c>
      <c r="D8" t="inlineStr"/>
    </row>
    <row r="9">
      <c r="A9" t="inlineStr">
        <is>
          <t>H</t>
        </is>
      </c>
      <c r="B9" t="inlineStr">
        <is>
          <t>贷款金额</t>
        </is>
      </c>
      <c r="C9" t="inlineStr">
        <is>
          <t>原始值</t>
        </is>
      </c>
      <c r="D9" t="inlineStr"/>
    </row>
    <row r="10">
      <c r="A10" t="inlineStr">
        <is>
          <t>I</t>
        </is>
      </c>
      <c r="B10" t="inlineStr">
        <is>
          <t>线路费</t>
        </is>
      </c>
      <c r="C10" t="inlineStr">
        <is>
          <t>原始值</t>
        </is>
      </c>
      <c r="D10" t="inlineStr"/>
    </row>
    <row r="11">
      <c r="A11" t="inlineStr">
        <is>
          <t>J</t>
        </is>
      </c>
      <c r="B11" t="inlineStr">
        <is>
          <t>还款系数</t>
        </is>
      </c>
      <c r="C11" t="inlineStr">
        <is>
          <t>原始值</t>
        </is>
      </c>
      <c r="D11" t="inlineStr">
        <is>
          <t>首贷0.07/复贷0.36(写死)</t>
        </is>
      </c>
    </row>
    <row r="12">
      <c r="A12" t="inlineStr">
        <is>
          <t>K</t>
        </is>
      </c>
      <c r="B12" t="inlineStr">
        <is>
          <t>税率</t>
        </is>
      </c>
      <c r="C12" t="inlineStr">
        <is>
          <t>原始值</t>
        </is>
      </c>
      <c r="D12" t="inlineStr">
        <is>
          <t>1.068</t>
        </is>
      </c>
    </row>
    <row r="13">
      <c r="A13" t="inlineStr">
        <is>
          <t>L</t>
        </is>
      </c>
      <c r="B13" t="inlineStr">
        <is>
          <t>费效成本</t>
        </is>
      </c>
      <c r="C13" t="inlineStr">
        <is>
          <t>原始值</t>
        </is>
      </c>
      <c r="D13" t="inlineStr"/>
    </row>
    <row r="14">
      <c r="A14" t="inlineStr">
        <is>
          <t>M</t>
        </is>
      </c>
      <c r="B14" t="inlineStr">
        <is>
          <t>到手薪资</t>
        </is>
      </c>
      <c r="C14" t="inlineStr">
        <is>
          <t>原始值</t>
        </is>
      </c>
      <c r="D14" t="inlineStr">
        <is>
          <t>税后</t>
        </is>
      </c>
    </row>
    <row r="15">
      <c r="A15" t="inlineStr">
        <is>
          <t>N</t>
        </is>
      </c>
      <c r="B15" t="inlineStr">
        <is>
          <t>数据人力</t>
        </is>
      </c>
      <c r="C15" t="inlineStr">
        <is>
          <t>原始值</t>
        </is>
      </c>
      <c r="D15" t="inlineStr">
        <is>
          <t>已清洗;12月借1月,6月借5月</t>
        </is>
      </c>
    </row>
    <row r="16">
      <c r="A16" t="inlineStr">
        <is>
          <t>O</t>
        </is>
      </c>
      <c r="B16" t="inlineStr">
        <is>
          <t>佣金部分</t>
        </is>
      </c>
      <c r="C16" t="inlineStr">
        <is>
          <t>公式</t>
        </is>
      </c>
      <c r="D16">
        <f>L-I(费效成本-线路费)</f>
        <v/>
      </c>
    </row>
    <row r="17">
      <c r="A17" t="inlineStr">
        <is>
          <t>P</t>
        </is>
      </c>
      <c r="B17" t="inlineStr">
        <is>
          <t>人工占比%</t>
        </is>
      </c>
      <c r="C17" t="inlineStr">
        <is>
          <t>公式</t>
        </is>
      </c>
      <c r="D17">
        <f>M/L*100</f>
        <v/>
      </c>
    </row>
    <row r="18">
      <c r="A18" t="inlineStr">
        <is>
          <t>Q</t>
        </is>
      </c>
      <c r="B18" t="inlineStr">
        <is>
          <t>转化率%</t>
        </is>
      </c>
      <c r="C18" t="inlineStr">
        <is>
          <t>公式</t>
        </is>
      </c>
      <c r="D18">
        <f>G/F*100</f>
        <v/>
      </c>
    </row>
    <row r="19">
      <c r="A19" t="inlineStr">
        <is>
          <t>R</t>
        </is>
      </c>
      <c r="B19" t="inlineStr">
        <is>
          <t>户均贷款</t>
        </is>
      </c>
      <c r="C19" t="inlineStr">
        <is>
          <t>公式</t>
        </is>
      </c>
      <c r="D19">
        <f>H/G</f>
        <v/>
      </c>
    </row>
    <row r="20">
      <c r="A20" t="inlineStr">
        <is>
          <t>S</t>
        </is>
      </c>
      <c r="B20" t="inlineStr">
        <is>
          <t>单用户费效</t>
        </is>
      </c>
      <c r="C20" t="inlineStr">
        <is>
          <t>公式</t>
        </is>
      </c>
      <c r="D20">
        <f>L/G</f>
        <v/>
      </c>
    </row>
    <row r="21">
      <c r="A21" t="inlineStr">
        <is>
          <t>T</t>
        </is>
      </c>
      <c r="B21" t="inlineStr">
        <is>
          <t>单用户薪资</t>
        </is>
      </c>
      <c r="C21" t="inlineStr">
        <is>
          <t>公式</t>
        </is>
      </c>
      <c r="D21">
        <f>M/G</f>
        <v/>
      </c>
    </row>
    <row r="22">
      <c r="A22" t="inlineStr">
        <is>
          <t>U</t>
        </is>
      </c>
      <c r="B22" t="inlineStr">
        <is>
          <t>元/人/月</t>
        </is>
      </c>
      <c r="C22" t="inlineStr">
        <is>
          <t>公式</t>
        </is>
      </c>
      <c r="D22">
        <f>M/N</f>
        <v/>
      </c>
    </row>
    <row r="23">
      <c r="A23" t="inlineStr">
        <is>
          <t>V</t>
        </is>
      </c>
      <c r="B23" t="inlineStr">
        <is>
          <t>线路费占比%</t>
        </is>
      </c>
      <c r="C23" t="inlineStr">
        <is>
          <t>公式</t>
        </is>
      </c>
      <c r="D23">
        <f>I/L*100</f>
        <v/>
      </c>
    </row>
    <row r="24">
      <c r="A24" t="inlineStr">
        <is>
          <t>W</t>
        </is>
      </c>
      <c r="B24" t="inlineStr">
        <is>
          <t>有效分佣率</t>
        </is>
      </c>
      <c r="C24" t="inlineStr">
        <is>
          <t>公式</t>
        </is>
      </c>
      <c r="D24">
        <f>(L-I)/(H*J)</f>
        <v/>
      </c>
    </row>
    <row r="25">
      <c r="A25" t="inlineStr">
        <is>
          <t>X</t>
        </is>
      </c>
      <c r="B25" t="inlineStr">
        <is>
          <t>真实人工x70%</t>
        </is>
      </c>
      <c r="C25" t="inlineStr">
        <is>
          <t>公式</t>
        </is>
      </c>
      <c r="D25">
        <f>M/N*0.7</f>
        <v/>
      </c>
    </row>
    <row r="26">
      <c r="A26" t="inlineStr"/>
      <c r="B26" t="inlineStr"/>
      <c r="C26" t="inlineStr"/>
      <c r="D26" t="inlineStr"/>
    </row>
    <row r="27">
      <c r="A27" t="inlineStr">
        <is>
          <t>人机全景-列</t>
        </is>
      </c>
      <c r="B27" t="inlineStr">
        <is>
          <t>字段</t>
        </is>
      </c>
      <c r="C27" t="inlineStr">
        <is>
          <t>类型</t>
        </is>
      </c>
      <c r="D27" t="inlineStr">
        <is>
          <t>公式</t>
        </is>
      </c>
    </row>
    <row r="28">
      <c r="A28" t="inlineStr">
        <is>
          <t>A</t>
        </is>
      </c>
      <c r="B28" t="inlineStr">
        <is>
          <t>供应商</t>
        </is>
      </c>
      <c r="C28" t="inlineStr">
        <is>
          <t>文本</t>
        </is>
      </c>
      <c r="D28" t="inlineStr"/>
    </row>
    <row r="29">
      <c r="A29" t="inlineStr">
        <is>
          <t>B</t>
        </is>
      </c>
      <c r="B29" t="inlineStr">
        <is>
          <t>月份</t>
        </is>
      </c>
      <c r="C29" t="inlineStr">
        <is>
          <t>文本</t>
        </is>
      </c>
      <c r="D29" t="inlineStr"/>
    </row>
    <row r="30">
      <c r="A30" t="inlineStr">
        <is>
          <t>C</t>
        </is>
      </c>
      <c r="B30" t="inlineStr">
        <is>
          <t>到手薪资</t>
        </is>
      </c>
      <c r="C30" t="inlineStr">
        <is>
          <t>公式</t>
        </is>
      </c>
      <c r="D30" t="inlineStr">
        <is>
          <t>SUMIFS(清洗后明细!M,月份,供应商,人机)</t>
        </is>
      </c>
    </row>
    <row r="31">
      <c r="A31" t="inlineStr">
        <is>
          <t>D</t>
        </is>
      </c>
      <c r="B31" t="inlineStr">
        <is>
          <t>人力</t>
        </is>
      </c>
      <c r="C31" t="inlineStr">
        <is>
          <t>公式</t>
        </is>
      </c>
      <c r="D31" t="inlineStr">
        <is>
          <t>SUMIFS(清洗后明细!N,...)</t>
        </is>
      </c>
    </row>
    <row r="32">
      <c r="A32" t="inlineStr">
        <is>
          <t>E</t>
        </is>
      </c>
      <c r="B32" t="inlineStr">
        <is>
          <t>元/人/月</t>
        </is>
      </c>
      <c r="C32" t="inlineStr">
        <is>
          <t>公式</t>
        </is>
      </c>
      <c r="D32">
        <f>C/D</f>
        <v/>
      </c>
    </row>
    <row r="33">
      <c r="A33" t="inlineStr">
        <is>
          <t>F</t>
        </is>
      </c>
      <c r="B33" t="inlineStr">
        <is>
          <t>真实人工x70%</t>
        </is>
      </c>
      <c r="C33" t="inlineStr">
        <is>
          <t>公式</t>
        </is>
      </c>
      <c r="D33">
        <f>C/D*0.7</f>
        <v/>
      </c>
    </row>
    <row r="34">
      <c r="A34" t="inlineStr">
        <is>
          <t>G</t>
        </is>
      </c>
      <c r="B34" t="inlineStr">
        <is>
          <t>线路费占比%</t>
        </is>
      </c>
      <c r="C34" t="inlineStr">
        <is>
          <t>公式</t>
        </is>
      </c>
      <c r="D34">
        <f>SUMIFS(线路费)/SUMIFS(成本)*100</f>
        <v/>
      </c>
    </row>
    <row r="35">
      <c r="A35" t="inlineStr">
        <is>
          <t>H</t>
        </is>
      </c>
      <c r="B35" t="inlineStr">
        <is>
          <t>转化率%</t>
        </is>
      </c>
      <c r="C35" t="inlineStr">
        <is>
          <t>公式</t>
        </is>
      </c>
      <c r="D35">
        <f>SUMIFS(贷款用户)/SUMIFS(下发用户)*100</f>
        <v/>
      </c>
    </row>
    <row r="36">
      <c r="A36" t="inlineStr">
        <is>
          <t>I</t>
        </is>
      </c>
      <c r="B36" t="inlineStr">
        <is>
          <t>户均贷款</t>
        </is>
      </c>
      <c r="C36" t="inlineStr">
        <is>
          <t>公式</t>
        </is>
      </c>
      <c r="D36">
        <f>SUMIFS(贷款金额)/SUMIFS(贷款用户)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2026-06-03T05:05:38Z</dcterms:created>
  <dcterms:modified xmlns:dcterms="http://purl.org/dc/terms/" xmlns:xsi="http://www.w3.org/2001/XMLSchema-instance" xsi:type="dcterms:W3CDTF">2026-06-03T05:05:39Z</dcterms:modified>
</cp:coreProperties>
</file>