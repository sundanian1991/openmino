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jibin5\Desktop\"/>
    </mc:Choice>
  </mc:AlternateContent>
  <xr:revisionPtr revIDLastSave="0" documentId="8_{184C7CE3-1C3E-4030-9574-870B00B8068C}" xr6:coauthVersionLast="47" xr6:coauthVersionMax="47" xr10:uidLastSave="{00000000-0000-0000-0000-000000000000}"/>
  <bookViews>
    <workbookView xWindow="-38520" yWindow="-2070" windowWidth="38640" windowHeight="21120" xr2:uid="{D3A21ECF-DEE9-4BC7-A896-0CEFB709F222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" l="1"/>
  <c r="J9" i="1" s="1"/>
  <c r="H8" i="1"/>
  <c r="J8" i="1" s="1"/>
  <c r="J7" i="1"/>
  <c r="H7" i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<sst xmlns="http://schemas.openxmlformats.org/spreadsheetml/2006/main" count="26" uniqueCount="19">
  <si>
    <t>统计月份</t>
  </si>
  <si>
    <t>客群类型</t>
  </si>
  <si>
    <t>职场名称</t>
  </si>
  <si>
    <t>下发转化金额</t>
  </si>
  <si>
    <t>下发次数</t>
  </si>
  <si>
    <t>截面放款金-拉新</t>
    <phoneticPr fontId="2" type="noConversion"/>
  </si>
  <si>
    <t>截面放款金-促提</t>
    <phoneticPr fontId="2" type="noConversion"/>
  </si>
  <si>
    <t>截面放款金-合计</t>
    <phoneticPr fontId="2" type="noConversion"/>
  </si>
  <si>
    <t>当月目标</t>
  </si>
  <si>
    <t>GMV目标达成率</t>
  </si>
  <si>
    <t>新客-未授信</t>
  </si>
  <si>
    <t>B端企业主贷大额人工-汇讯职场</t>
  </si>
  <si>
    <t>B端企业主贷大额人工-新动力职场</t>
  </si>
  <si>
    <t>B端企业主贷大额人工-锦瑞职场</t>
  </si>
  <si>
    <t>B端企业主贷大额人工-德辰职场</t>
  </si>
  <si>
    <t>B端企业主贷大额人工-广达职场</t>
  </si>
  <si>
    <t>B端企业主贷大额人工-中乾职场</t>
  </si>
  <si>
    <t>B端企业主贷大额人工-速腾职场</t>
  </si>
  <si>
    <t>B端企业主贷大额人工-九通职场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</si>
</sst>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D634-BA50-4FDB-A5B9-1D7D87D75FEE}">
  <dimension ref="A1:J9"/>
  <sheetViews>
    <sheetView tabSelected="1" workbookViewId="0">
      <selection sqref="A1:F5"/>
    </sheetView>
  </sheetViews>
  <sheetFormatPr defaultRowHeight="14" x14ac:dyDescent="0.3"/>
  <cols>
    <col min="2" max="2" width="10.83203125" customWidth="1"/>
    <col min="3" max="3" width="21.83203125" customWidth="1"/>
    <col min="4" max="4" width="12.08203125" customWidth="1"/>
    <col min="5" max="5" width="9.9140625" customWidth="1"/>
    <col min="6" max="6" width="13.1640625" customWidth="1"/>
    <col min="7" max="7" width="13.9140625" customWidth="1"/>
    <col min="8" max="8" width="13" customWidth="1"/>
    <col min="9" max="9" width="12.9140625" customWidth="1"/>
    <col min="10" max="10" width="11.58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46082</v>
      </c>
      <c r="B2" s="1" t="s">
        <v>10</v>
      </c>
      <c r="C2" s="1" t="s">
        <v>11</v>
      </c>
      <c r="D2" s="3">
        <v>52785700</v>
      </c>
      <c r="E2" s="1">
        <v>320604</v>
      </c>
      <c r="F2" s="3">
        <v>78244400</v>
      </c>
      <c r="G2" s="3">
        <v>8740900</v>
      </c>
      <c r="H2" s="3">
        <f>F2+G2</f>
        <v>86985300</v>
      </c>
      <c r="I2" s="3">
        <v>65629410</v>
      </c>
      <c r="J2" s="4">
        <f>H2/I2</f>
        <v>1.3254012187523856</v>
      </c>
    </row>
    <row r="3" spans="1:10" x14ac:dyDescent="0.3">
      <c r="A3" s="2">
        <v>46082</v>
      </c>
      <c r="B3" s="1" t="s">
        <v>10</v>
      </c>
      <c r="C3" s="1" t="s">
        <v>12</v>
      </c>
      <c r="D3" s="3">
        <v>28349300</v>
      </c>
      <c r="E3" s="1">
        <v>286620</v>
      </c>
      <c r="F3" s="3">
        <v>44163900</v>
      </c>
      <c r="G3" s="3">
        <v>17091900</v>
      </c>
      <c r="H3" s="3">
        <f>F3+G3</f>
        <v>61255800</v>
      </c>
      <c r="I3" s="3">
        <v>57888505</v>
      </c>
      <c r="J3" s="4">
        <f>H3/I3</f>
        <v>1.0581686295059787</v>
      </c>
    </row>
    <row r="4" spans="1:10" x14ac:dyDescent="0.3">
      <c r="A4" s="2">
        <v>46082</v>
      </c>
      <c r="B4" s="1" t="s">
        <v>10</v>
      </c>
      <c r="C4" s="1" t="s">
        <v>13</v>
      </c>
      <c r="D4" s="3">
        <v>16391200</v>
      </c>
      <c r="E4" s="1">
        <v>130157</v>
      </c>
      <c r="F4" s="3">
        <v>21600700</v>
      </c>
      <c r="G4" s="3">
        <v>5948700</v>
      </c>
      <c r="H4" s="3">
        <f>F4+G4</f>
        <v>27549400</v>
      </c>
      <c r="I4" s="3">
        <v>26504185</v>
      </c>
      <c r="J4" s="4">
        <f>H4/I4</f>
        <v>1.0394358475840701</v>
      </c>
    </row>
    <row r="5" spans="1:10" x14ac:dyDescent="0.3">
      <c r="A5" s="2">
        <v>46082</v>
      </c>
      <c r="B5" s="1" t="s">
        <v>10</v>
      </c>
      <c r="C5" s="1" t="s">
        <v>14</v>
      </c>
      <c r="D5" s="3">
        <v>18198800</v>
      </c>
      <c r="E5" s="1">
        <v>147530</v>
      </c>
      <c r="F5" s="3">
        <v>22556800</v>
      </c>
      <c r="G5" s="3">
        <v>5496400</v>
      </c>
      <c r="H5" s="3">
        <f>F5+G5</f>
        <v>28053200</v>
      </c>
      <c r="I5" s="3">
        <v>29869796</v>
      </c>
      <c r="J5" s="4">
        <f>H5/I5</f>
        <v>0.93918284544025676</v>
      </c>
    </row>
    <row r="6" spans="1:10" x14ac:dyDescent="0.3">
      <c r="A6" s="2">
        <v>46082</v>
      </c>
      <c r="B6" s="1" t="s">
        <v>10</v>
      </c>
      <c r="C6" s="1" t="s">
        <v>15</v>
      </c>
      <c r="D6" s="3">
        <v>16525800</v>
      </c>
      <c r="E6" s="1">
        <v>208724</v>
      </c>
      <c r="F6" s="3">
        <v>25165500</v>
      </c>
      <c r="G6" s="3">
        <v>10716900</v>
      </c>
      <c r="H6" s="3">
        <f>F6+G6</f>
        <v>35882400</v>
      </c>
      <c r="I6" s="3">
        <v>42070135</v>
      </c>
      <c r="J6" s="4">
        <f>H6/I6</f>
        <v>0.85291858464442771</v>
      </c>
    </row>
    <row r="7" spans="1:10" x14ac:dyDescent="0.3">
      <c r="A7" s="2">
        <v>46082</v>
      </c>
      <c r="B7" s="1" t="s">
        <v>10</v>
      </c>
      <c r="C7" s="1" t="s">
        <v>16</v>
      </c>
      <c r="D7" s="3">
        <v>10980400</v>
      </c>
      <c r="E7" s="1">
        <v>176187</v>
      </c>
      <c r="F7" s="3">
        <v>20320400</v>
      </c>
      <c r="G7" s="3">
        <v>8060700</v>
      </c>
      <c r="H7" s="3">
        <f>F7+G7</f>
        <v>28381100</v>
      </c>
      <c r="I7" s="3">
        <v>35338913</v>
      </c>
      <c r="J7" s="4">
        <f>H7/I7</f>
        <v>0.80311185576081523</v>
      </c>
    </row>
    <row r="8" spans="1:10" x14ac:dyDescent="0.3">
      <c r="A8" s="2">
        <v>46082</v>
      </c>
      <c r="B8" s="1" t="s">
        <v>10</v>
      </c>
      <c r="C8" s="1" t="s">
        <v>17</v>
      </c>
      <c r="D8" s="3">
        <v>4200600</v>
      </c>
      <c r="E8" s="1">
        <v>60941</v>
      </c>
      <c r="F8" s="3">
        <v>7414800</v>
      </c>
      <c r="G8" s="3">
        <v>2174700</v>
      </c>
      <c r="H8" s="3">
        <f>F8+G8</f>
        <v>9589500</v>
      </c>
      <c r="I8" s="3">
        <v>12621040</v>
      </c>
      <c r="J8" s="4">
        <f>H8/I8</f>
        <v>0.75980267870159668</v>
      </c>
    </row>
    <row r="9" spans="1:10" x14ac:dyDescent="0.3">
      <c r="A9" s="2">
        <v>46082</v>
      </c>
      <c r="B9" s="1" t="s">
        <v>10</v>
      </c>
      <c r="C9" s="1" t="s">
        <v>18</v>
      </c>
      <c r="D9" s="3">
        <v>5016100</v>
      </c>
      <c r="E9" s="1">
        <v>60941</v>
      </c>
      <c r="F9" s="3">
        <v>7933500</v>
      </c>
      <c r="G9" s="3">
        <v>673000</v>
      </c>
      <c r="H9" s="3">
        <f>F9+G9</f>
        <v>8606500</v>
      </c>
      <c r="I9" s="3">
        <v>12621040</v>
      </c>
      <c r="J9" s="4">
        <f>H9/I9</f>
        <v>0.68191686263572571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>JD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李吉斌</dc:creator>
  <cp:lastModifiedBy>李吉斌</cp:lastModifiedBy>
  <dcterms:created xsi:type="dcterms:W3CDTF">2026-04-07T06:34:55Z</dcterms:created>
  <dcterms:modified xsi:type="dcterms:W3CDTF">2026-04-07T06:35:16Z</dcterms:modified>
</cp:coreProperties>
</file>