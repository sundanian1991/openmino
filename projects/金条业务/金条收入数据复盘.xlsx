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 activeTab="2"/>
  </bookViews>
  <sheets>
    <sheet name="补充还款率" sheetId="4" r:id="rId1"/>
    <sheet name="Sheet4" sheetId="5" r:id="rId2"/>
    <sheet name="Sheet6" sheetId="7" r:id="rId3"/>
    <sheet name="Sheet1" sheetId="1" r:id="rId4"/>
    <sheet name="Sheet2" sheetId="3" r:id="rId5"/>
  </sheets>
  <definedNames>
    <definedName name="_xlnm._FilterDatabase" localSheetId="3" hidden="1">Sheet1!$A$1:$Y$125</definedName>
  </definedNames>
  <calcPr calcId="191029" concurrentCalc="0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<sst xmlns="http://schemas.openxmlformats.org/spreadsheetml/2006/main" count="752" uniqueCount="71">
  <si>
    <t>求和项:贷款金额</t>
  </si>
  <si>
    <t>首复贷类型</t>
  </si>
  <si>
    <t>10日实际内还款率</t>
  </si>
  <si>
    <t>结算表固定值</t>
  </si>
  <si>
    <t>实际纠偏系数</t>
  </si>
  <si>
    <t>月份</t>
  </si>
  <si>
    <t>复贷</t>
  </si>
  <si>
    <t>首贷</t>
  </si>
  <si>
    <t>总计</t>
  </si>
  <si>
    <t>求和项:下发用户数</t>
  </si>
  <si>
    <t>求和项:到手薪资（税后）</t>
  </si>
  <si>
    <t>求和项:数据人力</t>
  </si>
  <si>
    <t>到手薪资*纠偏系数</t>
  </si>
  <si>
    <t>纠偏后*分佣比例0.7</t>
  </si>
  <si>
    <t>精算后人均到手</t>
  </si>
  <si>
    <t>求和项:线路费</t>
  </si>
  <si>
    <t>线路费占比</t>
  </si>
  <si>
    <t>业务线</t>
  </si>
  <si>
    <t>(全部)</t>
  </si>
  <si>
    <t>实际纠偏后</t>
  </si>
  <si>
    <t>收入环比降幅</t>
  </si>
  <si>
    <t>贷款金额环比降幅</t>
  </si>
  <si>
    <t>平均值项:还款系数</t>
  </si>
  <si>
    <t>平均值项:税率</t>
  </si>
  <si>
    <t>求和项:费效成本</t>
  </si>
  <si>
    <t>作业模式</t>
  </si>
  <si>
    <t>职场</t>
  </si>
  <si>
    <t>批次</t>
  </si>
  <si>
    <t>下发用户数</t>
  </si>
  <si>
    <t>贷款用户数</t>
  </si>
  <si>
    <t>贷款金额</t>
  </si>
  <si>
    <t>线路费</t>
  </si>
  <si>
    <t>还款系数</t>
  </si>
  <si>
    <t>税率</t>
  </si>
  <si>
    <t>费效成本</t>
  </si>
  <si>
    <t>到手薪资（税后）</t>
  </si>
  <si>
    <t>数据人力</t>
  </si>
  <si>
    <t>人均费效成本</t>
  </si>
  <si>
    <t>人均到手薪资</t>
  </si>
  <si>
    <t>上月费效成本</t>
  </si>
  <si>
    <t>上月到手薪资</t>
  </si>
  <si>
    <t>上月人均费效成本</t>
  </si>
  <si>
    <t>上月人均到手薪资</t>
  </si>
  <si>
    <t>费效成本环比</t>
  </si>
  <si>
    <t>人均费效成本环比</t>
  </si>
  <si>
    <t>人均到手薪资环比</t>
  </si>
  <si>
    <t>手工补充--人工分佣比例</t>
  </si>
  <si>
    <t>金条</t>
  </si>
  <si>
    <t>人机</t>
  </si>
  <si>
    <t>管户金条-零犀伽玛机器人职场</t>
  </si>
  <si>
    <t>ALL</t>
  </si>
  <si>
    <t>管户金条-零犀机器人职场</t>
  </si>
  <si>
    <t>管户金条-宿迁兆科职场</t>
  </si>
  <si>
    <t>管户金条-零犀毛毛虫机器人职场</t>
  </si>
  <si>
    <t>管户金条-赛维斯机器人职场</t>
  </si>
  <si>
    <t>管户金条-广达陕西职场</t>
  </si>
  <si>
    <t>管户金条-零犀毅航机器人职场</t>
  </si>
  <si>
    <t>管户金条-零犀赛维斯机器人职场</t>
  </si>
  <si>
    <t>管户金条-伽玛职场</t>
  </si>
  <si>
    <t>管户金条-汇讯职场</t>
  </si>
  <si>
    <t>管户金条-零犀岐力机器人职场</t>
  </si>
  <si>
    <t>管户金条-岐力职场</t>
  </si>
  <si>
    <t>管户金条-华啸职场</t>
  </si>
  <si>
    <t>管户金条-毅航合肥职场</t>
  </si>
  <si>
    <t>管户金条-毛毛虫职场</t>
  </si>
  <si>
    <t>管户金条-人和职场</t>
  </si>
  <si>
    <t>管户金条-赛维斯职场</t>
  </si>
  <si>
    <t>管户金条-博岳石家庄职场</t>
  </si>
  <si>
    <t>管户金条-翰锐曲靖职场</t>
  </si>
  <si>
    <t>管户金条-毛毛虫机器人职场</t>
  </si>
  <si>
    <t>管户金条-兴格毅职场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</si>
</sst>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yyyy\.m\.d;@"/>
    <numFmt numFmtId="179" formatCode="0.000%"/>
  </numFmts>
  <fonts count="23">
    <font>
      <sz val="11"/>
      <color theme="1"/>
      <name val="宋体"/>
      <charset val="134"/>
      <scheme val="minor"/>
    </font>
    <font>
      <b/>
      <sz val="12"/>
      <name val="Calibri"/>
      <charset val="0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>
      <alignment vertical="center"/>
    </xf>
    <xf numFmtId="178" fontId="3" fillId="0" borderId="0" xfId="0" applyNumberFormat="1" applyFont="1">
      <alignment vertical="center"/>
    </xf>
    <xf numFmtId="0" fontId="3" fillId="0" borderId="0" xfId="0" applyFont="1">
      <alignment vertical="center"/>
    </xf>
    <xf numFmtId="3" fontId="3" fillId="0" borderId="0" xfId="0" applyNumberFormat="1" applyFont="1" applyAlignment="1"/>
    <xf numFmtId="10" fontId="3" fillId="0" borderId="0" xfId="0" applyNumberFormat="1" applyFont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8" fontId="0" fillId="0" borderId="2" xfId="0" applyNumberFormat="1" applyBorder="1">
      <alignment vertical="center"/>
    </xf>
    <xf numFmtId="178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9" fontId="2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12" Target="styles.xml" Type="http://schemas.openxmlformats.org/officeDocument/2006/relationships/style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pivotCache/pivotCacheDefinition1.xml" Type="http://schemas.openxmlformats.org/officeDocument/2006/relationships/pivotCacheDefinition"/><Relationship Id="rId7" Target="theme/theme1.xml" Type="http://schemas.openxmlformats.org/officeDocument/2006/relationships/theme"/><Relationship Id="rId8" Target="sharedStrings.xml" Type="http://schemas.openxmlformats.org/officeDocument/2006/relationships/sharedStrings"/><Relationship Id="rId9" Target="../customXml/item1.xml" Type="http://schemas.openxmlformats.org/officeDocument/2006/relationships/customXml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519375" refreshedBy="Unknown User" recordCount="124">
  <cacheSource type="worksheet">
    <worksheetSource ref="A1:Y125" sheet="Sheet1"/>
  </cacheSource>
  <cacheFields count="25">
    <cacheField name="月份" numFmtId="178">
      <sharedItems containsSemiMixedTypes="0" containsString="0" containsNonDate="0" containsDate="1" minDate="2025-12-01T00:00:00" maxDate="2026-06-01T00:00:00" count="7">
        <d v="2026-06-01T00:00:00"/>
        <d v="2026-05-01T00:00:00"/>
        <d v="2026-04-01T00:00:00"/>
        <d v="2026-03-01T00:00:00"/>
        <d v="2026-02-01T00:00:00"/>
        <d v="2026-01-01T00:00:00"/>
        <d v="2025-12-01T00:00:00"/>
      </sharedItems>
    </cacheField>
    <cacheField name="业务线" numFmtId="0">
      <sharedItems count="1">
        <s v="金条"/>
      </sharedItems>
    </cacheField>
    <cacheField name="首复贷类型" numFmtId="0">
      <sharedItems count="2">
        <s v="首贷"/>
        <s v="复贷"/>
      </sharedItems>
    </cacheField>
    <cacheField name="作业模式" numFmtId="0">
      <sharedItems count="1">
        <s v="人机"/>
      </sharedItems>
    </cacheField>
    <cacheField name="职场" numFmtId="0">
      <sharedItems count="21">
        <s v="管户金条-零犀伽玛机器人职场"/>
        <s v="管户金条-零犀机器人职场"/>
        <s v="管户金条-宿迁兆科职场"/>
        <s v="管户金条-零犀毛毛虫机器人职场"/>
        <s v="管户金条-赛维斯机器人职场"/>
        <s v="管户金条-广达陕西职场"/>
        <s v="管户金条-零犀毅航机器人职场"/>
        <s v="管户金条-零犀赛维斯机器人职场"/>
        <s v="管户金条-伽玛职场"/>
        <s v="管户金条-汇讯职场"/>
        <s v="管户金条-零犀岐力机器人职场"/>
        <s v="管户金条-岐力职场"/>
        <s v="管户金条-华啸职场"/>
        <s v="管户金条-毅航合肥职场"/>
        <s v="管户金条-毛毛虫职场"/>
        <s v="管户金条-人和职场"/>
        <s v="管户金条-赛维斯职场"/>
        <s v="管户金条-博岳石家庄职场"/>
        <s v="管户金条-翰锐曲靖职场"/>
        <s v="管户金条-毛毛虫机器人职场"/>
        <s v="管户金条-兴格毅职场"/>
      </sharedItems>
    </cacheField>
    <cacheField name="批次" numFmtId="0">
      <sharedItems count="1">
        <s v="ALL"/>
      </sharedItems>
    </cacheField>
    <cacheField name="下发用户数" numFmtId="0">
      <sharedItems containsString="0" containsBlank="1" containsNumber="1" containsInteger="1" minValue="0" maxValue="11431889" count="65">
        <n v="119494"/>
        <n v="670101"/>
        <n v="86342"/>
        <n v="138421"/>
        <n v="149470"/>
        <m/>
        <n v="299365"/>
        <n v="111594"/>
        <n v="135772"/>
        <n v="74053"/>
        <n v="37021"/>
        <n v="1582614"/>
        <n v="2119835"/>
        <n v="9508251"/>
        <n v="1994659"/>
        <n v="1245348"/>
        <n v="1736467"/>
        <n v="4189115"/>
        <n v="682974"/>
        <n v="1403193"/>
        <n v="2469598"/>
        <n v="1842708"/>
        <n v="2068765"/>
        <n v="1275592"/>
        <n v="9338995"/>
        <n v="2046767"/>
        <n v="1568552"/>
        <n v="3874420"/>
        <n v="2412643"/>
        <n v="400927"/>
        <n v="1597108"/>
        <n v="2538583"/>
        <n v="2067952"/>
        <n v="4490702"/>
        <n v="11431889"/>
        <n v="2377809"/>
        <n v="2487539"/>
        <n v="2422401"/>
        <n v="1898555"/>
        <n v="2805719"/>
        <n v="1629177"/>
        <n v="1460836"/>
        <n v="1689656"/>
        <n v="7609280"/>
        <n v="1707961"/>
        <n v="1141113"/>
        <n v="1041307"/>
        <n v="3781808"/>
        <n v="10262894"/>
        <n v="2278892"/>
        <n v="2513420"/>
        <n v="1948705"/>
        <n v="2011172"/>
        <n v="1226730"/>
        <n v="1917233"/>
        <n v="133138"/>
        <n v="8089614"/>
        <n v="2981407"/>
        <n v="1343102"/>
        <n v="1941415"/>
        <n v="1572247"/>
        <n v="2038874"/>
        <n v="3118729"/>
        <n v="1041009"/>
        <n v="754936"/>
      </sharedItems>
    </cacheField>
    <cacheField name="贷款用户数" numFmtId="0">
      <sharedItems containsString="0" containsBlank="1" containsNumber="1" containsInteger="1" minValue="0" maxValue="36796" count="65">
        <n v="400"/>
        <n v="2611"/>
        <n v="433"/>
        <n v="483"/>
        <n v="547"/>
        <m/>
        <n v="1104"/>
        <n v="362"/>
        <n v="1665"/>
        <n v="906"/>
        <n v="422"/>
        <n v="4470"/>
        <n v="5551"/>
        <n v="28042"/>
        <n v="5685"/>
        <n v="3963"/>
        <n v="4620"/>
        <n v="12058"/>
        <n v="5319"/>
        <n v="11983"/>
        <n v="19582"/>
        <n v="5810"/>
        <n v="6788"/>
        <n v="3775"/>
        <n v="31247"/>
        <n v="6698"/>
        <n v="5455"/>
        <n v="13398"/>
        <n v="19719"/>
        <n v="1806"/>
        <n v="14155"/>
        <n v="6992"/>
        <n v="6303"/>
        <n v="14117"/>
        <n v="36796"/>
        <n v="7463"/>
        <n v="7715"/>
        <n v="12800"/>
        <n v="10480"/>
        <n v="9502"/>
        <n v="5382"/>
        <n v="4708"/>
        <n v="5046"/>
        <n v="26505"/>
        <n v="5415"/>
        <n v="7859"/>
        <n v="6409"/>
        <n v="12862"/>
        <n v="34844"/>
        <n v="6405"/>
        <n v="7945"/>
        <n v="6662"/>
        <n v="6569"/>
        <n v="6912"/>
        <n v="13579"/>
        <n v="2032"/>
        <n v="28195"/>
        <n v="10029"/>
        <n v="4569"/>
        <n v="6177"/>
        <n v="5317"/>
        <n v="6006"/>
        <n v="13855"/>
        <n v="5086"/>
        <n v="3827"/>
      </sharedItems>
    </cacheField>
    <cacheField name="贷款金额" numFmtId="0">
      <sharedItems containsString="0" containsBlank="1" containsNumber="1" containsInteger="1" minValue="0" maxValue="768615100" count="65">
        <n v="5930600"/>
        <n v="41320300"/>
        <n v="6827200"/>
        <n v="6735400"/>
        <n v="7627300"/>
        <m/>
        <n v="18162600"/>
        <n v="4362100"/>
        <n v="59526300"/>
        <n v="25475500"/>
        <n v="13026300"/>
        <n v="57706600"/>
        <n v="75946300"/>
        <n v="400126600"/>
        <n v="71498600"/>
        <n v="56408600"/>
        <n v="60547900"/>
        <n v="206698300"/>
        <n v="185917200"/>
        <n v="386782900"/>
        <n v="757100100"/>
        <n v="86552400"/>
        <n v="95119200"/>
        <n v="57906700"/>
        <n v="504906100"/>
        <n v="97070000"/>
        <n v="78840700"/>
        <n v="225161700"/>
        <n v="762706600"/>
        <n v="59458400"/>
        <n v="483831700"/>
        <n v="116176800"/>
        <n v="97673200"/>
        <n v="269057100"/>
        <n v="651917900"/>
        <n v="118973900"/>
        <n v="125628900"/>
        <n v="698872500"/>
        <n v="533657300"/>
        <n v="163371200"/>
        <n v="94785000"/>
        <n v="80363800"/>
        <n v="86820600"/>
        <n v="486979600"/>
        <n v="85660400"/>
        <n v="452672200"/>
        <n v="351528700"/>
        <n v="262594900"/>
        <n v="768615100"/>
        <n v="107764500"/>
        <n v="144302700"/>
        <n v="131905400"/>
        <n v="120954300"/>
        <n v="325158800"/>
        <n v="669310200"/>
        <n v="81377200"/>
        <n v="500741300"/>
        <n v="174547100"/>
        <n v="74540300"/>
        <n v="95096000"/>
        <n v="92059900"/>
        <n v="92456600"/>
        <n v="584973900"/>
        <n v="226073700"/>
        <n v="166906700"/>
      </sharedItems>
    </cacheField>
    <cacheField name="线路费" numFmtId="3">
      <sharedItems containsSemiMixedTypes="0" containsString="0" containsNumber="1" containsInteger="1" minValue="0" maxValue="1171970" count="80">
        <n v="11897"/>
        <n v="72122"/>
        <n v="15065"/>
        <n v="12185"/>
        <n v="20655"/>
        <n v="0"/>
        <n v="35211"/>
        <n v="14258"/>
        <n v="14270"/>
        <n v="1"/>
        <n v="8455"/>
        <n v="4255"/>
        <n v="196911"/>
        <n v="255010"/>
        <n v="955697"/>
        <n v="246528"/>
        <n v="149621"/>
        <n v="197911"/>
        <n v="490088"/>
        <n v="70880"/>
        <n v="6"/>
        <n v="23"/>
        <n v="5"/>
        <n v="162536"/>
        <n v="7"/>
        <n v="2"/>
        <n v="210609"/>
        <n v="4"/>
        <n v="240739"/>
        <n v="3"/>
        <n v="329843"/>
        <n v="66"/>
        <n v="138457"/>
        <n v="1062867"/>
        <n v="16"/>
        <n v="280276"/>
        <n v="223276"/>
        <n v="465938"/>
        <n v="218939"/>
        <n v="33362"/>
        <n v="218099"/>
        <n v="322159"/>
        <n v="248131"/>
        <n v="488765"/>
        <n v="25"/>
        <n v="1171970"/>
        <n v="270934"/>
        <n v="11"/>
        <n v="275693"/>
        <n v="208376"/>
        <n v="228213"/>
        <n v="333082"/>
        <n v="177917"/>
        <n v="173852"/>
        <n v="210074"/>
        <n v="812497"/>
        <n v="192263"/>
        <n v="110634"/>
        <n v="122268"/>
        <n v="401334"/>
        <n v="1072642"/>
        <n v="14"/>
        <n v="10"/>
        <n v="261155"/>
        <n v="271934"/>
        <n v="211660"/>
        <n v="233130"/>
        <n v="27"/>
        <n v="149137"/>
        <n v="186327"/>
        <n v="15711"/>
        <n v="857516"/>
        <n v="306773"/>
        <n v="148613"/>
        <n v="221692"/>
        <n v="171887"/>
        <n v="197432"/>
        <n v="242156"/>
        <n v="97778"/>
        <n v="79638"/>
      </sharedItems>
    </cacheField>
    <cacheField name="还款系数" numFmtId="10">
      <sharedItems containsSemiMixedTypes="0" containsString="0" containsNumber="1" minValue="0" maxValue="0.36" count="2">
        <n v="0.07"/>
        <n v="0.36"/>
      </sharedItems>
    </cacheField>
    <cacheField name="税率" numFmtId="0">
      <sharedItems containsSemiMixedTypes="0" containsString="0" containsNumber="1" minValue="0" maxValue="1.068" count="1">
        <n v="1.068"/>
      </sharedItems>
    </cacheField>
    <cacheField name="费效成本" numFmtId="0">
      <sharedItems containsString="0" containsBlank="1" containsNumber="1" containsInteger="1" minValue="0" maxValue="4169398" count="65">
        <n v="31936"/>
        <n v="220258"/>
        <n v="39172"/>
        <n v="35500"/>
        <n v="40428"/>
        <m/>
        <n v="97211"/>
        <n v="23624"/>
        <n v="44671"/>
        <n v="18653"/>
        <n v="9010"/>
        <n v="321644"/>
        <n v="413896"/>
        <n v="2166024"/>
        <n v="396638"/>
        <n v="307088"/>
        <n v="330882"/>
        <n v="1160244"/>
        <n v="134797"/>
        <n v="290198"/>
        <n v="573951"/>
        <n v="495619"/>
        <n v="527150"/>
        <n v="325335"/>
        <n v="2848274"/>
        <n v="551470"/>
        <n v="448690"/>
        <n v="1275039"/>
        <n v="598097"/>
        <n v="38628"/>
        <n v="384855"/>
        <n v="624824"/>
        <n v="523903"/>
        <n v="1454274"/>
        <n v="3538571"/>
        <n v="637468"/>
        <n v="677182"/>
        <n v="805101"/>
        <n v="614773"/>
        <n v="899327"/>
        <n v="514619"/>
        <n v="440231"/>
        <n v="474192"/>
        <n v="2636880"/>
        <n v="461873"/>
        <n v="521478"/>
        <n v="404961"/>
        <n v="1422467"/>
        <n v="4169398"/>
        <n v="581592"/>
        <n v="781279"/>
        <n v="703632"/>
        <n v="646912"/>
        <n v="374583"/>
        <n v="771045"/>
        <n v="93747"/>
        <n v="3102415"/>
        <n v="1087956"/>
        <n v="455865"/>
        <n v="592297"/>
        <n v="554755"/>
        <n v="562995"/>
        <n v="666176"/>
        <n v="257543"/>
        <n v="190140"/>
      </sharedItems>
    </cacheField>
    <cacheField name="到手薪资（税后）" numFmtId="0">
      <sharedItems containsString="0" containsBlank="1" containsNumber="1" containsInteger="1" minValue="0" maxValue="2899584" count="65">
        <n v="18762"/>
        <n v="138704"/>
        <n v="22572"/>
        <n v="21830"/>
        <n v="18514"/>
        <m/>
        <n v="58052"/>
        <n v="8770"/>
        <n v="28465"/>
        <n v="9549"/>
        <n v="4453"/>
        <n v="116791"/>
        <n v="148770"/>
        <n v="1133265"/>
        <n v="140553"/>
        <n v="147441"/>
        <n v="124504"/>
        <n v="627487"/>
        <n v="59847"/>
        <n v="119533"/>
        <n v="340208"/>
        <n v="238652"/>
        <n v="184745"/>
        <n v="174979"/>
        <n v="1671729"/>
        <n v="253927"/>
        <n v="211062"/>
        <n v="757585"/>
        <n v="355017"/>
        <n v="4931"/>
        <n v="156139"/>
        <n v="283394"/>
        <n v="258213"/>
        <n v="904034"/>
        <n v="2215918"/>
        <n v="343196"/>
        <n v="375927"/>
        <n v="558731"/>
        <n v="361948"/>
        <n v="530192"/>
        <n v="315264"/>
        <n v="249418"/>
        <n v="247302"/>
        <n v="1708224"/>
        <n v="252444"/>
        <n v="384686"/>
        <n v="264694"/>
        <n v="956117"/>
        <n v="2899584"/>
        <n v="300035"/>
        <n v="476915"/>
        <n v="460647"/>
        <n v="387437"/>
        <n v="211092"/>
        <n v="547490"/>
        <n v="73067"/>
        <n v="2101966"/>
        <n v="731445"/>
        <n v="287689"/>
        <n v="347008"/>
        <n v="358491"/>
        <n v="342288"/>
        <n v="397023"/>
        <n v="149593"/>
        <n v="103466"/>
      </sharedItems>
    </cacheField>
    <cacheField name="数据人力" numFmtId="0">
      <sharedItems containsString="0" containsBlank="1" containsNumber="1" containsInteger="1" minValue="0" maxValue="83" count="24">
        <m/>
        <n v="18"/>
        <n v="25"/>
        <n v="67"/>
        <n v="23"/>
        <n v="14"/>
        <n v="24"/>
        <n v="43"/>
        <n v="13"/>
        <n v="15"/>
        <n v="26"/>
        <n v="11"/>
        <n v="10"/>
        <n v="22"/>
        <n v="49"/>
        <n v="79"/>
        <n v="29"/>
        <n v="12"/>
        <n v="83"/>
        <n v="34"/>
        <n v="81"/>
        <n v="30"/>
        <n v="32"/>
        <n v="0"/>
      </sharedItems>
    </cacheField>
    <cacheField name="人均费效成本" numFmtId="0">
      <sharedItems containsString="0" containsBlank="1" containsNumber="1" containsInteger="1" minValue="0" maxValue="67092" count="44">
        <m/>
        <n v="17869"/>
        <n v="16556"/>
        <n v="32329"/>
        <n v="17245"/>
        <n v="21935"/>
        <n v="13787"/>
        <n v="26982"/>
        <n v="10369"/>
        <n v="22323"/>
        <n v="44150"/>
        <n v="20651"/>
        <n v="21086"/>
        <n v="21689"/>
        <n v="42512"/>
        <n v="21210"/>
        <n v="24927"/>
        <n v="29652"/>
        <n v="54372"/>
        <n v="38486"/>
        <n v="24032"/>
        <n v="23814"/>
        <n v="29679"/>
        <n v="44792"/>
        <n v="21982"/>
        <n v="23351"/>
        <n v="67092"/>
        <n v="51231"/>
        <n v="18354"/>
        <n v="17745"/>
        <n v="15180"/>
        <n v="18238"/>
        <n v="31770"/>
        <n v="13584"/>
        <n v="40114"/>
        <n v="33747"/>
        <n v="29030"/>
        <n v="51474"/>
        <n v="22369"/>
        <n v="26043"/>
        <n v="21988"/>
        <n v="28127"/>
        <n v="31215"/>
        <n v="59311"/>
      </sharedItems>
    </cacheField>
    <cacheField name="人均到手薪资" numFmtId="0">
      <sharedItems containsString="0" containsBlank="1" containsNumber="1" containsInteger="1" minValue="0" maxValue="46561" count="44">
        <m/>
        <n v="6488"/>
        <n v="5951"/>
        <n v="16914"/>
        <n v="6111"/>
        <n v="10531"/>
        <n v="5188"/>
        <n v="14593"/>
        <n v="4604"/>
        <n v="9195"/>
        <n v="26170"/>
        <n v="9944"/>
        <n v="7390"/>
        <n v="11665"/>
        <n v="24951"/>
        <n v="9766"/>
        <n v="11726"/>
        <n v="17618"/>
        <n v="32274"/>
        <n v="15614"/>
        <n v="10900"/>
        <n v="11737"/>
        <n v="18450"/>
        <n v="28050"/>
        <n v="11834"/>
        <n v="12963"/>
        <n v="46561"/>
        <n v="30162"/>
        <n v="10820"/>
        <n v="10871"/>
        <n v="8601"/>
        <n v="9512"/>
        <n v="20581"/>
        <n v="7425"/>
        <n v="29591"/>
        <n v="22058"/>
        <n v="19513"/>
        <n v="35797"/>
        <n v="11540"/>
        <n v="15897"/>
        <n v="14395"/>
        <n v="16845"/>
        <n v="17591"/>
        <n v="42115"/>
      </sharedItems>
    </cacheField>
    <cacheField name="上月费效成本" numFmtId="0">
      <sharedItems containsString="0" containsBlank="1" containsNumber="1" containsInteger="1" minValue="0" maxValue="4169398" count="54">
        <n v="330882"/>
        <n v="2166024"/>
        <n v="307088"/>
        <n v="396638"/>
        <n v="413896"/>
        <m/>
        <n v="1160244"/>
        <n v="321644"/>
        <n v="573951"/>
        <n v="290198"/>
        <n v="134797"/>
        <n v="448690"/>
        <n v="527150"/>
        <n v="2848274"/>
        <n v="551470"/>
        <n v="325335"/>
        <n v="495619"/>
        <n v="1275039"/>
        <n v="38628"/>
        <n v="384855"/>
        <n v="598097"/>
        <n v="637468"/>
        <n v="624824"/>
        <n v="3538571"/>
        <n v="677182"/>
        <n v="523903"/>
        <n v="1454274"/>
        <n v="805101"/>
        <n v="614773"/>
        <n v="474192"/>
        <n v="440231"/>
        <n v="899327"/>
        <n v="2636880"/>
        <n v="461873"/>
        <n v="514619"/>
        <n v="521478"/>
        <n v="404961"/>
        <n v="1422467"/>
        <n v="703632"/>
        <n v="646912"/>
        <n v="581592"/>
        <n v="4169398"/>
        <n v="781279"/>
        <n v="771045"/>
        <n v="374583"/>
        <n v="1087956"/>
        <n v="3102415"/>
        <n v="592297"/>
        <n v="562995"/>
        <n v="554755"/>
        <n v="455865"/>
        <n v="190140"/>
        <n v="666176"/>
        <n v="257543"/>
      </sharedItems>
    </cacheField>
    <cacheField name="上月到手薪资" numFmtId="0">
      <sharedItems containsString="0" containsBlank="1" containsNumber="1" containsInteger="1" minValue="0" maxValue="2899584" count="54">
        <n v="124504"/>
        <n v="1133265"/>
        <n v="147441"/>
        <n v="140553"/>
        <n v="148770"/>
        <m/>
        <n v="627487"/>
        <n v="116791"/>
        <n v="340208"/>
        <n v="119533"/>
        <n v="59847"/>
        <n v="211062"/>
        <n v="184745"/>
        <n v="1671729"/>
        <n v="253927"/>
        <n v="174979"/>
        <n v="238652"/>
        <n v="757585"/>
        <n v="4931"/>
        <n v="156139"/>
        <n v="355017"/>
        <n v="343196"/>
        <n v="283394"/>
        <n v="2215918"/>
        <n v="375927"/>
        <n v="258213"/>
        <n v="904034"/>
        <n v="558731"/>
        <n v="361948"/>
        <n v="247302"/>
        <n v="249418"/>
        <n v="530192"/>
        <n v="1708224"/>
        <n v="252444"/>
        <n v="315264"/>
        <n v="384686"/>
        <n v="264694"/>
        <n v="956117"/>
        <n v="460647"/>
        <n v="387437"/>
        <n v="300035"/>
        <n v="2899584"/>
        <n v="476915"/>
        <n v="547490"/>
        <n v="211092"/>
        <n v="731445"/>
        <n v="2101966"/>
        <n v="347008"/>
        <n v="342288"/>
        <n v="358491"/>
        <n v="287689"/>
        <n v="103466"/>
        <n v="397023"/>
        <n v="149593"/>
      </sharedItems>
    </cacheField>
    <cacheField name="上月人均费效成本" numFmtId="0">
      <sharedItems containsString="0" containsBlank="1" containsNumber="1" containsInteger="1" minValue="0" maxValue="67092" count="44">
        <n v="13787"/>
        <n v="32329"/>
        <n v="21935"/>
        <n v="17245"/>
        <n v="16556"/>
        <m/>
        <n v="26982"/>
        <n v="17869"/>
        <n v="44150"/>
        <n v="22323"/>
        <n v="10369"/>
        <n v="24927"/>
        <n v="21086"/>
        <n v="42512"/>
        <n v="21210"/>
        <n v="21689"/>
        <n v="20651"/>
        <n v="29652"/>
        <n v="38486"/>
        <n v="54372"/>
        <n v="21982"/>
        <n v="24032"/>
        <n v="44792"/>
        <n v="23351"/>
        <n v="23814"/>
        <n v="29679"/>
        <n v="67092"/>
        <n v="51231"/>
        <n v="18238"/>
        <n v="15180"/>
        <n v="18354"/>
        <n v="31770"/>
        <n v="13584"/>
        <n v="17745"/>
        <n v="40114"/>
        <n v="33747"/>
        <n v="29030"/>
        <n v="21988"/>
        <n v="28127"/>
        <n v="22369"/>
        <n v="51474"/>
        <n v="26043"/>
        <n v="59311"/>
        <n v="31215"/>
      </sharedItems>
    </cacheField>
    <cacheField name="上月人均到手薪资" numFmtId="0">
      <sharedItems containsString="0" containsBlank="1" containsNumber="1" containsInteger="1" minValue="0" maxValue="46561" count="44">
        <n v="5188"/>
        <n v="16914"/>
        <n v="10531"/>
        <n v="6111"/>
        <n v="5951"/>
        <m/>
        <n v="14593"/>
        <n v="6488"/>
        <n v="26170"/>
        <n v="9195"/>
        <n v="4604"/>
        <n v="11726"/>
        <n v="7390"/>
        <n v="24951"/>
        <n v="9766"/>
        <n v="11665"/>
        <n v="9944"/>
        <n v="17618"/>
        <n v="15614"/>
        <n v="32274"/>
        <n v="11834"/>
        <n v="10900"/>
        <n v="28050"/>
        <n v="12963"/>
        <n v="11737"/>
        <n v="18450"/>
        <n v="46561"/>
        <n v="30162"/>
        <n v="9512"/>
        <n v="8601"/>
        <n v="10820"/>
        <n v="20581"/>
        <n v="7425"/>
        <n v="10871"/>
        <n v="29591"/>
        <n v="22058"/>
        <n v="19513"/>
        <n v="14395"/>
        <n v="16845"/>
        <n v="11540"/>
        <n v="35797"/>
        <n v="15897"/>
        <n v="42115"/>
        <n v="17591"/>
      </sharedItems>
    </cacheField>
    <cacheField name="费效成本环比" numFmtId="0">
      <sharedItems containsString="0" containsBlank="1" containsNumber="1" minValue="-0.9357" maxValue="2.4896" count="54">
        <n v="-0.9035"/>
        <n v="-0.8983"/>
        <n v="-0.8724"/>
        <n v="-0.9105"/>
        <n v="-0.9023"/>
        <m/>
        <n v="-0.9162"/>
        <n v="-0.9266"/>
        <n v="-0.9222"/>
        <n v="-0.9357"/>
        <n v="-0.9332"/>
        <n v="-0.2831"/>
        <n v="-0.2148"/>
        <n v="-0.2395"/>
        <n v="-0.2808"/>
        <n v="-0.0561"/>
        <n v="-0.3324"/>
        <n v="-0.09"/>
        <n v="2.4896"/>
        <n v="-0.246"/>
        <n v="-0.0404"/>
        <n v="-0.2225"/>
        <n v="-0.1563"/>
        <n v="-0.1951"/>
        <n v="-0.1856"/>
        <n v="-0.1436"/>
        <n v="-0.1232"/>
        <n v="-0.2571"/>
        <n v="-0.374"/>
        <n v="0.3177"/>
        <n v="0.1901"/>
        <n v="0.6171"/>
        <n v="0.342"/>
        <n v="0.3802"/>
        <n v="0.3159"/>
        <n v="0.5439"/>
        <n v="0.5181"/>
        <n v="-0.3678"/>
        <n v="-0.2686"/>
        <n v="-0.3195"/>
        <n v="-0.1847"/>
        <n v="-0.3676"/>
        <n v="-0.4088"/>
        <n v="-0.3237"/>
        <n v="0.0811"/>
        <n v="0.3075"/>
        <n v="0.3439"/>
        <n v="-0.0181"/>
        <n v="0.3877"/>
        <n v="0.2684"/>
        <n v="0.4191"/>
        <n v="0.97"/>
        <n v="0.1574"/>
        <n v="-0.636"/>
      </sharedItems>
    </cacheField>
    <cacheField name="人均费效成本环比" numFmtId="0">
      <sharedItems containsString="0" containsBlank="1" containsNumber="1" minValue="-0.4784" maxValue="0.6725" count="34">
        <m/>
        <n v="-0.2831"/>
        <n v="-0.2148"/>
        <n v="-0.2395"/>
        <n v="-0.1869"/>
        <n v="0.0113"/>
        <n v="-0.3324"/>
        <n v="-0.09"/>
        <n v="-0.42"/>
        <n v="-0.188"/>
        <n v="-0.0605"/>
        <n v="-0.1226"/>
        <n v="-0.0509"/>
        <n v="-0.0917"/>
        <n v="0.0468"/>
        <n v="-0.0009"/>
        <n v="-0.1896"/>
        <n v="-0.2488"/>
        <n v="0.3177"/>
        <n v="0.5687"/>
        <n v="0.6171"/>
        <n v="0.4099"/>
        <n v="0.6181"/>
        <n v="0.3159"/>
        <n v="0.6725"/>
        <n v="0.5181"/>
        <n v="-0.3678"/>
        <n v="-0.193"/>
        <n v="-0.4603"/>
        <n v="-0.1847"/>
        <n v="-0.3828"/>
        <n v="-0.4784"/>
        <n v="-0.3237"/>
        <n v="0.0811"/>
      </sharedItems>
    </cacheField>
    <cacheField name="人均到手薪资环比" numFmtId="0">
      <sharedItems containsString="0" containsBlank="1" containsNumber="1" minValue="-0.5329" maxValue="0.7051" count="34">
        <m/>
        <n v="-0.4466"/>
        <n v="-0.1947"/>
        <n v="-0.3221"/>
        <n v="-0.3743"/>
        <n v="-0.0972"/>
        <n v="-0.4783"/>
        <n v="-0.1717"/>
        <n v="-0.4111"/>
        <n v="-0.1891"/>
        <n v="-0.1597"/>
        <n v="-0.322"/>
        <n v="-0.1105"/>
        <n v="-0.2466"/>
        <n v="-0.001"/>
        <n v="-0.0451"/>
        <n v="-0.3068"/>
        <n v="-0.4823"/>
        <n v="0.1459"/>
        <n v="0.3647"/>
        <n v="0.7051"/>
        <n v="0.3629"/>
        <n v="0.5939"/>
        <n v="0.1924"/>
        <n v="0.5735"/>
        <n v="0.3674"/>
        <n v="-0.4455"/>
        <n v="-0.2448"/>
        <n v="-0.4894"/>
        <n v="-0.1758"/>
        <n v="-0.4251"/>
        <n v="-0.5329"/>
        <n v="-0.2974"/>
        <n v="0.2539"/>
      </sharedItems>
    </cacheField>
    <cacheField name="手工补充--人工分佣比例" numFmtId="0">
      <sharedItems containsSemiMixedTypes="0" containsString="0" containsNumber="1" minValue="0" maxValue="0.7" count="1">
        <n v="0.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0"/>
    <x v="1"/>
    <x v="1"/>
    <x v="1"/>
    <x v="1"/>
    <x v="0"/>
    <x v="0"/>
    <x v="1"/>
    <x v="1"/>
    <x v="0"/>
    <x v="0"/>
    <x v="0"/>
    <x v="1"/>
    <x v="1"/>
    <x v="1"/>
    <x v="1"/>
    <x v="1"/>
    <x v="0"/>
    <x v="0"/>
    <x v="0"/>
  </r>
  <r>
    <x v="0"/>
    <x v="0"/>
    <x v="0"/>
    <x v="0"/>
    <x v="2"/>
    <x v="0"/>
    <x v="2"/>
    <x v="2"/>
    <x v="2"/>
    <x v="2"/>
    <x v="0"/>
    <x v="0"/>
    <x v="2"/>
    <x v="2"/>
    <x v="0"/>
    <x v="0"/>
    <x v="0"/>
    <x v="2"/>
    <x v="2"/>
    <x v="2"/>
    <x v="2"/>
    <x v="2"/>
    <x v="0"/>
    <x v="0"/>
    <x v="0"/>
  </r>
  <r>
    <x v="0"/>
    <x v="0"/>
    <x v="0"/>
    <x v="0"/>
    <x v="3"/>
    <x v="0"/>
    <x v="3"/>
    <x v="3"/>
    <x v="3"/>
    <x v="3"/>
    <x v="0"/>
    <x v="0"/>
    <x v="3"/>
    <x v="3"/>
    <x v="0"/>
    <x v="0"/>
    <x v="0"/>
    <x v="3"/>
    <x v="3"/>
    <x v="3"/>
    <x v="3"/>
    <x v="3"/>
    <x v="0"/>
    <x v="0"/>
    <x v="0"/>
  </r>
  <r>
    <x v="0"/>
    <x v="0"/>
    <x v="0"/>
    <x v="0"/>
    <x v="4"/>
    <x v="0"/>
    <x v="4"/>
    <x v="4"/>
    <x v="4"/>
    <x v="4"/>
    <x v="0"/>
    <x v="0"/>
    <x v="4"/>
    <x v="4"/>
    <x v="0"/>
    <x v="0"/>
    <x v="0"/>
    <x v="4"/>
    <x v="4"/>
    <x v="4"/>
    <x v="4"/>
    <x v="4"/>
    <x v="0"/>
    <x v="0"/>
    <x v="0"/>
  </r>
  <r>
    <x v="0"/>
    <x v="0"/>
    <x v="0"/>
    <x v="0"/>
    <x v="5"/>
    <x v="0"/>
    <x v="5"/>
    <x v="5"/>
    <x v="5"/>
    <x v="5"/>
    <x v="0"/>
    <x v="0"/>
    <x v="5"/>
    <x v="5"/>
    <x v="0"/>
    <x v="0"/>
    <x v="0"/>
    <x v="5"/>
    <x v="5"/>
    <x v="5"/>
    <x v="5"/>
    <x v="5"/>
    <x v="0"/>
    <x v="0"/>
    <x v="0"/>
  </r>
  <r>
    <x v="0"/>
    <x v="0"/>
    <x v="0"/>
    <x v="0"/>
    <x v="6"/>
    <x v="0"/>
    <x v="6"/>
    <x v="6"/>
    <x v="6"/>
    <x v="6"/>
    <x v="0"/>
    <x v="0"/>
    <x v="6"/>
    <x v="6"/>
    <x v="0"/>
    <x v="0"/>
    <x v="0"/>
    <x v="6"/>
    <x v="6"/>
    <x v="6"/>
    <x v="6"/>
    <x v="6"/>
    <x v="0"/>
    <x v="0"/>
    <x v="0"/>
  </r>
  <r>
    <x v="0"/>
    <x v="0"/>
    <x v="0"/>
    <x v="0"/>
    <x v="7"/>
    <x v="0"/>
    <x v="7"/>
    <x v="7"/>
    <x v="7"/>
    <x v="7"/>
    <x v="0"/>
    <x v="0"/>
    <x v="7"/>
    <x v="7"/>
    <x v="0"/>
    <x v="0"/>
    <x v="0"/>
    <x v="7"/>
    <x v="7"/>
    <x v="7"/>
    <x v="7"/>
    <x v="7"/>
    <x v="0"/>
    <x v="0"/>
    <x v="0"/>
  </r>
  <r>
    <x v="0"/>
    <x v="0"/>
    <x v="1"/>
    <x v="0"/>
    <x v="1"/>
    <x v="0"/>
    <x v="8"/>
    <x v="8"/>
    <x v="8"/>
    <x v="8"/>
    <x v="1"/>
    <x v="0"/>
    <x v="8"/>
    <x v="8"/>
    <x v="0"/>
    <x v="0"/>
    <x v="0"/>
    <x v="8"/>
    <x v="8"/>
    <x v="8"/>
    <x v="8"/>
    <x v="8"/>
    <x v="0"/>
    <x v="0"/>
    <x v="0"/>
  </r>
  <r>
    <x v="0"/>
    <x v="0"/>
    <x v="1"/>
    <x v="0"/>
    <x v="8"/>
    <x v="0"/>
    <x v="5"/>
    <x v="5"/>
    <x v="5"/>
    <x v="9"/>
    <x v="1"/>
    <x v="0"/>
    <x v="5"/>
    <x v="5"/>
    <x v="0"/>
    <x v="0"/>
    <x v="0"/>
    <x v="5"/>
    <x v="5"/>
    <x v="5"/>
    <x v="5"/>
    <x v="5"/>
    <x v="0"/>
    <x v="0"/>
    <x v="0"/>
  </r>
  <r>
    <x v="0"/>
    <x v="0"/>
    <x v="1"/>
    <x v="0"/>
    <x v="9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  <r>
    <x v="0"/>
    <x v="0"/>
    <x v="1"/>
    <x v="0"/>
    <x v="4"/>
    <x v="0"/>
    <x v="9"/>
    <x v="9"/>
    <x v="9"/>
    <x v="10"/>
    <x v="1"/>
    <x v="0"/>
    <x v="9"/>
    <x v="9"/>
    <x v="0"/>
    <x v="0"/>
    <x v="0"/>
    <x v="9"/>
    <x v="9"/>
    <x v="9"/>
    <x v="9"/>
    <x v="9"/>
    <x v="0"/>
    <x v="0"/>
    <x v="0"/>
  </r>
  <r>
    <x v="0"/>
    <x v="0"/>
    <x v="1"/>
    <x v="0"/>
    <x v="5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  <r>
    <x v="0"/>
    <x v="0"/>
    <x v="1"/>
    <x v="0"/>
    <x v="10"/>
    <x v="0"/>
    <x v="10"/>
    <x v="10"/>
    <x v="10"/>
    <x v="11"/>
    <x v="1"/>
    <x v="0"/>
    <x v="10"/>
    <x v="10"/>
    <x v="0"/>
    <x v="0"/>
    <x v="0"/>
    <x v="10"/>
    <x v="10"/>
    <x v="10"/>
    <x v="10"/>
    <x v="10"/>
    <x v="0"/>
    <x v="0"/>
    <x v="0"/>
  </r>
  <r>
    <x v="1"/>
    <x v="0"/>
    <x v="0"/>
    <x v="0"/>
    <x v="11"/>
    <x v="0"/>
    <x v="5"/>
    <x v="5"/>
    <x v="5"/>
    <x v="5"/>
    <x v="0"/>
    <x v="0"/>
    <x v="5"/>
    <x v="5"/>
    <x v="0"/>
    <x v="0"/>
    <x v="0"/>
    <x v="5"/>
    <x v="5"/>
    <x v="5"/>
    <x v="5"/>
    <x v="5"/>
    <x v="0"/>
    <x v="0"/>
    <x v="0"/>
  </r>
  <r>
    <x v="1"/>
    <x v="0"/>
    <x v="0"/>
    <x v="0"/>
    <x v="7"/>
    <x v="0"/>
    <x v="11"/>
    <x v="11"/>
    <x v="11"/>
    <x v="12"/>
    <x v="0"/>
    <x v="0"/>
    <x v="11"/>
    <x v="11"/>
    <x v="1"/>
    <x v="1"/>
    <x v="1"/>
    <x v="11"/>
    <x v="11"/>
    <x v="11"/>
    <x v="11"/>
    <x v="11"/>
    <x v="1"/>
    <x v="1"/>
    <x v="0"/>
  </r>
  <r>
    <x v="1"/>
    <x v="0"/>
    <x v="0"/>
    <x v="0"/>
    <x v="12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1"/>
    <x v="0"/>
    <x v="0"/>
    <x v="0"/>
    <x v="13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1"/>
    <x v="0"/>
    <x v="0"/>
    <x v="0"/>
    <x v="4"/>
    <x v="0"/>
    <x v="12"/>
    <x v="12"/>
    <x v="12"/>
    <x v="13"/>
    <x v="0"/>
    <x v="0"/>
    <x v="12"/>
    <x v="12"/>
    <x v="2"/>
    <x v="2"/>
    <x v="2"/>
    <x v="12"/>
    <x v="12"/>
    <x v="12"/>
    <x v="12"/>
    <x v="12"/>
    <x v="2"/>
    <x v="2"/>
    <x v="0"/>
  </r>
  <r>
    <x v="1"/>
    <x v="0"/>
    <x v="0"/>
    <x v="0"/>
    <x v="1"/>
    <x v="0"/>
    <x v="13"/>
    <x v="13"/>
    <x v="13"/>
    <x v="14"/>
    <x v="0"/>
    <x v="0"/>
    <x v="13"/>
    <x v="13"/>
    <x v="3"/>
    <x v="3"/>
    <x v="3"/>
    <x v="13"/>
    <x v="13"/>
    <x v="13"/>
    <x v="13"/>
    <x v="13"/>
    <x v="3"/>
    <x v="3"/>
    <x v="0"/>
  </r>
  <r>
    <x v="1"/>
    <x v="0"/>
    <x v="0"/>
    <x v="0"/>
    <x v="8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1"/>
    <x v="0"/>
    <x v="0"/>
    <x v="0"/>
    <x v="3"/>
    <x v="0"/>
    <x v="14"/>
    <x v="14"/>
    <x v="14"/>
    <x v="15"/>
    <x v="0"/>
    <x v="0"/>
    <x v="14"/>
    <x v="14"/>
    <x v="4"/>
    <x v="4"/>
    <x v="4"/>
    <x v="14"/>
    <x v="14"/>
    <x v="14"/>
    <x v="14"/>
    <x v="14"/>
    <x v="4"/>
    <x v="4"/>
    <x v="0"/>
  </r>
  <r>
    <x v="1"/>
    <x v="0"/>
    <x v="0"/>
    <x v="0"/>
    <x v="14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1"/>
    <x v="0"/>
    <x v="0"/>
    <x v="0"/>
    <x v="2"/>
    <x v="0"/>
    <x v="15"/>
    <x v="15"/>
    <x v="15"/>
    <x v="16"/>
    <x v="0"/>
    <x v="0"/>
    <x v="15"/>
    <x v="15"/>
    <x v="5"/>
    <x v="5"/>
    <x v="5"/>
    <x v="15"/>
    <x v="15"/>
    <x v="15"/>
    <x v="15"/>
    <x v="15"/>
    <x v="5"/>
    <x v="5"/>
    <x v="0"/>
  </r>
  <r>
    <x v="1"/>
    <x v="0"/>
    <x v="0"/>
    <x v="0"/>
    <x v="0"/>
    <x v="0"/>
    <x v="16"/>
    <x v="16"/>
    <x v="16"/>
    <x v="17"/>
    <x v="0"/>
    <x v="0"/>
    <x v="16"/>
    <x v="16"/>
    <x v="6"/>
    <x v="6"/>
    <x v="6"/>
    <x v="16"/>
    <x v="16"/>
    <x v="16"/>
    <x v="16"/>
    <x v="16"/>
    <x v="6"/>
    <x v="6"/>
    <x v="0"/>
  </r>
  <r>
    <x v="1"/>
    <x v="0"/>
    <x v="0"/>
    <x v="0"/>
    <x v="6"/>
    <x v="0"/>
    <x v="17"/>
    <x v="17"/>
    <x v="17"/>
    <x v="18"/>
    <x v="0"/>
    <x v="0"/>
    <x v="17"/>
    <x v="17"/>
    <x v="7"/>
    <x v="7"/>
    <x v="7"/>
    <x v="17"/>
    <x v="17"/>
    <x v="17"/>
    <x v="17"/>
    <x v="17"/>
    <x v="7"/>
    <x v="7"/>
    <x v="0"/>
  </r>
  <r>
    <x v="1"/>
    <x v="0"/>
    <x v="1"/>
    <x v="0"/>
    <x v="10"/>
    <x v="0"/>
    <x v="18"/>
    <x v="18"/>
    <x v="18"/>
    <x v="19"/>
    <x v="1"/>
    <x v="0"/>
    <x v="18"/>
    <x v="18"/>
    <x v="8"/>
    <x v="8"/>
    <x v="8"/>
    <x v="18"/>
    <x v="18"/>
    <x v="5"/>
    <x v="5"/>
    <x v="18"/>
    <x v="0"/>
    <x v="0"/>
    <x v="0"/>
  </r>
  <r>
    <x v="1"/>
    <x v="0"/>
    <x v="1"/>
    <x v="0"/>
    <x v="15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13"/>
    <x v="0"/>
    <x v="5"/>
    <x v="5"/>
    <x v="5"/>
    <x v="20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11"/>
    <x v="0"/>
    <x v="5"/>
    <x v="5"/>
    <x v="5"/>
    <x v="21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8"/>
    <x v="0"/>
    <x v="5"/>
    <x v="5"/>
    <x v="5"/>
    <x v="22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4"/>
    <x v="0"/>
    <x v="19"/>
    <x v="19"/>
    <x v="19"/>
    <x v="23"/>
    <x v="1"/>
    <x v="0"/>
    <x v="19"/>
    <x v="19"/>
    <x v="8"/>
    <x v="9"/>
    <x v="9"/>
    <x v="19"/>
    <x v="19"/>
    <x v="18"/>
    <x v="18"/>
    <x v="19"/>
    <x v="8"/>
    <x v="8"/>
    <x v="0"/>
  </r>
  <r>
    <x v="1"/>
    <x v="0"/>
    <x v="1"/>
    <x v="0"/>
    <x v="9"/>
    <x v="0"/>
    <x v="5"/>
    <x v="5"/>
    <x v="5"/>
    <x v="24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16"/>
    <x v="0"/>
    <x v="5"/>
    <x v="5"/>
    <x v="5"/>
    <x v="25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1"/>
    <x v="0"/>
    <x v="20"/>
    <x v="20"/>
    <x v="20"/>
    <x v="26"/>
    <x v="1"/>
    <x v="0"/>
    <x v="20"/>
    <x v="20"/>
    <x v="8"/>
    <x v="10"/>
    <x v="10"/>
    <x v="20"/>
    <x v="20"/>
    <x v="19"/>
    <x v="19"/>
    <x v="20"/>
    <x v="9"/>
    <x v="9"/>
    <x v="0"/>
  </r>
  <r>
    <x v="1"/>
    <x v="0"/>
    <x v="1"/>
    <x v="0"/>
    <x v="14"/>
    <x v="0"/>
    <x v="5"/>
    <x v="5"/>
    <x v="5"/>
    <x v="9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5"/>
    <x v="0"/>
    <x v="5"/>
    <x v="5"/>
    <x v="5"/>
    <x v="22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17"/>
    <x v="0"/>
    <x v="5"/>
    <x v="5"/>
    <x v="5"/>
    <x v="25"/>
    <x v="1"/>
    <x v="0"/>
    <x v="5"/>
    <x v="5"/>
    <x v="0"/>
    <x v="0"/>
    <x v="0"/>
    <x v="5"/>
    <x v="5"/>
    <x v="5"/>
    <x v="5"/>
    <x v="5"/>
    <x v="0"/>
    <x v="0"/>
    <x v="0"/>
  </r>
  <r>
    <x v="1"/>
    <x v="0"/>
    <x v="1"/>
    <x v="0"/>
    <x v="18"/>
    <x v="0"/>
    <x v="5"/>
    <x v="5"/>
    <x v="5"/>
    <x v="27"/>
    <x v="1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12"/>
    <x v="0"/>
    <x v="5"/>
    <x v="5"/>
    <x v="5"/>
    <x v="27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18"/>
    <x v="0"/>
    <x v="5"/>
    <x v="5"/>
    <x v="5"/>
    <x v="25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0"/>
    <x v="0"/>
    <x v="21"/>
    <x v="21"/>
    <x v="21"/>
    <x v="28"/>
    <x v="0"/>
    <x v="0"/>
    <x v="21"/>
    <x v="21"/>
    <x v="6"/>
    <x v="11"/>
    <x v="11"/>
    <x v="21"/>
    <x v="21"/>
    <x v="20"/>
    <x v="20"/>
    <x v="21"/>
    <x v="10"/>
    <x v="10"/>
    <x v="0"/>
  </r>
  <r>
    <x v="2"/>
    <x v="0"/>
    <x v="0"/>
    <x v="0"/>
    <x v="9"/>
    <x v="0"/>
    <x v="5"/>
    <x v="5"/>
    <x v="5"/>
    <x v="22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11"/>
    <x v="0"/>
    <x v="5"/>
    <x v="5"/>
    <x v="5"/>
    <x v="29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4"/>
    <x v="0"/>
    <x v="22"/>
    <x v="22"/>
    <x v="22"/>
    <x v="30"/>
    <x v="0"/>
    <x v="0"/>
    <x v="22"/>
    <x v="22"/>
    <x v="2"/>
    <x v="12"/>
    <x v="12"/>
    <x v="22"/>
    <x v="22"/>
    <x v="21"/>
    <x v="21"/>
    <x v="22"/>
    <x v="11"/>
    <x v="11"/>
    <x v="0"/>
  </r>
  <r>
    <x v="2"/>
    <x v="0"/>
    <x v="0"/>
    <x v="0"/>
    <x v="13"/>
    <x v="0"/>
    <x v="5"/>
    <x v="5"/>
    <x v="5"/>
    <x v="31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2"/>
    <x v="0"/>
    <x v="23"/>
    <x v="23"/>
    <x v="23"/>
    <x v="32"/>
    <x v="0"/>
    <x v="0"/>
    <x v="23"/>
    <x v="23"/>
    <x v="9"/>
    <x v="13"/>
    <x v="13"/>
    <x v="5"/>
    <x v="5"/>
    <x v="5"/>
    <x v="5"/>
    <x v="5"/>
    <x v="0"/>
    <x v="0"/>
    <x v="0"/>
  </r>
  <r>
    <x v="2"/>
    <x v="0"/>
    <x v="0"/>
    <x v="0"/>
    <x v="14"/>
    <x v="0"/>
    <x v="5"/>
    <x v="5"/>
    <x v="5"/>
    <x v="5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5"/>
    <x v="0"/>
    <x v="5"/>
    <x v="5"/>
    <x v="5"/>
    <x v="25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1"/>
    <x v="0"/>
    <x v="24"/>
    <x v="24"/>
    <x v="24"/>
    <x v="33"/>
    <x v="0"/>
    <x v="0"/>
    <x v="24"/>
    <x v="24"/>
    <x v="3"/>
    <x v="14"/>
    <x v="14"/>
    <x v="23"/>
    <x v="23"/>
    <x v="22"/>
    <x v="22"/>
    <x v="23"/>
    <x v="12"/>
    <x v="12"/>
    <x v="0"/>
  </r>
  <r>
    <x v="2"/>
    <x v="0"/>
    <x v="0"/>
    <x v="0"/>
    <x v="8"/>
    <x v="0"/>
    <x v="5"/>
    <x v="5"/>
    <x v="5"/>
    <x v="34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3"/>
    <x v="0"/>
    <x v="25"/>
    <x v="25"/>
    <x v="25"/>
    <x v="35"/>
    <x v="0"/>
    <x v="0"/>
    <x v="25"/>
    <x v="25"/>
    <x v="10"/>
    <x v="15"/>
    <x v="15"/>
    <x v="24"/>
    <x v="24"/>
    <x v="23"/>
    <x v="23"/>
    <x v="24"/>
    <x v="13"/>
    <x v="13"/>
    <x v="0"/>
  </r>
  <r>
    <x v="2"/>
    <x v="0"/>
    <x v="0"/>
    <x v="0"/>
    <x v="7"/>
    <x v="0"/>
    <x v="26"/>
    <x v="26"/>
    <x v="26"/>
    <x v="36"/>
    <x v="0"/>
    <x v="0"/>
    <x v="26"/>
    <x v="26"/>
    <x v="1"/>
    <x v="16"/>
    <x v="16"/>
    <x v="25"/>
    <x v="25"/>
    <x v="24"/>
    <x v="24"/>
    <x v="25"/>
    <x v="14"/>
    <x v="14"/>
    <x v="0"/>
  </r>
  <r>
    <x v="2"/>
    <x v="0"/>
    <x v="0"/>
    <x v="0"/>
    <x v="16"/>
    <x v="0"/>
    <x v="5"/>
    <x v="5"/>
    <x v="5"/>
    <x v="27"/>
    <x v="0"/>
    <x v="0"/>
    <x v="5"/>
    <x v="5"/>
    <x v="0"/>
    <x v="0"/>
    <x v="0"/>
    <x v="5"/>
    <x v="5"/>
    <x v="5"/>
    <x v="5"/>
    <x v="5"/>
    <x v="0"/>
    <x v="0"/>
    <x v="0"/>
  </r>
  <r>
    <x v="2"/>
    <x v="0"/>
    <x v="0"/>
    <x v="0"/>
    <x v="6"/>
    <x v="0"/>
    <x v="27"/>
    <x v="27"/>
    <x v="27"/>
    <x v="37"/>
    <x v="0"/>
    <x v="0"/>
    <x v="27"/>
    <x v="27"/>
    <x v="7"/>
    <x v="17"/>
    <x v="17"/>
    <x v="26"/>
    <x v="26"/>
    <x v="25"/>
    <x v="25"/>
    <x v="26"/>
    <x v="15"/>
    <x v="15"/>
    <x v="0"/>
  </r>
  <r>
    <x v="2"/>
    <x v="0"/>
    <x v="1"/>
    <x v="0"/>
    <x v="1"/>
    <x v="0"/>
    <x v="28"/>
    <x v="28"/>
    <x v="28"/>
    <x v="38"/>
    <x v="1"/>
    <x v="0"/>
    <x v="28"/>
    <x v="28"/>
    <x v="11"/>
    <x v="18"/>
    <x v="18"/>
    <x v="27"/>
    <x v="27"/>
    <x v="26"/>
    <x v="26"/>
    <x v="27"/>
    <x v="16"/>
    <x v="16"/>
    <x v="0"/>
  </r>
  <r>
    <x v="2"/>
    <x v="0"/>
    <x v="1"/>
    <x v="0"/>
    <x v="11"/>
    <x v="0"/>
    <x v="5"/>
    <x v="5"/>
    <x v="5"/>
    <x v="24"/>
    <x v="1"/>
    <x v="0"/>
    <x v="5"/>
    <x v="5"/>
    <x v="0"/>
    <x v="0"/>
    <x v="0"/>
    <x v="5"/>
    <x v="5"/>
    <x v="5"/>
    <x v="5"/>
    <x v="5"/>
    <x v="0"/>
    <x v="0"/>
    <x v="0"/>
  </r>
  <r>
    <x v="2"/>
    <x v="0"/>
    <x v="1"/>
    <x v="0"/>
    <x v="10"/>
    <x v="0"/>
    <x v="29"/>
    <x v="29"/>
    <x v="29"/>
    <x v="39"/>
    <x v="1"/>
    <x v="0"/>
    <x v="29"/>
    <x v="29"/>
    <x v="0"/>
    <x v="0"/>
    <x v="0"/>
    <x v="5"/>
    <x v="5"/>
    <x v="5"/>
    <x v="5"/>
    <x v="5"/>
    <x v="0"/>
    <x v="0"/>
    <x v="0"/>
  </r>
  <r>
    <x v="2"/>
    <x v="0"/>
    <x v="1"/>
    <x v="0"/>
    <x v="4"/>
    <x v="0"/>
    <x v="30"/>
    <x v="30"/>
    <x v="30"/>
    <x v="40"/>
    <x v="1"/>
    <x v="0"/>
    <x v="30"/>
    <x v="30"/>
    <x v="12"/>
    <x v="19"/>
    <x v="19"/>
    <x v="28"/>
    <x v="28"/>
    <x v="27"/>
    <x v="27"/>
    <x v="28"/>
    <x v="17"/>
    <x v="17"/>
    <x v="0"/>
  </r>
  <r>
    <x v="2"/>
    <x v="0"/>
    <x v="1"/>
    <x v="0"/>
    <x v="16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  <r>
    <x v="2"/>
    <x v="0"/>
    <x v="1"/>
    <x v="0"/>
    <x v="8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4"/>
    <x v="0"/>
    <x v="31"/>
    <x v="31"/>
    <x v="31"/>
    <x v="41"/>
    <x v="0"/>
    <x v="0"/>
    <x v="31"/>
    <x v="31"/>
    <x v="10"/>
    <x v="20"/>
    <x v="20"/>
    <x v="29"/>
    <x v="29"/>
    <x v="28"/>
    <x v="28"/>
    <x v="29"/>
    <x v="18"/>
    <x v="18"/>
    <x v="0"/>
  </r>
  <r>
    <x v="3"/>
    <x v="0"/>
    <x v="0"/>
    <x v="0"/>
    <x v="11"/>
    <x v="0"/>
    <x v="5"/>
    <x v="5"/>
    <x v="5"/>
    <x v="20"/>
    <x v="0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7"/>
    <x v="0"/>
    <x v="32"/>
    <x v="32"/>
    <x v="32"/>
    <x v="42"/>
    <x v="0"/>
    <x v="0"/>
    <x v="32"/>
    <x v="32"/>
    <x v="13"/>
    <x v="21"/>
    <x v="21"/>
    <x v="30"/>
    <x v="30"/>
    <x v="29"/>
    <x v="29"/>
    <x v="30"/>
    <x v="19"/>
    <x v="19"/>
    <x v="0"/>
  </r>
  <r>
    <x v="3"/>
    <x v="0"/>
    <x v="0"/>
    <x v="0"/>
    <x v="6"/>
    <x v="0"/>
    <x v="33"/>
    <x v="33"/>
    <x v="33"/>
    <x v="43"/>
    <x v="0"/>
    <x v="0"/>
    <x v="33"/>
    <x v="33"/>
    <x v="14"/>
    <x v="22"/>
    <x v="22"/>
    <x v="31"/>
    <x v="31"/>
    <x v="30"/>
    <x v="30"/>
    <x v="31"/>
    <x v="20"/>
    <x v="20"/>
    <x v="0"/>
  </r>
  <r>
    <x v="3"/>
    <x v="0"/>
    <x v="0"/>
    <x v="0"/>
    <x v="5"/>
    <x v="0"/>
    <x v="5"/>
    <x v="5"/>
    <x v="5"/>
    <x v="29"/>
    <x v="0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8"/>
    <x v="0"/>
    <x v="5"/>
    <x v="5"/>
    <x v="5"/>
    <x v="44"/>
    <x v="0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18"/>
    <x v="0"/>
    <x v="5"/>
    <x v="5"/>
    <x v="5"/>
    <x v="25"/>
    <x v="0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1"/>
    <x v="0"/>
    <x v="34"/>
    <x v="34"/>
    <x v="34"/>
    <x v="45"/>
    <x v="0"/>
    <x v="0"/>
    <x v="34"/>
    <x v="34"/>
    <x v="15"/>
    <x v="23"/>
    <x v="23"/>
    <x v="32"/>
    <x v="32"/>
    <x v="31"/>
    <x v="31"/>
    <x v="32"/>
    <x v="21"/>
    <x v="21"/>
    <x v="0"/>
  </r>
  <r>
    <x v="3"/>
    <x v="0"/>
    <x v="0"/>
    <x v="0"/>
    <x v="12"/>
    <x v="0"/>
    <x v="5"/>
    <x v="5"/>
    <x v="5"/>
    <x v="22"/>
    <x v="0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0"/>
    <x v="0"/>
    <x v="35"/>
    <x v="35"/>
    <x v="35"/>
    <x v="46"/>
    <x v="0"/>
    <x v="0"/>
    <x v="35"/>
    <x v="35"/>
    <x v="16"/>
    <x v="24"/>
    <x v="24"/>
    <x v="33"/>
    <x v="33"/>
    <x v="32"/>
    <x v="32"/>
    <x v="33"/>
    <x v="22"/>
    <x v="22"/>
    <x v="0"/>
  </r>
  <r>
    <x v="3"/>
    <x v="0"/>
    <x v="0"/>
    <x v="0"/>
    <x v="13"/>
    <x v="0"/>
    <x v="5"/>
    <x v="5"/>
    <x v="5"/>
    <x v="47"/>
    <x v="0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9"/>
    <x v="0"/>
    <x v="5"/>
    <x v="5"/>
    <x v="5"/>
    <x v="29"/>
    <x v="0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14"/>
    <x v="0"/>
    <x v="5"/>
    <x v="5"/>
    <x v="5"/>
    <x v="5"/>
    <x v="0"/>
    <x v="0"/>
    <x v="5"/>
    <x v="5"/>
    <x v="0"/>
    <x v="0"/>
    <x v="0"/>
    <x v="5"/>
    <x v="5"/>
    <x v="5"/>
    <x v="5"/>
    <x v="5"/>
    <x v="0"/>
    <x v="0"/>
    <x v="0"/>
  </r>
  <r>
    <x v="3"/>
    <x v="0"/>
    <x v="0"/>
    <x v="0"/>
    <x v="3"/>
    <x v="0"/>
    <x v="36"/>
    <x v="36"/>
    <x v="36"/>
    <x v="48"/>
    <x v="0"/>
    <x v="0"/>
    <x v="36"/>
    <x v="36"/>
    <x v="16"/>
    <x v="25"/>
    <x v="25"/>
    <x v="34"/>
    <x v="34"/>
    <x v="33"/>
    <x v="33"/>
    <x v="34"/>
    <x v="23"/>
    <x v="23"/>
    <x v="0"/>
  </r>
  <r>
    <x v="3"/>
    <x v="0"/>
    <x v="1"/>
    <x v="0"/>
    <x v="1"/>
    <x v="0"/>
    <x v="37"/>
    <x v="37"/>
    <x v="37"/>
    <x v="49"/>
    <x v="1"/>
    <x v="0"/>
    <x v="37"/>
    <x v="37"/>
    <x v="17"/>
    <x v="26"/>
    <x v="26"/>
    <x v="35"/>
    <x v="35"/>
    <x v="34"/>
    <x v="34"/>
    <x v="35"/>
    <x v="24"/>
    <x v="24"/>
    <x v="0"/>
  </r>
  <r>
    <x v="3"/>
    <x v="0"/>
    <x v="1"/>
    <x v="0"/>
    <x v="4"/>
    <x v="0"/>
    <x v="38"/>
    <x v="38"/>
    <x v="38"/>
    <x v="50"/>
    <x v="1"/>
    <x v="0"/>
    <x v="38"/>
    <x v="38"/>
    <x v="17"/>
    <x v="27"/>
    <x v="27"/>
    <x v="36"/>
    <x v="36"/>
    <x v="35"/>
    <x v="35"/>
    <x v="36"/>
    <x v="25"/>
    <x v="25"/>
    <x v="0"/>
  </r>
  <r>
    <x v="4"/>
    <x v="0"/>
    <x v="0"/>
    <x v="0"/>
    <x v="12"/>
    <x v="0"/>
    <x v="5"/>
    <x v="5"/>
    <x v="5"/>
    <x v="24"/>
    <x v="0"/>
    <x v="0"/>
    <x v="5"/>
    <x v="5"/>
    <x v="0"/>
    <x v="0"/>
    <x v="0"/>
    <x v="5"/>
    <x v="5"/>
    <x v="5"/>
    <x v="5"/>
    <x v="5"/>
    <x v="0"/>
    <x v="0"/>
    <x v="0"/>
  </r>
  <r>
    <x v="4"/>
    <x v="0"/>
    <x v="0"/>
    <x v="0"/>
    <x v="6"/>
    <x v="0"/>
    <x v="39"/>
    <x v="39"/>
    <x v="39"/>
    <x v="51"/>
    <x v="0"/>
    <x v="0"/>
    <x v="39"/>
    <x v="39"/>
    <x v="14"/>
    <x v="28"/>
    <x v="28"/>
    <x v="37"/>
    <x v="37"/>
    <x v="36"/>
    <x v="36"/>
    <x v="37"/>
    <x v="26"/>
    <x v="26"/>
    <x v="0"/>
  </r>
  <r>
    <x v="4"/>
    <x v="0"/>
    <x v="0"/>
    <x v="0"/>
    <x v="5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4"/>
    <x v="0"/>
    <x v="0"/>
    <x v="0"/>
    <x v="3"/>
    <x v="0"/>
    <x v="40"/>
    <x v="40"/>
    <x v="40"/>
    <x v="52"/>
    <x v="0"/>
    <x v="0"/>
    <x v="40"/>
    <x v="40"/>
    <x v="16"/>
    <x v="29"/>
    <x v="29"/>
    <x v="38"/>
    <x v="38"/>
    <x v="37"/>
    <x v="37"/>
    <x v="38"/>
    <x v="27"/>
    <x v="27"/>
    <x v="0"/>
  </r>
  <r>
    <x v="4"/>
    <x v="0"/>
    <x v="0"/>
    <x v="0"/>
    <x v="17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4"/>
    <x v="0"/>
    <x v="0"/>
    <x v="0"/>
    <x v="7"/>
    <x v="0"/>
    <x v="41"/>
    <x v="41"/>
    <x v="41"/>
    <x v="53"/>
    <x v="0"/>
    <x v="0"/>
    <x v="41"/>
    <x v="41"/>
    <x v="16"/>
    <x v="30"/>
    <x v="30"/>
    <x v="39"/>
    <x v="39"/>
    <x v="38"/>
    <x v="38"/>
    <x v="39"/>
    <x v="28"/>
    <x v="28"/>
    <x v="0"/>
  </r>
  <r>
    <x v="4"/>
    <x v="0"/>
    <x v="0"/>
    <x v="0"/>
    <x v="14"/>
    <x v="0"/>
    <x v="5"/>
    <x v="5"/>
    <x v="5"/>
    <x v="27"/>
    <x v="0"/>
    <x v="0"/>
    <x v="5"/>
    <x v="5"/>
    <x v="0"/>
    <x v="0"/>
    <x v="0"/>
    <x v="5"/>
    <x v="5"/>
    <x v="5"/>
    <x v="5"/>
    <x v="5"/>
    <x v="0"/>
    <x v="0"/>
    <x v="0"/>
  </r>
  <r>
    <x v="4"/>
    <x v="0"/>
    <x v="0"/>
    <x v="0"/>
    <x v="8"/>
    <x v="0"/>
    <x v="5"/>
    <x v="5"/>
    <x v="5"/>
    <x v="29"/>
    <x v="0"/>
    <x v="0"/>
    <x v="5"/>
    <x v="5"/>
    <x v="0"/>
    <x v="0"/>
    <x v="0"/>
    <x v="5"/>
    <x v="5"/>
    <x v="5"/>
    <x v="5"/>
    <x v="5"/>
    <x v="0"/>
    <x v="0"/>
    <x v="0"/>
  </r>
  <r>
    <x v="4"/>
    <x v="0"/>
    <x v="0"/>
    <x v="0"/>
    <x v="15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4"/>
    <x v="0"/>
    <x v="0"/>
    <x v="0"/>
    <x v="4"/>
    <x v="0"/>
    <x v="42"/>
    <x v="42"/>
    <x v="42"/>
    <x v="54"/>
    <x v="0"/>
    <x v="0"/>
    <x v="42"/>
    <x v="42"/>
    <x v="10"/>
    <x v="31"/>
    <x v="31"/>
    <x v="40"/>
    <x v="40"/>
    <x v="39"/>
    <x v="39"/>
    <x v="40"/>
    <x v="29"/>
    <x v="29"/>
    <x v="0"/>
  </r>
  <r>
    <x v="4"/>
    <x v="0"/>
    <x v="0"/>
    <x v="0"/>
    <x v="13"/>
    <x v="0"/>
    <x v="5"/>
    <x v="5"/>
    <x v="5"/>
    <x v="27"/>
    <x v="0"/>
    <x v="0"/>
    <x v="5"/>
    <x v="5"/>
    <x v="0"/>
    <x v="0"/>
    <x v="0"/>
    <x v="5"/>
    <x v="5"/>
    <x v="5"/>
    <x v="5"/>
    <x v="5"/>
    <x v="0"/>
    <x v="0"/>
    <x v="0"/>
  </r>
  <r>
    <x v="4"/>
    <x v="0"/>
    <x v="0"/>
    <x v="0"/>
    <x v="1"/>
    <x v="0"/>
    <x v="43"/>
    <x v="43"/>
    <x v="43"/>
    <x v="55"/>
    <x v="0"/>
    <x v="0"/>
    <x v="43"/>
    <x v="43"/>
    <x v="18"/>
    <x v="32"/>
    <x v="32"/>
    <x v="41"/>
    <x v="41"/>
    <x v="40"/>
    <x v="40"/>
    <x v="41"/>
    <x v="30"/>
    <x v="30"/>
    <x v="0"/>
  </r>
  <r>
    <x v="4"/>
    <x v="0"/>
    <x v="0"/>
    <x v="0"/>
    <x v="0"/>
    <x v="0"/>
    <x v="44"/>
    <x v="44"/>
    <x v="44"/>
    <x v="56"/>
    <x v="0"/>
    <x v="0"/>
    <x v="44"/>
    <x v="44"/>
    <x v="19"/>
    <x v="33"/>
    <x v="33"/>
    <x v="42"/>
    <x v="42"/>
    <x v="41"/>
    <x v="41"/>
    <x v="42"/>
    <x v="31"/>
    <x v="31"/>
    <x v="0"/>
  </r>
  <r>
    <x v="4"/>
    <x v="0"/>
    <x v="1"/>
    <x v="0"/>
    <x v="1"/>
    <x v="0"/>
    <x v="45"/>
    <x v="45"/>
    <x v="45"/>
    <x v="57"/>
    <x v="1"/>
    <x v="0"/>
    <x v="45"/>
    <x v="45"/>
    <x v="8"/>
    <x v="34"/>
    <x v="34"/>
    <x v="43"/>
    <x v="43"/>
    <x v="42"/>
    <x v="42"/>
    <x v="43"/>
    <x v="32"/>
    <x v="32"/>
    <x v="0"/>
  </r>
  <r>
    <x v="4"/>
    <x v="0"/>
    <x v="1"/>
    <x v="0"/>
    <x v="4"/>
    <x v="0"/>
    <x v="46"/>
    <x v="46"/>
    <x v="46"/>
    <x v="58"/>
    <x v="1"/>
    <x v="0"/>
    <x v="46"/>
    <x v="46"/>
    <x v="17"/>
    <x v="35"/>
    <x v="35"/>
    <x v="44"/>
    <x v="44"/>
    <x v="43"/>
    <x v="43"/>
    <x v="44"/>
    <x v="33"/>
    <x v="33"/>
    <x v="0"/>
  </r>
  <r>
    <x v="5"/>
    <x v="0"/>
    <x v="0"/>
    <x v="0"/>
    <x v="6"/>
    <x v="0"/>
    <x v="47"/>
    <x v="47"/>
    <x v="47"/>
    <x v="59"/>
    <x v="0"/>
    <x v="0"/>
    <x v="47"/>
    <x v="47"/>
    <x v="14"/>
    <x v="36"/>
    <x v="36"/>
    <x v="45"/>
    <x v="45"/>
    <x v="5"/>
    <x v="5"/>
    <x v="45"/>
    <x v="0"/>
    <x v="0"/>
    <x v="0"/>
  </r>
  <r>
    <x v="5"/>
    <x v="0"/>
    <x v="0"/>
    <x v="0"/>
    <x v="9"/>
    <x v="0"/>
    <x v="5"/>
    <x v="5"/>
    <x v="5"/>
    <x v="27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0"/>
    <x v="0"/>
    <x v="1"/>
    <x v="0"/>
    <x v="48"/>
    <x v="48"/>
    <x v="48"/>
    <x v="60"/>
    <x v="0"/>
    <x v="0"/>
    <x v="48"/>
    <x v="48"/>
    <x v="20"/>
    <x v="37"/>
    <x v="37"/>
    <x v="46"/>
    <x v="46"/>
    <x v="5"/>
    <x v="5"/>
    <x v="46"/>
    <x v="0"/>
    <x v="0"/>
    <x v="0"/>
  </r>
  <r>
    <x v="5"/>
    <x v="0"/>
    <x v="0"/>
    <x v="0"/>
    <x v="14"/>
    <x v="0"/>
    <x v="5"/>
    <x v="5"/>
    <x v="5"/>
    <x v="22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0"/>
    <x v="0"/>
    <x v="17"/>
    <x v="0"/>
    <x v="5"/>
    <x v="5"/>
    <x v="5"/>
    <x v="61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0"/>
    <x v="0"/>
    <x v="16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0"/>
    <x v="0"/>
    <x v="11"/>
    <x v="0"/>
    <x v="5"/>
    <x v="5"/>
    <x v="5"/>
    <x v="29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0"/>
    <x v="0"/>
    <x v="8"/>
    <x v="0"/>
    <x v="5"/>
    <x v="5"/>
    <x v="5"/>
    <x v="62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0"/>
    <x v="0"/>
    <x v="4"/>
    <x v="0"/>
    <x v="49"/>
    <x v="49"/>
    <x v="49"/>
    <x v="63"/>
    <x v="0"/>
    <x v="0"/>
    <x v="49"/>
    <x v="49"/>
    <x v="10"/>
    <x v="38"/>
    <x v="38"/>
    <x v="47"/>
    <x v="47"/>
    <x v="5"/>
    <x v="5"/>
    <x v="47"/>
    <x v="0"/>
    <x v="0"/>
    <x v="0"/>
  </r>
  <r>
    <x v="5"/>
    <x v="0"/>
    <x v="0"/>
    <x v="0"/>
    <x v="0"/>
    <x v="0"/>
    <x v="50"/>
    <x v="50"/>
    <x v="50"/>
    <x v="64"/>
    <x v="0"/>
    <x v="0"/>
    <x v="50"/>
    <x v="50"/>
    <x v="21"/>
    <x v="39"/>
    <x v="39"/>
    <x v="48"/>
    <x v="48"/>
    <x v="5"/>
    <x v="5"/>
    <x v="48"/>
    <x v="0"/>
    <x v="0"/>
    <x v="0"/>
  </r>
  <r>
    <x v="5"/>
    <x v="0"/>
    <x v="0"/>
    <x v="0"/>
    <x v="5"/>
    <x v="0"/>
    <x v="5"/>
    <x v="5"/>
    <x v="5"/>
    <x v="25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0"/>
    <x v="0"/>
    <x v="3"/>
    <x v="0"/>
    <x v="51"/>
    <x v="51"/>
    <x v="51"/>
    <x v="65"/>
    <x v="0"/>
    <x v="0"/>
    <x v="51"/>
    <x v="51"/>
    <x v="22"/>
    <x v="40"/>
    <x v="40"/>
    <x v="49"/>
    <x v="49"/>
    <x v="5"/>
    <x v="5"/>
    <x v="49"/>
    <x v="0"/>
    <x v="0"/>
    <x v="0"/>
  </r>
  <r>
    <x v="5"/>
    <x v="0"/>
    <x v="0"/>
    <x v="0"/>
    <x v="12"/>
    <x v="0"/>
    <x v="5"/>
    <x v="5"/>
    <x v="5"/>
    <x v="9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0"/>
    <x v="0"/>
    <x v="7"/>
    <x v="0"/>
    <x v="52"/>
    <x v="52"/>
    <x v="52"/>
    <x v="66"/>
    <x v="0"/>
    <x v="0"/>
    <x v="52"/>
    <x v="52"/>
    <x v="4"/>
    <x v="41"/>
    <x v="41"/>
    <x v="50"/>
    <x v="50"/>
    <x v="5"/>
    <x v="5"/>
    <x v="50"/>
    <x v="0"/>
    <x v="0"/>
    <x v="0"/>
  </r>
  <r>
    <x v="5"/>
    <x v="0"/>
    <x v="0"/>
    <x v="0"/>
    <x v="13"/>
    <x v="0"/>
    <x v="5"/>
    <x v="5"/>
    <x v="5"/>
    <x v="67"/>
    <x v="0"/>
    <x v="0"/>
    <x v="5"/>
    <x v="5"/>
    <x v="0"/>
    <x v="0"/>
    <x v="0"/>
    <x v="5"/>
    <x v="5"/>
    <x v="5"/>
    <x v="5"/>
    <x v="5"/>
    <x v="0"/>
    <x v="0"/>
    <x v="0"/>
  </r>
  <r>
    <x v="5"/>
    <x v="0"/>
    <x v="1"/>
    <x v="0"/>
    <x v="4"/>
    <x v="0"/>
    <x v="53"/>
    <x v="53"/>
    <x v="53"/>
    <x v="68"/>
    <x v="1"/>
    <x v="0"/>
    <x v="53"/>
    <x v="53"/>
    <x v="17"/>
    <x v="42"/>
    <x v="42"/>
    <x v="51"/>
    <x v="51"/>
    <x v="5"/>
    <x v="5"/>
    <x v="51"/>
    <x v="0"/>
    <x v="0"/>
    <x v="0"/>
  </r>
  <r>
    <x v="5"/>
    <x v="0"/>
    <x v="1"/>
    <x v="0"/>
    <x v="1"/>
    <x v="0"/>
    <x v="54"/>
    <x v="54"/>
    <x v="54"/>
    <x v="69"/>
    <x v="1"/>
    <x v="0"/>
    <x v="54"/>
    <x v="54"/>
    <x v="8"/>
    <x v="43"/>
    <x v="43"/>
    <x v="52"/>
    <x v="52"/>
    <x v="5"/>
    <x v="5"/>
    <x v="52"/>
    <x v="0"/>
    <x v="0"/>
    <x v="0"/>
  </r>
  <r>
    <x v="5"/>
    <x v="0"/>
    <x v="1"/>
    <x v="0"/>
    <x v="19"/>
    <x v="0"/>
    <x v="55"/>
    <x v="55"/>
    <x v="55"/>
    <x v="70"/>
    <x v="1"/>
    <x v="0"/>
    <x v="55"/>
    <x v="55"/>
    <x v="23"/>
    <x v="0"/>
    <x v="0"/>
    <x v="53"/>
    <x v="53"/>
    <x v="5"/>
    <x v="5"/>
    <x v="53"/>
    <x v="0"/>
    <x v="0"/>
    <x v="0"/>
  </r>
  <r>
    <x v="6"/>
    <x v="0"/>
    <x v="0"/>
    <x v="0"/>
    <x v="1"/>
    <x v="0"/>
    <x v="56"/>
    <x v="56"/>
    <x v="56"/>
    <x v="71"/>
    <x v="0"/>
    <x v="0"/>
    <x v="56"/>
    <x v="56"/>
    <x v="0"/>
    <x v="0"/>
    <x v="0"/>
    <x v="5"/>
    <x v="5"/>
    <x v="5"/>
    <x v="5"/>
    <x v="5"/>
    <x v="0"/>
    <x v="0"/>
    <x v="0"/>
  </r>
  <r>
    <x v="6"/>
    <x v="0"/>
    <x v="0"/>
    <x v="0"/>
    <x v="17"/>
    <x v="0"/>
    <x v="5"/>
    <x v="5"/>
    <x v="5"/>
    <x v="5"/>
    <x v="0"/>
    <x v="0"/>
    <x v="5"/>
    <x v="5"/>
    <x v="0"/>
    <x v="0"/>
    <x v="0"/>
    <x v="5"/>
    <x v="5"/>
    <x v="5"/>
    <x v="5"/>
    <x v="5"/>
    <x v="0"/>
    <x v="0"/>
    <x v="0"/>
  </r>
  <r>
    <x v="6"/>
    <x v="0"/>
    <x v="0"/>
    <x v="0"/>
    <x v="6"/>
    <x v="0"/>
    <x v="57"/>
    <x v="57"/>
    <x v="57"/>
    <x v="72"/>
    <x v="0"/>
    <x v="0"/>
    <x v="57"/>
    <x v="57"/>
    <x v="0"/>
    <x v="0"/>
    <x v="0"/>
    <x v="5"/>
    <x v="5"/>
    <x v="5"/>
    <x v="5"/>
    <x v="5"/>
    <x v="0"/>
    <x v="0"/>
    <x v="0"/>
  </r>
  <r>
    <x v="6"/>
    <x v="0"/>
    <x v="0"/>
    <x v="0"/>
    <x v="7"/>
    <x v="0"/>
    <x v="58"/>
    <x v="58"/>
    <x v="58"/>
    <x v="73"/>
    <x v="0"/>
    <x v="0"/>
    <x v="58"/>
    <x v="58"/>
    <x v="0"/>
    <x v="0"/>
    <x v="0"/>
    <x v="5"/>
    <x v="5"/>
    <x v="5"/>
    <x v="5"/>
    <x v="5"/>
    <x v="0"/>
    <x v="0"/>
    <x v="0"/>
  </r>
  <r>
    <x v="6"/>
    <x v="0"/>
    <x v="0"/>
    <x v="0"/>
    <x v="4"/>
    <x v="0"/>
    <x v="59"/>
    <x v="59"/>
    <x v="59"/>
    <x v="74"/>
    <x v="0"/>
    <x v="0"/>
    <x v="59"/>
    <x v="59"/>
    <x v="0"/>
    <x v="0"/>
    <x v="0"/>
    <x v="5"/>
    <x v="5"/>
    <x v="5"/>
    <x v="5"/>
    <x v="5"/>
    <x v="0"/>
    <x v="0"/>
    <x v="0"/>
  </r>
  <r>
    <x v="6"/>
    <x v="0"/>
    <x v="0"/>
    <x v="0"/>
    <x v="3"/>
    <x v="0"/>
    <x v="60"/>
    <x v="60"/>
    <x v="60"/>
    <x v="75"/>
    <x v="0"/>
    <x v="0"/>
    <x v="60"/>
    <x v="60"/>
    <x v="0"/>
    <x v="0"/>
    <x v="0"/>
    <x v="5"/>
    <x v="5"/>
    <x v="5"/>
    <x v="5"/>
    <x v="5"/>
    <x v="0"/>
    <x v="0"/>
    <x v="0"/>
  </r>
  <r>
    <x v="6"/>
    <x v="0"/>
    <x v="0"/>
    <x v="0"/>
    <x v="0"/>
    <x v="0"/>
    <x v="61"/>
    <x v="61"/>
    <x v="61"/>
    <x v="76"/>
    <x v="0"/>
    <x v="0"/>
    <x v="61"/>
    <x v="61"/>
    <x v="0"/>
    <x v="0"/>
    <x v="0"/>
    <x v="5"/>
    <x v="5"/>
    <x v="5"/>
    <x v="5"/>
    <x v="5"/>
    <x v="0"/>
    <x v="0"/>
    <x v="0"/>
  </r>
  <r>
    <x v="6"/>
    <x v="0"/>
    <x v="1"/>
    <x v="0"/>
    <x v="11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  <r>
    <x v="6"/>
    <x v="0"/>
    <x v="1"/>
    <x v="0"/>
    <x v="1"/>
    <x v="0"/>
    <x v="62"/>
    <x v="62"/>
    <x v="62"/>
    <x v="77"/>
    <x v="1"/>
    <x v="0"/>
    <x v="62"/>
    <x v="62"/>
    <x v="0"/>
    <x v="0"/>
    <x v="0"/>
    <x v="5"/>
    <x v="5"/>
    <x v="5"/>
    <x v="5"/>
    <x v="5"/>
    <x v="0"/>
    <x v="0"/>
    <x v="0"/>
  </r>
  <r>
    <x v="6"/>
    <x v="0"/>
    <x v="1"/>
    <x v="0"/>
    <x v="5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  <r>
    <x v="6"/>
    <x v="0"/>
    <x v="1"/>
    <x v="0"/>
    <x v="19"/>
    <x v="0"/>
    <x v="63"/>
    <x v="63"/>
    <x v="63"/>
    <x v="78"/>
    <x v="1"/>
    <x v="0"/>
    <x v="63"/>
    <x v="63"/>
    <x v="0"/>
    <x v="0"/>
    <x v="0"/>
    <x v="5"/>
    <x v="5"/>
    <x v="5"/>
    <x v="5"/>
    <x v="5"/>
    <x v="0"/>
    <x v="0"/>
    <x v="0"/>
  </r>
  <r>
    <x v="6"/>
    <x v="0"/>
    <x v="1"/>
    <x v="0"/>
    <x v="4"/>
    <x v="0"/>
    <x v="64"/>
    <x v="64"/>
    <x v="64"/>
    <x v="79"/>
    <x v="1"/>
    <x v="0"/>
    <x v="64"/>
    <x v="64"/>
    <x v="0"/>
    <x v="0"/>
    <x v="0"/>
    <x v="5"/>
    <x v="5"/>
    <x v="5"/>
    <x v="5"/>
    <x v="5"/>
    <x v="0"/>
    <x v="0"/>
    <x v="0"/>
  </r>
  <r>
    <x v="6"/>
    <x v="0"/>
    <x v="1"/>
    <x v="0"/>
    <x v="17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  <r>
    <x v="6"/>
    <x v="0"/>
    <x v="1"/>
    <x v="0"/>
    <x v="20"/>
    <x v="0"/>
    <x v="5"/>
    <x v="5"/>
    <x v="5"/>
    <x v="5"/>
    <x v="1"/>
    <x v="0"/>
    <x v="5"/>
    <x v="5"/>
    <x v="0"/>
    <x v="0"/>
    <x v="0"/>
    <x v="5"/>
    <x v="5"/>
    <x v="5"/>
    <x v="5"/>
    <x v="5"/>
    <x v="0"/>
    <x v="0"/>
    <x v="0"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3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4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5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6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7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8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9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3:D12" firstHeaderRow="1" firstDataRow="2" firstDataCol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outline="0" numFmtId="1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求和项:贷款金额" fld="8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17:E25" firstHeaderRow="0" firstDataRow="1" firstDataCol="1" rowPageCount="1" colPageCount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outline="0" numFmtId="1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1"/>
  </pageFields>
  <dataFields count="4">
    <dataField name="求和项:贷款金额" fld="8" baseField="0" baseItem="0"/>
    <dataField name="求和项:下发用户数" fld="6" baseField="0" baseItem="0"/>
    <dataField name="求和项:到手薪资（税后）" fld="13" baseField="0" baseItem="0"/>
    <dataField name="求和项:数据人力" fld="14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29:E37" firstHeaderRow="0" firstDataRow="1" firstDataCol="1" rowPageCount="1" colPageCount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outline="0" numFmtId="1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0"/>
  </pageFields>
  <dataFields count="4">
    <dataField name="求和项:贷款金额" fld="8" baseField="0" baseItem="0"/>
    <dataField name="求和项:下发用户数" fld="6" baseField="0" baseItem="0"/>
    <dataField name="求和项:到手薪资（税后）" fld="13" baseField="0" baseItem="0"/>
    <dataField name="求和项:数据人力" fld="14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2:C50" firstHeaderRow="0" firstDataRow="1" firstDataCol="1" rowPageCount="1" colPageCount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outline="0" numFmtId="1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1"/>
  </pageFields>
  <dataFields count="2">
    <dataField name="求和项:到手薪资（税后）" fld="13" baseField="0" baseItem="0"/>
    <dataField name="求和项:线路费" fld="9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54:C62" firstHeaderRow="0" firstDataRow="1" firstDataCol="1" rowPageCount="1" colPageCount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outline="0" numFmtId="1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0"/>
  </pageFields>
  <dataFields count="2">
    <dataField name="求和项:到手薪资（税后）" fld="13" baseField="0" baseItem="0"/>
    <dataField name="求和项:线路费" fld="9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5:C13" firstHeaderRow="0" firstDataRow="1" firstDataCol="1" rowPageCount="2" colPageCount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outline="0" numFmtId="1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1"/>
    <pageField fld="2" item="1"/>
  </pageFields>
  <dataFields count="2">
    <dataField name="求和项:到手薪资（税后）" fld="13" baseField="0" baseItem="0"/>
    <dataField name="求和项:贷款金额" fld="8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9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20:C28" firstHeaderRow="0" firstDataRow="1" firstDataCol="1" rowPageCount="2" colPageCount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outline="0" numFmtId="1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1"/>
    <pageField fld="2" item="0"/>
  </pageFields>
  <dataFields count="2">
    <dataField name="求和项:到手薪资（税后）" fld="13" baseField="0" baseItem="0"/>
    <dataField name="求和项:贷款金额" fld="8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11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3:I11" firstHeaderRow="0" firstDataRow="1" firstDataCol="1" rowPageCount="1" colPageCount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dataField="1" compact="0" outline="0" numFmtId="10" showAll="0">
      <items count="3">
        <item x="0"/>
        <item x="1"/>
        <item t="default"/>
      </items>
    </pivotField>
    <pivotField dataField="1" compact="0" outline="0" showAll="0">
      <items count="2">
        <item x="0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2" item="1"/>
  </pageFields>
  <dataFields count="8">
    <dataField name="求和项:下发用户数" fld="6" baseField="0" baseItem="0"/>
    <dataField name="求和项:贷款金额" fld="8" baseField="0" baseItem="0"/>
    <dataField name="求和项:线路费" fld="9" baseField="0" baseItem="0"/>
    <dataField name="平均值项:还款系数" fld="10" subtotal="average" baseField="0" baseItem="0"/>
    <dataField name="平均值项:税率" fld="11" subtotal="average" baseField="0" baseItem="0"/>
    <dataField name="求和项:费效成本" fld="12" baseField="0" baseItem="0"/>
    <dataField name="求和项:到手薪资（税后）" fld="13" baseField="0" baseItem="0"/>
    <dataField name="求和项:数据人力" fld="14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12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16:I24" firstHeaderRow="0" firstDataRow="1" firstDataCol="1" rowPageCount="1" colPageCount="1"/>
  <pivotFields count="25">
    <pivotField axis="axisRow" compact="0" outline="0" numFmtId="178" showAll="0">
      <items count="8"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numFmtId="3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dataField="1" compact="0" outline="0" numFmtId="10" showAll="0">
      <items count="3">
        <item x="0"/>
        <item x="1"/>
        <item t="default"/>
      </items>
    </pivotField>
    <pivotField dataField="1" compact="0" outline="0" showAll="0">
      <items count="2">
        <item x="0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2" item="0"/>
  </pageFields>
  <dataFields count="8">
    <dataField name="求和项:下发用户数" fld="6" baseField="0" baseItem="0"/>
    <dataField name="求和项:贷款金额" fld="8" baseField="0" baseItem="0"/>
    <dataField name="求和项:线路费" fld="9" baseField="0" baseItem="0"/>
    <dataField name="平均值项:还款系数" fld="10" subtotal="average" baseField="0" baseItem="0"/>
    <dataField name="平均值项:税率" fld="11" subtotal="average" baseField="0" baseItem="0"/>
    <dataField name="求和项:费效成本" fld="12" baseField="0" baseItem="0"/>
    <dataField name="求和项:到手薪资（税后）" fld="13" baseField="0" baseItem="0"/>
    <dataField name="求和项:数据人力" fld="14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Relationship Id="rId1" Target="../pivotTables/pivotTable1.xml" Type="http://schemas.openxmlformats.org/officeDocument/2006/relationships/pivotTable"/><Relationship Id="rId2" Target="../pivotTables/pivotTable2.xml" Type="http://schemas.openxmlformats.org/officeDocument/2006/relationships/pivotTable"/><Relationship Id="rId3" Target="../pivotTables/pivotTable3.xml" Type="http://schemas.openxmlformats.org/officeDocument/2006/relationships/pivotTable"/><Relationship Id="rId4" Target="../pivotTables/pivotTable4.xml" Type="http://schemas.openxmlformats.org/officeDocument/2006/relationships/pivotTable"/><Relationship Id="rId5" Target="../pivotTables/pivotTable5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Relationship Id="rId1" Target="../pivotTables/pivotTable6.xml" Type="http://schemas.openxmlformats.org/officeDocument/2006/relationships/pivotTable"/><Relationship Id="rId2" Target="../pivotTables/pivotTable7.xml" Type="http://schemas.openxmlformats.org/officeDocument/2006/relationships/pivotTable"/></Relationships>
</file>

<file path=xl/worksheets/_rels/sheet3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Relationship Id="rId1" Target="../pivotTables/pivotTable8.xml" Type="http://schemas.openxmlformats.org/officeDocument/2006/relationships/pivotTable"/><Relationship Id="rId2" Target="../pivotTables/pivotTable9.xml" Type="http://schemas.openxmlformats.org/officeDocument/2006/relationships/pivotTable"/></Relationships>
</file>

<file path=xl/worksheets/_rels/sheet4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5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62"/>
  <sheetViews>
    <sheetView workbookViewId="0">
      <selection activeCell="G42" sqref="G42:G49"/>
    </sheetView>
  </sheetViews>
  <sheetFormatPr defaultColWidth="9" defaultRowHeight="13.5"/>
  <cols>
    <col min="1" max="2" customWidth="true" width="16.125" collapsed="false"/>
    <col min="3" max="3" customWidth="true" width="18.25" collapsed="false"/>
    <col min="4" max="4" customWidth="true" width="24.5" collapsed="false"/>
    <col min="5" max="5" customWidth="true" width="16.125" collapsed="false"/>
    <col min="6" max="6" customWidth="true" width="12.125" collapsed="false"/>
    <col min="7" max="7" customWidth="true" width="21.75" collapsed="false"/>
    <col min="8" max="8" width="12.625" collapsed="false"/>
    <col min="9" max="9" customWidth="true" width="19.5" collapsed="false"/>
    <col min="10" max="10" customWidth="true" width="15.0" collapsed="false"/>
    <col min="11" max="11" width="12.625" collapsed="false"/>
  </cols>
  <sheetData>
    <row r="3" spans="1:11">
      <c r="A3" s="10" t="s">
        <v>0</v>
      </c>
      <c r="B3" s="10" t="s">
        <v>1</v>
      </c>
      <c r="C3" s="10"/>
      <c r="D3" s="25"/>
      <c r="F3" s="4" t="s">
        <v>2</v>
      </c>
      <c r="H3" s="4" t="s">
        <v>3</v>
      </c>
      <c r="J3" s="4" t="s">
        <v>4</v>
      </c>
    </row>
    <row r="4" spans="1:11">
      <c r="A4" s="10" t="s">
        <v>5</v>
      </c>
      <c r="B4" s="10" t="s">
        <v>6</v>
      </c>
      <c r="C4" s="11" t="s">
        <v>7</v>
      </c>
      <c r="D4" s="26" t="s">
        <v>8</v>
      </c>
      <c r="F4" s="10" t="s">
        <v>6</v>
      </c>
      <c r="G4" s="11" t="s">
        <v>7</v>
      </c>
      <c r="H4" s="10" t="s">
        <v>6</v>
      </c>
      <c r="I4" s="11" t="s">
        <v>7</v>
      </c>
      <c r="J4" s="10" t="s">
        <v>6</v>
      </c>
      <c r="K4" s="11" t="s">
        <v>7</v>
      </c>
    </row>
    <row r="5" spans="1:11">
      <c r="A5" s="13">
        <v>45992</v>
      </c>
      <c r="B5" s="10">
        <v>977954300</v>
      </c>
      <c r="C5" s="11">
        <v>1029441200</v>
      </c>
      <c r="D5" s="26">
        <v>2007395500</v>
      </c>
    </row>
    <row r="6" spans="1:11">
      <c r="A6" s="14">
        <v>46023</v>
      </c>
      <c r="B6" s="15">
        <v>1075846200</v>
      </c>
      <c r="C6">
        <v>1536136900</v>
      </c>
      <c r="D6" s="27">
        <v>2611983100</v>
      </c>
      <c r="F6" s="21">
        <v>0.398</v>
      </c>
      <c r="G6" s="21">
        <v>0.091</v>
      </c>
      <c r="H6" s="22">
        <v>0.36</v>
      </c>
      <c r="I6" s="22">
        <v>0.07</v>
      </c>
      <c r="J6" s="23">
        <f>H6/F6</f>
        <v>0.904522613065327</v>
      </c>
      <c r="K6" s="23">
        <f>I6/G6</f>
        <v>0.769230769230769</v>
      </c>
    </row>
    <row r="7" spans="1:11">
      <c r="A7" s="14">
        <v>46054</v>
      </c>
      <c r="B7" s="15">
        <v>804200900</v>
      </c>
      <c r="C7">
        <v>997980600</v>
      </c>
      <c r="D7" s="27">
        <v>1802181500</v>
      </c>
      <c r="F7" s="21">
        <v>0.34</v>
      </c>
      <c r="G7" s="21">
        <v>0.104</v>
      </c>
      <c r="H7" s="22">
        <v>0.36</v>
      </c>
      <c r="I7" s="22">
        <v>0.07</v>
      </c>
      <c r="J7" s="23">
        <f>H7/F7</f>
        <v>1.05882352941176</v>
      </c>
      <c r="K7" s="23">
        <f>I7/G7</f>
        <v>0.673076923076923</v>
      </c>
    </row>
    <row r="8" spans="1:11">
      <c r="A8" s="14">
        <v>46082</v>
      </c>
      <c r="B8" s="15">
        <v>1232529800</v>
      </c>
      <c r="C8">
        <v>1379427800</v>
      </c>
      <c r="D8" s="27">
        <v>2611957600</v>
      </c>
      <c r="F8" s="21">
        <v>0.411</v>
      </c>
      <c r="G8" s="21">
        <v>0.099</v>
      </c>
      <c r="H8" s="22">
        <v>0.36</v>
      </c>
      <c r="I8" s="22">
        <v>0.07</v>
      </c>
      <c r="J8" s="23">
        <f>H8/F8</f>
        <v>0.875912408759124</v>
      </c>
      <c r="K8" s="23">
        <f>I8/G8</f>
        <v>0.707070707070707</v>
      </c>
    </row>
    <row r="9" spans="1:11">
      <c r="A9" s="14">
        <v>46113</v>
      </c>
      <c r="B9" s="15">
        <v>1305996700</v>
      </c>
      <c r="C9">
        <v>1145556800</v>
      </c>
      <c r="D9" s="27">
        <v>2451553500</v>
      </c>
      <c r="F9" s="21">
        <v>0.391</v>
      </c>
      <c r="G9" s="21">
        <v>0.1</v>
      </c>
      <c r="H9" s="22">
        <v>0.36</v>
      </c>
      <c r="I9" s="22">
        <v>0.07</v>
      </c>
      <c r="J9" s="23">
        <f>H9/F9</f>
        <v>0.920716112531969</v>
      </c>
      <c r="K9" s="23">
        <f>I9/G9</f>
        <v>0.7</v>
      </c>
    </row>
    <row r="10" spans="1:11">
      <c r="A10" s="14">
        <v>46143</v>
      </c>
      <c r="B10" s="15">
        <v>1329800200</v>
      </c>
      <c r="C10">
        <v>928932900</v>
      </c>
      <c r="D10" s="27">
        <v>2258733100</v>
      </c>
      <c r="F10" s="21">
        <v>0.358</v>
      </c>
      <c r="G10" s="21">
        <v>0.116</v>
      </c>
      <c r="H10" s="22">
        <v>0.36</v>
      </c>
      <c r="I10" s="22">
        <v>0.07</v>
      </c>
      <c r="J10" s="23">
        <f>H10/F10</f>
        <v>1.00558659217877</v>
      </c>
      <c r="K10" s="23">
        <f>I10/G10</f>
        <v>0.603448275862069</v>
      </c>
    </row>
    <row r="11" spans="1:11">
      <c r="A11" s="14">
        <v>46174</v>
      </c>
      <c r="B11" s="15">
        <v>98028100</v>
      </c>
      <c r="C11">
        <v>90965500</v>
      </c>
      <c r="D11" s="27">
        <v>188993600</v>
      </c>
    </row>
    <row r="12" spans="1:11">
      <c r="A12" s="17" t="s">
        <v>8</v>
      </c>
      <c r="B12" s="17">
        <v>6824356200</v>
      </c>
      <c r="C12" s="18">
        <v>7108441700</v>
      </c>
      <c r="D12" s="9">
        <v>13932797900</v>
      </c>
    </row>
    <row r="15" spans="1:11">
      <c r="A15" s="9" t="s">
        <v>1</v>
      </c>
      <c r="B15" s="9" t="s">
        <v>7</v>
      </c>
    </row>
    <row r="17" spans="1:10">
      <c r="A17" s="10" t="s">
        <v>5</v>
      </c>
      <c r="B17" s="10" t="s">
        <v>0</v>
      </c>
      <c r="C17" s="11" t="s">
        <v>9</v>
      </c>
      <c r="D17" s="11" t="s">
        <v>10</v>
      </c>
      <c r="E17" s="12" t="s">
        <v>11</v>
      </c>
      <c r="H17" s="4" t="s">
        <v>12</v>
      </c>
      <c r="I17" s="4" t="s">
        <v>13</v>
      </c>
      <c r="J17" s="4" t="s">
        <v>14</v>
      </c>
    </row>
    <row r="18" spans="1:10">
      <c r="A18" s="13">
        <v>45992</v>
      </c>
      <c r="B18" s="10">
        <v>1029441200</v>
      </c>
      <c r="C18" s="11">
        <v>17966659</v>
      </c>
      <c r="D18" s="11">
        <v>4168887</v>
      </c>
      <c r="E18" s="12"/>
    </row>
    <row r="19" spans="1:10">
      <c r="A19" s="14">
        <v>46023</v>
      </c>
      <c r="B19" s="15">
        <v>1536136900</v>
      </c>
      <c r="C19">
        <v>22796891</v>
      </c>
      <c r="D19">
        <v>5480735</v>
      </c>
      <c r="E19" s="16">
        <v>241</v>
      </c>
      <c r="H19" s="20">
        <f>D19*K6</f>
        <v>4215950</v>
      </c>
      <c r="I19" s="20">
        <f>H19*0.7</f>
        <v>2951165</v>
      </c>
      <c r="J19" s="20">
        <f>I19/E19</f>
        <v>12245.4979253112</v>
      </c>
    </row>
    <row r="20" spans="1:10">
      <c r="A20" s="14">
        <v>46054</v>
      </c>
      <c r="B20" s="15">
        <v>997980600</v>
      </c>
      <c r="C20">
        <v>16902629</v>
      </c>
      <c r="D20">
        <v>3302844</v>
      </c>
      <c r="E20" s="16">
        <v>250</v>
      </c>
      <c r="H20" s="20">
        <f>D20*K7</f>
        <v>2223068.07692308</v>
      </c>
      <c r="I20" s="20">
        <f>H20*0.7</f>
        <v>1556147.65384615</v>
      </c>
      <c r="J20" s="20">
        <f>I20/E20</f>
        <v>6224.59061538462</v>
      </c>
    </row>
    <row r="21" spans="1:10">
      <c r="A21" s="14">
        <v>46082</v>
      </c>
      <c r="B21" s="15">
        <v>1379427800</v>
      </c>
      <c r="C21">
        <v>25394474</v>
      </c>
      <c r="D21">
        <v>4380682</v>
      </c>
      <c r="E21" s="16">
        <v>234</v>
      </c>
      <c r="H21" s="20">
        <f>D21*K8</f>
        <v>3097451.91919192</v>
      </c>
      <c r="I21" s="20">
        <f>H21*0.7</f>
        <v>2168216.34343434</v>
      </c>
      <c r="J21" s="20">
        <f>I21/E21</f>
        <v>9265.88180954848</v>
      </c>
    </row>
    <row r="22" spans="1:10">
      <c r="A22" s="14">
        <v>46113</v>
      </c>
      <c r="B22" s="15">
        <v>1145556800</v>
      </c>
      <c r="C22">
        <v>22015799</v>
      </c>
      <c r="D22">
        <v>3492679</v>
      </c>
      <c r="E22" s="16">
        <v>218</v>
      </c>
      <c r="H22" s="20">
        <f>D22*K9</f>
        <v>2444875.3</v>
      </c>
      <c r="I22" s="20">
        <f>H22*0.7</f>
        <v>1711412.71</v>
      </c>
      <c r="J22" s="20">
        <f>I22/E22</f>
        <v>7850.51701834862</v>
      </c>
    </row>
    <row r="23" spans="1:10">
      <c r="A23" s="14">
        <v>46143</v>
      </c>
      <c r="B23" s="15">
        <v>928932900</v>
      </c>
      <c r="C23">
        <v>22376289</v>
      </c>
      <c r="D23">
        <v>2438811</v>
      </c>
      <c r="E23" s="16">
        <v>214</v>
      </c>
      <c r="H23" s="20">
        <f>D23*K10</f>
        <v>1471696.29310345</v>
      </c>
      <c r="I23" s="20">
        <f>H23*0.7</f>
        <v>1030187.40517241</v>
      </c>
      <c r="J23" s="20">
        <f>I23/E23</f>
        <v>4813.95983725427</v>
      </c>
    </row>
    <row r="24" spans="1:10">
      <c r="A24" s="14">
        <v>46174</v>
      </c>
      <c r="B24" s="15">
        <v>90965500</v>
      </c>
      <c r="C24">
        <v>1574787</v>
      </c>
      <c r="D24">
        <v>287204</v>
      </c>
      <c r="E24" s="16"/>
    </row>
    <row r="25" spans="1:10">
      <c r="A25" s="17" t="s">
        <v>8</v>
      </c>
      <c r="B25" s="17">
        <v>7108441700</v>
      </c>
      <c r="C25" s="18">
        <v>129027528</v>
      </c>
      <c r="D25" s="18">
        <v>23551842</v>
      </c>
      <c r="E25" s="19">
        <v>1157</v>
      </c>
    </row>
    <row r="27" spans="1:10">
      <c r="A27" s="9" t="s">
        <v>1</v>
      </c>
      <c r="B27" s="9" t="s">
        <v>6</v>
      </c>
    </row>
    <row r="29" spans="1:10">
      <c r="A29" s="10" t="s">
        <v>5</v>
      </c>
      <c r="B29" s="10" t="s">
        <v>0</v>
      </c>
      <c r="C29" s="11" t="s">
        <v>9</v>
      </c>
      <c r="D29" s="11" t="s">
        <v>10</v>
      </c>
      <c r="E29" s="12" t="s">
        <v>11</v>
      </c>
      <c r="H29" s="4" t="s">
        <v>12</v>
      </c>
      <c r="I29" s="4" t="s">
        <v>13</v>
      </c>
      <c r="J29" s="4" t="s">
        <v>14</v>
      </c>
    </row>
    <row r="30" spans="1:10">
      <c r="A30" s="13">
        <v>45992</v>
      </c>
      <c r="B30" s="10">
        <v>977954300</v>
      </c>
      <c r="C30" s="11">
        <v>4914674</v>
      </c>
      <c r="D30" s="11">
        <v>650082</v>
      </c>
      <c r="E30" s="12"/>
    </row>
    <row r="31" spans="1:10">
      <c r="A31" s="14">
        <v>46023</v>
      </c>
      <c r="B31" s="15">
        <v>1075846200</v>
      </c>
      <c r="C31">
        <v>3277101</v>
      </c>
      <c r="D31">
        <v>831649</v>
      </c>
      <c r="E31" s="16">
        <v>25</v>
      </c>
      <c r="H31" s="20">
        <f>D31*J6</f>
        <v>752245.326633166</v>
      </c>
      <c r="I31" s="20">
        <f t="shared" ref="I31:I35" si="0">H31*0.7</f>
        <v>526571.728643216</v>
      </c>
      <c r="J31" s="20">
        <f t="shared" ref="J31:J35" si="1">I31/E31</f>
        <v>21062.8691457286</v>
      </c>
    </row>
    <row r="32" spans="1:10">
      <c r="A32" s="14">
        <v>46054</v>
      </c>
      <c r="B32" s="15">
        <v>804200900</v>
      </c>
      <c r="C32">
        <v>2182420</v>
      </c>
      <c r="D32">
        <v>649380</v>
      </c>
      <c r="E32" s="16">
        <v>25</v>
      </c>
      <c r="H32" s="20">
        <f>D32*J7</f>
        <v>687578.823529412</v>
      </c>
      <c r="I32" s="20">
        <f t="shared" si="0"/>
        <v>481305.176470588</v>
      </c>
      <c r="J32" s="20">
        <f t="shared" si="1"/>
        <v>19252.2070588235</v>
      </c>
    </row>
    <row r="33" spans="1:10">
      <c r="A33" s="14">
        <v>46082</v>
      </c>
      <c r="B33" s="15">
        <v>1232529800</v>
      </c>
      <c r="C33">
        <v>4320956</v>
      </c>
      <c r="D33">
        <v>920679</v>
      </c>
      <c r="E33" s="16">
        <v>24</v>
      </c>
      <c r="H33" s="20">
        <f>D33*J8</f>
        <v>806434.160583941</v>
      </c>
      <c r="I33" s="20">
        <f t="shared" si="0"/>
        <v>564503.912408759</v>
      </c>
      <c r="J33" s="20">
        <f t="shared" si="1"/>
        <v>23520.996350365</v>
      </c>
    </row>
    <row r="34" spans="1:10">
      <c r="A34" s="14">
        <v>46113</v>
      </c>
      <c r="B34" s="15">
        <v>1305996700</v>
      </c>
      <c r="C34">
        <v>4410678</v>
      </c>
      <c r="D34">
        <v>516087</v>
      </c>
      <c r="E34" s="16">
        <v>21</v>
      </c>
      <c r="H34" s="20">
        <f>D34*J9</f>
        <v>475169.616368286</v>
      </c>
      <c r="I34" s="20">
        <f t="shared" si="0"/>
        <v>332618.7314578</v>
      </c>
      <c r="J34" s="20">
        <f t="shared" si="1"/>
        <v>15838.9872122762</v>
      </c>
    </row>
    <row r="35" spans="1:10">
      <c r="A35" s="14">
        <v>46143</v>
      </c>
      <c r="B35" s="15">
        <v>1329800200</v>
      </c>
      <c r="C35">
        <v>4555765</v>
      </c>
      <c r="D35">
        <v>519588</v>
      </c>
      <c r="E35" s="16">
        <v>39</v>
      </c>
      <c r="H35" s="20">
        <f>D35*J10</f>
        <v>522490.726256983</v>
      </c>
      <c r="I35" s="20">
        <f t="shared" si="0"/>
        <v>365743.508379888</v>
      </c>
      <c r="J35" s="20">
        <f t="shared" si="1"/>
        <v>9378.03867640739</v>
      </c>
    </row>
    <row r="36" spans="1:10">
      <c r="A36" s="14">
        <v>46174</v>
      </c>
      <c r="B36" s="15">
        <v>98028100</v>
      </c>
      <c r="C36">
        <v>246846</v>
      </c>
      <c r="D36">
        <v>42467</v>
      </c>
      <c r="E36" s="16"/>
    </row>
    <row r="37" spans="1:10">
      <c r="A37" s="17" t="s">
        <v>8</v>
      </c>
      <c r="B37" s="17">
        <v>6824356200</v>
      </c>
      <c r="C37" s="18">
        <v>23908440</v>
      </c>
      <c r="D37" s="18">
        <v>4129932</v>
      </c>
      <c r="E37" s="19">
        <v>134</v>
      </c>
    </row>
    <row r="40" spans="1:10">
      <c r="A40" s="9" t="s">
        <v>1</v>
      </c>
      <c r="B40" s="9" t="s">
        <v>7</v>
      </c>
    </row>
    <row r="42" spans="1:10">
      <c r="A42" s="10" t="s">
        <v>5</v>
      </c>
      <c r="B42" s="10" t="s">
        <v>10</v>
      </c>
      <c r="C42" s="12" t="s">
        <v>15</v>
      </c>
      <c r="G42" s="4" t="s">
        <v>16</v>
      </c>
      <c r="H42" s="4"/>
      <c r="I42" s="4"/>
    </row>
    <row r="43" spans="1:10">
      <c r="A43" s="13">
        <v>45992</v>
      </c>
      <c r="B43" s="10">
        <v>4168887</v>
      </c>
      <c r="C43" s="12">
        <v>1903913</v>
      </c>
      <c r="G43">
        <f>C43/B43</f>
        <v>0.456695755965561</v>
      </c>
    </row>
    <row r="44" spans="1:10">
      <c r="A44" s="14">
        <v>46023</v>
      </c>
      <c r="B44" s="15">
        <v>5480735</v>
      </c>
      <c r="C44" s="16">
        <v>2451922</v>
      </c>
      <c r="G44">
        <f t="shared" ref="G44:G49" si="2">C44/B44</f>
        <v>0.447371018668117</v>
      </c>
      <c r="H44" s="20"/>
    </row>
    <row r="45" spans="1:10">
      <c r="A45" s="14">
        <v>46054</v>
      </c>
      <c r="B45" s="15">
        <v>3302844</v>
      </c>
      <c r="C45" s="16">
        <v>1899706</v>
      </c>
      <c r="G45">
        <f t="shared" si="2"/>
        <v>0.575172790479962</v>
      </c>
      <c r="H45" s="20"/>
    </row>
    <row r="46" spans="1:10">
      <c r="A46" s="14">
        <v>46082</v>
      </c>
      <c r="B46" s="15">
        <v>4380682</v>
      </c>
      <c r="C46" s="16">
        <v>2777707</v>
      </c>
      <c r="G46">
        <f t="shared" si="2"/>
        <v>0.634080949039442</v>
      </c>
      <c r="H46" s="20"/>
    </row>
    <row r="47" spans="1:10">
      <c r="A47" s="14">
        <v>46113</v>
      </c>
      <c r="B47" s="15">
        <v>3492679</v>
      </c>
      <c r="C47" s="16">
        <v>2741498</v>
      </c>
      <c r="G47">
        <f t="shared" si="2"/>
        <v>0.784926985846681</v>
      </c>
      <c r="H47" s="20"/>
    </row>
    <row r="48" spans="1:10">
      <c r="A48" s="14">
        <v>46143</v>
      </c>
      <c r="B48" s="15">
        <v>2438811</v>
      </c>
      <c r="C48" s="16">
        <v>2491770</v>
      </c>
      <c r="G48">
        <f t="shared" si="2"/>
        <v>1.02171508985321</v>
      </c>
      <c r="H48" s="20"/>
    </row>
    <row r="49" spans="1:7">
      <c r="A49" s="14">
        <v>46174</v>
      </c>
      <c r="B49" s="15">
        <v>287204</v>
      </c>
      <c r="C49" s="16">
        <v>181393</v>
      </c>
      <c r="G49">
        <f t="shared" si="2"/>
        <v>0.631582429214078</v>
      </c>
    </row>
    <row r="50" spans="1:7">
      <c r="A50" s="17" t="s">
        <v>8</v>
      </c>
      <c r="B50" s="17">
        <v>23551842</v>
      </c>
      <c r="C50" s="19">
        <v>14447909</v>
      </c>
    </row>
    <row r="52" spans="1:7">
      <c r="A52" s="9" t="s">
        <v>1</v>
      </c>
      <c r="B52" s="9" t="s">
        <v>6</v>
      </c>
    </row>
    <row r="54" spans="1:7">
      <c r="A54" s="10" t="s">
        <v>5</v>
      </c>
      <c r="B54" s="10" t="s">
        <v>10</v>
      </c>
      <c r="C54" s="12" t="s">
        <v>15</v>
      </c>
      <c r="G54" s="4" t="s">
        <v>16</v>
      </c>
    </row>
    <row r="55" spans="1:7">
      <c r="A55" s="13">
        <v>45992</v>
      </c>
      <c r="B55" s="10">
        <v>650082</v>
      </c>
      <c r="C55" s="12">
        <v>419572</v>
      </c>
      <c r="G55">
        <f t="shared" ref="G55:G61" si="3">C55/B55</f>
        <v>0.64541396316157</v>
      </c>
    </row>
    <row r="56" spans="1:7">
      <c r="A56" s="14">
        <v>46023</v>
      </c>
      <c r="B56" s="15">
        <v>831649</v>
      </c>
      <c r="C56" s="16">
        <v>351175</v>
      </c>
      <c r="G56">
        <f t="shared" si="3"/>
        <v>0.422263478943641</v>
      </c>
    </row>
    <row r="57" spans="1:7">
      <c r="A57" s="14">
        <v>46054</v>
      </c>
      <c r="B57" s="15">
        <v>649380</v>
      </c>
      <c r="C57" s="16">
        <v>232902</v>
      </c>
      <c r="G57">
        <f t="shared" si="3"/>
        <v>0.358652868890326</v>
      </c>
    </row>
    <row r="58" spans="1:7">
      <c r="A58" s="14">
        <v>46082</v>
      </c>
      <c r="B58" s="15">
        <v>920679</v>
      </c>
      <c r="C58" s="16">
        <v>436589</v>
      </c>
      <c r="G58">
        <f t="shared" si="3"/>
        <v>0.474203278232696</v>
      </c>
    </row>
    <row r="59" spans="1:7">
      <c r="A59" s="14">
        <v>46113</v>
      </c>
      <c r="B59" s="15">
        <v>516087</v>
      </c>
      <c r="C59" s="16">
        <v>470407</v>
      </c>
      <c r="G59">
        <f t="shared" si="3"/>
        <v>0.911487791787044</v>
      </c>
    </row>
    <row r="60" spans="1:7">
      <c r="A60" s="14">
        <v>46143</v>
      </c>
      <c r="B60" s="15">
        <v>519588</v>
      </c>
      <c r="C60" s="16">
        <v>444080</v>
      </c>
      <c r="G60">
        <f t="shared" si="3"/>
        <v>0.854677167294087</v>
      </c>
    </row>
    <row r="61" spans="1:7">
      <c r="A61" s="14">
        <v>46174</v>
      </c>
      <c r="B61" s="15">
        <v>42467</v>
      </c>
      <c r="C61" s="16">
        <v>26981</v>
      </c>
      <c r="G61">
        <f t="shared" si="3"/>
        <v>0.635340381943627</v>
      </c>
    </row>
    <row r="62" spans="1:7">
      <c r="A62" s="17" t="s">
        <v>8</v>
      </c>
      <c r="B62" s="17">
        <v>4129932</v>
      </c>
      <c r="C62" s="19">
        <v>2381706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cco-watermark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8"/>
  <sheetViews>
    <sheetView topLeftCell="F8" workbookViewId="0">
      <selection activeCell="K4" sqref="K4:P11"/>
    </sheetView>
  </sheetViews>
  <sheetFormatPr defaultColWidth="9" defaultRowHeight="13.5"/>
  <cols>
    <col min="1" max="1" width="10.375" collapsed="false"/>
    <col min="2" max="2" customWidth="true" width="24.5" collapsed="false"/>
    <col min="3" max="3" customWidth="true" width="16.125" collapsed="false"/>
    <col min="4" max="4" width="9.375" collapsed="false"/>
    <col min="5" max="5" width="12.625" collapsed="false"/>
    <col min="6" max="6" width="13.75" collapsed="false"/>
    <col min="7" max="7" customWidth="true" width="17.125" collapsed="false"/>
    <col min="15" max="15" width="9.375" collapsed="false"/>
  </cols>
  <sheetData>
    <row r="2" spans="1:16">
      <c r="A2" s="9" t="s">
        <v>17</v>
      </c>
      <c r="B2" s="9" t="s">
        <v>18</v>
      </c>
    </row>
    <row r="3" spans="1:16">
      <c r="A3" s="9" t="s">
        <v>1</v>
      </c>
      <c r="B3" s="9" t="s">
        <v>7</v>
      </c>
    </row>
    <row r="4" spans="1:16">
      <c r="K4" s="4" t="s">
        <v>2</v>
      </c>
      <c r="M4" s="4" t="s">
        <v>3</v>
      </c>
      <c r="O4" s="4" t="s">
        <v>4</v>
      </c>
    </row>
    <row r="5" spans="1:16">
      <c r="A5" s="10" t="s">
        <v>5</v>
      </c>
      <c r="B5" s="10" t="s">
        <v>10</v>
      </c>
      <c r="C5" s="12" t="s">
        <v>0</v>
      </c>
      <c r="E5" s="4" t="s">
        <v>19</v>
      </c>
      <c r="F5" s="4" t="s">
        <v>20</v>
      </c>
      <c r="G5" s="4" t="s">
        <v>21</v>
      </c>
      <c r="K5" s="10" t="s">
        <v>6</v>
      </c>
      <c r="L5" s="11" t="s">
        <v>7</v>
      </c>
      <c r="M5" s="10" t="s">
        <v>6</v>
      </c>
      <c r="N5" s="11" t="s">
        <v>7</v>
      </c>
      <c r="O5" s="10" t="s">
        <v>6</v>
      </c>
      <c r="P5" s="11" t="s">
        <v>7</v>
      </c>
    </row>
    <row r="6" spans="1:16">
      <c r="A6" s="13">
        <v>45992</v>
      </c>
      <c r="B6" s="10">
        <v>4168887</v>
      </c>
      <c r="C6" s="12">
        <v>1029441200</v>
      </c>
    </row>
    <row r="7" spans="1:16">
      <c r="A7" s="14">
        <v>46023</v>
      </c>
      <c r="B7" s="15">
        <v>5480735</v>
      </c>
      <c r="C7" s="16">
        <v>1536136900</v>
      </c>
      <c r="E7" s="20">
        <f>B7*P7</f>
        <v>4215950</v>
      </c>
      <c r="K7" s="21">
        <v>0.398</v>
      </c>
      <c r="L7" s="21">
        <v>0.091</v>
      </c>
      <c r="M7" s="22">
        <v>0.36</v>
      </c>
      <c r="N7" s="22">
        <v>0.07</v>
      </c>
      <c r="O7" s="23">
        <v>0.904522613065327</v>
      </c>
      <c r="P7" s="23">
        <v>0.769230769230769</v>
      </c>
    </row>
    <row r="8" spans="1:16">
      <c r="A8" s="14">
        <v>46054</v>
      </c>
      <c r="B8" s="15">
        <v>3302844</v>
      </c>
      <c r="C8" s="16">
        <v>997980600</v>
      </c>
      <c r="E8" s="20">
        <f>B8*P8</f>
        <v>2223068.07692308</v>
      </c>
      <c r="F8" s="21">
        <f>E8/E7-1</f>
        <v>-0.472700559322792</v>
      </c>
      <c r="G8" s="21">
        <f>C8/C7-1</f>
        <v>-0.350330950320899</v>
      </c>
      <c r="K8" s="21">
        <v>0.34</v>
      </c>
      <c r="L8" s="21">
        <v>0.104</v>
      </c>
      <c r="M8" s="22">
        <v>0.36</v>
      </c>
      <c r="N8" s="22">
        <v>0.07</v>
      </c>
      <c r="O8" s="23">
        <v>1.05882352941176</v>
      </c>
      <c r="P8" s="23">
        <v>0.673076923076923</v>
      </c>
    </row>
    <row r="9" spans="1:16">
      <c r="A9" s="14">
        <v>46082</v>
      </c>
      <c r="B9" s="15">
        <v>4380682</v>
      </c>
      <c r="C9" s="16">
        <v>1379427800</v>
      </c>
      <c r="E9" s="20">
        <f>B9*P9</f>
        <v>3097451.91919192</v>
      </c>
      <c r="F9" s="21">
        <f>E9/E8-1</f>
        <v>0.393323016665809</v>
      </c>
      <c r="G9" s="21">
        <f>C9/C8-1</f>
        <v>0.382219053155943</v>
      </c>
      <c r="K9" s="21">
        <v>0.411</v>
      </c>
      <c r="L9" s="21">
        <v>0.099</v>
      </c>
      <c r="M9" s="22">
        <v>0.36</v>
      </c>
      <c r="N9" s="22">
        <v>0.07</v>
      </c>
      <c r="O9" s="23">
        <v>0.875912408759124</v>
      </c>
      <c r="P9" s="23">
        <v>0.707070707070707</v>
      </c>
    </row>
    <row r="10" spans="1:16">
      <c r="A10" s="14">
        <v>46113</v>
      </c>
      <c r="B10" s="15">
        <v>3492679</v>
      </c>
      <c r="C10" s="16">
        <v>1145556800</v>
      </c>
      <c r="E10" s="20">
        <f>B10*P10</f>
        <v>2444875.3</v>
      </c>
      <c r="F10" s="21">
        <f>E10/E9-1</f>
        <v>-0.210681759141613</v>
      </c>
      <c r="G10" s="21">
        <f>C10/C9-1</f>
        <v>-0.169542037647784</v>
      </c>
      <c r="K10" s="21">
        <v>0.391</v>
      </c>
      <c r="L10" s="21">
        <v>0.1</v>
      </c>
      <c r="M10" s="22">
        <v>0.36</v>
      </c>
      <c r="N10" s="22">
        <v>0.07</v>
      </c>
      <c r="O10" s="23">
        <v>0.920716112531969</v>
      </c>
      <c r="P10" s="23">
        <v>0.7</v>
      </c>
    </row>
    <row r="11" spans="1:16">
      <c r="A11" s="14">
        <v>46143</v>
      </c>
      <c r="B11" s="15">
        <v>2438811</v>
      </c>
      <c r="C11" s="16">
        <v>928932900</v>
      </c>
      <c r="E11" s="20">
        <f>B11*P11</f>
        <v>1471696.29310345</v>
      </c>
      <c r="F11" s="21">
        <f>E11/E10-1</f>
        <v>-0.39804852496835</v>
      </c>
      <c r="G11" s="21">
        <f>C11/C10-1</f>
        <v>-0.189099222317043</v>
      </c>
      <c r="K11" s="21">
        <v>0.358</v>
      </c>
      <c r="L11" s="21">
        <v>0.116</v>
      </c>
      <c r="M11" s="22">
        <v>0.36</v>
      </c>
      <c r="N11" s="22">
        <v>0.07</v>
      </c>
      <c r="O11" s="23">
        <v>1.00558659217877</v>
      </c>
      <c r="P11" s="23">
        <v>0.603448275862069</v>
      </c>
    </row>
    <row r="12" spans="1:16">
      <c r="A12" s="14">
        <v>46174</v>
      </c>
      <c r="B12" s="15">
        <v>287204</v>
      </c>
      <c r="C12" s="16">
        <v>90965500</v>
      </c>
    </row>
    <row r="13" spans="1:16">
      <c r="A13" s="17" t="s">
        <v>8</v>
      </c>
      <c r="B13" s="17">
        <v>23551842</v>
      </c>
      <c r="C13" s="19">
        <v>7108441700</v>
      </c>
    </row>
    <row r="17" spans="1:7">
      <c r="A17" s="9" t="s">
        <v>17</v>
      </c>
      <c r="B17" s="9" t="s">
        <v>18</v>
      </c>
    </row>
    <row r="18" spans="1:7">
      <c r="A18" s="9" t="s">
        <v>1</v>
      </c>
      <c r="B18" s="9" t="s">
        <v>6</v>
      </c>
    </row>
    <row r="20" spans="1:7">
      <c r="A20" s="10" t="s">
        <v>5</v>
      </c>
      <c r="B20" s="10" t="s">
        <v>10</v>
      </c>
      <c r="C20" s="12" t="s">
        <v>0</v>
      </c>
      <c r="E20" s="4" t="s">
        <v>19</v>
      </c>
      <c r="F20" s="4" t="s">
        <v>20</v>
      </c>
      <c r="G20" s="4" t="s">
        <v>21</v>
      </c>
    </row>
    <row r="21" spans="1:7">
      <c r="A21" s="13">
        <v>45992</v>
      </c>
      <c r="B21" s="10">
        <v>650082</v>
      </c>
      <c r="C21" s="12">
        <v>977954300</v>
      </c>
    </row>
    <row r="22" spans="1:7">
      <c r="A22" s="14">
        <v>46023</v>
      </c>
      <c r="B22" s="15">
        <v>831649</v>
      </c>
      <c r="C22" s="16">
        <v>1075846200</v>
      </c>
      <c r="E22" s="20">
        <f t="shared" ref="E22:E27" si="0">B22*O7</f>
        <v>752245.326633166</v>
      </c>
    </row>
    <row r="23" spans="1:7">
      <c r="A23" s="14">
        <v>46054</v>
      </c>
      <c r="B23" s="15">
        <v>649380</v>
      </c>
      <c r="C23" s="16">
        <v>804200900</v>
      </c>
      <c r="E23" s="20">
        <f t="shared" si="0"/>
        <v>687578.823529412</v>
      </c>
      <c r="F23" s="24">
        <f t="shared" ref="F23:F26" si="1">E23/E22-1</f>
        <v>-0.0859646458598593</v>
      </c>
      <c r="G23" s="24">
        <f t="shared" ref="G23:G26" si="2">C23/C22-1</f>
        <v>-0.252494548012532</v>
      </c>
    </row>
    <row r="24" spans="1:7">
      <c r="A24" s="14">
        <v>46082</v>
      </c>
      <c r="B24" s="15">
        <v>920679</v>
      </c>
      <c r="C24" s="16">
        <v>1232529800</v>
      </c>
      <c r="E24" s="20">
        <f t="shared" si="0"/>
        <v>806434.160583941</v>
      </c>
      <c r="F24" s="24">
        <f t="shared" si="1"/>
        <v>0.172860671369187</v>
      </c>
      <c r="G24" s="24">
        <f t="shared" si="2"/>
        <v>0.532614300730079</v>
      </c>
    </row>
    <row r="25" spans="1:7">
      <c r="A25" s="14">
        <v>46113</v>
      </c>
      <c r="B25" s="15">
        <v>516087</v>
      </c>
      <c r="C25" s="16">
        <v>1305996700</v>
      </c>
      <c r="E25" s="20">
        <f t="shared" si="0"/>
        <v>475169.616368286</v>
      </c>
      <c r="F25" s="24">
        <f t="shared" si="1"/>
        <v>-0.410776924399861</v>
      </c>
      <c r="G25" s="24">
        <f t="shared" si="2"/>
        <v>0.0596065912564547</v>
      </c>
    </row>
    <row r="26" spans="1:7">
      <c r="A26" s="14">
        <v>46143</v>
      </c>
      <c r="B26" s="15">
        <v>519588</v>
      </c>
      <c r="C26" s="16">
        <v>1329800200</v>
      </c>
      <c r="E26" s="20">
        <f t="shared" si="0"/>
        <v>522490.726256983</v>
      </c>
      <c r="F26" s="24">
        <f t="shared" si="1"/>
        <v>0.0995878277116522</v>
      </c>
      <c r="G26" s="24">
        <f t="shared" si="2"/>
        <v>0.0182263094539212</v>
      </c>
    </row>
    <row r="27" spans="1:7">
      <c r="A27" s="14">
        <v>46174</v>
      </c>
      <c r="B27" s="15">
        <v>42467</v>
      </c>
      <c r="C27" s="16">
        <v>98028100</v>
      </c>
      <c r="E27">
        <f t="shared" si="0"/>
        <v>0</v>
      </c>
    </row>
    <row r="28" spans="1:7">
      <c r="A28" s="17" t="s">
        <v>8</v>
      </c>
      <c r="B28" s="17">
        <v>4129932</v>
      </c>
      <c r="C28" s="19">
        <v>6824356200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cco-watermark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A1" sqref="A1"/>
    </sheetView>
  </sheetViews>
  <sheetFormatPr defaultColWidth="9" defaultRowHeight="13.5"/>
  <cols>
    <col min="1" max="1" customWidth="true" width="10.875" collapsed="false"/>
    <col min="2" max="2" customWidth="true" width="18.25" collapsed="false"/>
    <col min="3" max="3" customWidth="true" width="16.125" collapsed="false"/>
    <col min="4" max="4" customWidth="true" width="14.0" collapsed="false"/>
    <col min="5" max="5" customWidth="true" width="18.25" collapsed="false"/>
    <col min="6" max="6" customWidth="true" width="14.0" collapsed="false"/>
    <col min="7" max="7" customWidth="true" width="16.125" collapsed="false"/>
    <col min="8" max="8" customWidth="true" width="24.5" collapsed="false"/>
    <col min="9" max="9" customWidth="true" width="16.125" collapsed="false"/>
  </cols>
  <sheetData>
    <row r="1" spans="1:9">
      <c r="A1" s="9" t="s">
        <v>1</v>
      </c>
      <c r="B1" s="9" t="s">
        <v>7</v>
      </c>
    </row>
    <row r="3" spans="1:9">
      <c r="A3" s="10" t="s">
        <v>5</v>
      </c>
      <c r="B3" s="10" t="s">
        <v>9</v>
      </c>
      <c r="C3" s="11" t="s">
        <v>0</v>
      </c>
      <c r="D3" s="11" t="s">
        <v>15</v>
      </c>
      <c r="E3" s="11" t="s">
        <v>22</v>
      </c>
      <c r="F3" s="11" t="s">
        <v>23</v>
      </c>
      <c r="G3" s="11" t="s">
        <v>24</v>
      </c>
      <c r="H3" s="11" t="s">
        <v>10</v>
      </c>
      <c r="I3" s="12" t="s">
        <v>11</v>
      </c>
    </row>
    <row r="4" spans="1:9">
      <c r="A4" s="13">
        <v>45992</v>
      </c>
      <c r="B4" s="10">
        <v>17966659</v>
      </c>
      <c r="C4" s="11">
        <v>1029441200</v>
      </c>
      <c r="D4" s="11">
        <v>1903913</v>
      </c>
      <c r="E4" s="11">
        <v>0.07</v>
      </c>
      <c r="F4" s="11">
        <v>1.068</v>
      </c>
      <c r="G4" s="11">
        <v>6356283</v>
      </c>
      <c r="H4" s="11">
        <v>4168887</v>
      </c>
      <c r="I4" s="12"/>
    </row>
    <row r="5" spans="1:9">
      <c r="A5" s="14">
        <v>46023</v>
      </c>
      <c r="B5" s="15">
        <v>22796891</v>
      </c>
      <c r="C5">
        <v>1536136900</v>
      </c>
      <c r="D5">
        <v>2451922</v>
      </c>
      <c r="E5">
        <v>0.07</v>
      </c>
      <c r="F5">
        <v>1.068</v>
      </c>
      <c r="G5">
        <v>8305280</v>
      </c>
      <c r="H5">
        <v>5480735</v>
      </c>
      <c r="I5" s="16">
        <v>241</v>
      </c>
    </row>
    <row r="6" spans="1:9">
      <c r="A6" s="14">
        <v>46054</v>
      </c>
      <c r="B6" s="15">
        <v>16902629</v>
      </c>
      <c r="C6">
        <v>997980600</v>
      </c>
      <c r="D6">
        <v>1899706</v>
      </c>
      <c r="E6">
        <v>0.07</v>
      </c>
      <c r="F6">
        <v>1.068</v>
      </c>
      <c r="G6">
        <v>5427122</v>
      </c>
      <c r="H6">
        <v>3302844</v>
      </c>
      <c r="I6" s="16">
        <v>250</v>
      </c>
    </row>
    <row r="7" spans="1:9">
      <c r="A7" s="14">
        <v>46082</v>
      </c>
      <c r="B7" s="15">
        <v>25394474</v>
      </c>
      <c r="C7">
        <v>1379427800</v>
      </c>
      <c r="D7">
        <v>2777707</v>
      </c>
      <c r="E7">
        <v>0.07</v>
      </c>
      <c r="F7">
        <v>1.068</v>
      </c>
      <c r="G7">
        <v>7456222</v>
      </c>
      <c r="H7">
        <v>4380682</v>
      </c>
      <c r="I7" s="16">
        <v>234</v>
      </c>
    </row>
    <row r="8" spans="1:9">
      <c r="A8" s="14">
        <v>46113</v>
      </c>
      <c r="B8" s="15">
        <v>22015799</v>
      </c>
      <c r="C8">
        <v>1145556800</v>
      </c>
      <c r="D8">
        <v>2741498</v>
      </c>
      <c r="E8">
        <v>0.07</v>
      </c>
      <c r="F8">
        <v>1.068</v>
      </c>
      <c r="G8">
        <v>6471577</v>
      </c>
      <c r="H8">
        <v>3492679</v>
      </c>
      <c r="I8" s="16">
        <v>218</v>
      </c>
    </row>
    <row r="9" spans="1:9">
      <c r="A9" s="14">
        <v>46143</v>
      </c>
      <c r="B9" s="15">
        <v>22376289</v>
      </c>
      <c r="C9">
        <v>928932900</v>
      </c>
      <c r="D9">
        <v>2491770</v>
      </c>
      <c r="E9">
        <v>0.07</v>
      </c>
      <c r="F9">
        <v>1.068</v>
      </c>
      <c r="G9">
        <v>5096416</v>
      </c>
      <c r="H9">
        <v>2438811</v>
      </c>
      <c r="I9" s="16">
        <v>214</v>
      </c>
    </row>
    <row r="10" spans="1:9">
      <c r="A10" s="14">
        <v>46174</v>
      </c>
      <c r="B10" s="15">
        <v>1574787</v>
      </c>
      <c r="C10">
        <v>90965500</v>
      </c>
      <c r="D10">
        <v>181393</v>
      </c>
      <c r="E10">
        <v>0.07</v>
      </c>
      <c r="F10">
        <v>1.068</v>
      </c>
      <c r="G10">
        <v>488129</v>
      </c>
      <c r="H10">
        <v>287204</v>
      </c>
      <c r="I10" s="16"/>
    </row>
    <row r="11" spans="1:9">
      <c r="A11" s="17" t="s">
        <v>8</v>
      </c>
      <c r="B11" s="17">
        <v>129027528</v>
      </c>
      <c r="C11" s="18">
        <v>7108441700</v>
      </c>
      <c r="D11" s="18">
        <v>14447909</v>
      </c>
      <c r="E11" s="18">
        <v>0.07</v>
      </c>
      <c r="F11" s="18">
        <v>1.068</v>
      </c>
      <c r="G11" s="18">
        <v>39601029</v>
      </c>
      <c r="H11" s="18">
        <v>23551842</v>
      </c>
      <c r="I11" s="19">
        <v>1157</v>
      </c>
    </row>
    <row r="14" spans="1:9">
      <c r="A14" s="9" t="s">
        <v>1</v>
      </c>
      <c r="B14" s="9" t="s">
        <v>6</v>
      </c>
    </row>
    <row r="16" spans="1:9">
      <c r="A16" s="10" t="s">
        <v>5</v>
      </c>
      <c r="B16" s="10" t="s">
        <v>9</v>
      </c>
      <c r="C16" s="11" t="s">
        <v>0</v>
      </c>
      <c r="D16" s="11" t="s">
        <v>15</v>
      </c>
      <c r="E16" s="11" t="s">
        <v>22</v>
      </c>
      <c r="F16" s="11" t="s">
        <v>23</v>
      </c>
      <c r="G16" s="11" t="s">
        <v>24</v>
      </c>
      <c r="H16" s="11" t="s">
        <v>10</v>
      </c>
      <c r="I16" s="12" t="s">
        <v>11</v>
      </c>
    </row>
    <row r="17" spans="1:9">
      <c r="A17" s="13">
        <v>45992</v>
      </c>
      <c r="B17" s="10">
        <v>4914674</v>
      </c>
      <c r="C17" s="11">
        <v>977954300</v>
      </c>
      <c r="D17" s="11">
        <v>419572</v>
      </c>
      <c r="E17" s="11">
        <v>0.36</v>
      </c>
      <c r="F17" s="11">
        <v>1.068</v>
      </c>
      <c r="G17" s="11">
        <v>1113859</v>
      </c>
      <c r="H17" s="11">
        <v>650082</v>
      </c>
      <c r="I17" s="12"/>
    </row>
    <row r="18" spans="1:9">
      <c r="A18" s="14">
        <v>46023</v>
      </c>
      <c r="B18" s="15">
        <v>3277101</v>
      </c>
      <c r="C18">
        <v>1075846200</v>
      </c>
      <c r="D18">
        <v>351175</v>
      </c>
      <c r="E18">
        <v>0.36</v>
      </c>
      <c r="F18">
        <v>1.068</v>
      </c>
      <c r="G18">
        <v>1239375</v>
      </c>
      <c r="H18">
        <v>831649</v>
      </c>
      <c r="I18" s="16">
        <v>25</v>
      </c>
    </row>
    <row r="19" spans="1:9">
      <c r="A19" s="14">
        <v>46054</v>
      </c>
      <c r="B19" s="15">
        <v>2182420</v>
      </c>
      <c r="C19">
        <v>804200900</v>
      </c>
      <c r="D19">
        <v>232902</v>
      </c>
      <c r="E19">
        <v>0.36</v>
      </c>
      <c r="F19">
        <v>1.068</v>
      </c>
      <c r="G19">
        <v>926439</v>
      </c>
      <c r="H19">
        <v>649380</v>
      </c>
      <c r="I19" s="16">
        <v>25</v>
      </c>
    </row>
    <row r="20" spans="1:9">
      <c r="A20" s="14">
        <v>46082</v>
      </c>
      <c r="B20" s="15">
        <v>4320956</v>
      </c>
      <c r="C20">
        <v>1232529800</v>
      </c>
      <c r="D20">
        <v>436589</v>
      </c>
      <c r="E20">
        <v>0.36</v>
      </c>
      <c r="F20">
        <v>1.068</v>
      </c>
      <c r="G20">
        <v>1419874</v>
      </c>
      <c r="H20">
        <v>920679</v>
      </c>
      <c r="I20" s="16">
        <v>24</v>
      </c>
    </row>
    <row r="21" spans="1:9">
      <c r="A21" s="14">
        <v>46113</v>
      </c>
      <c r="B21" s="15">
        <v>4410678</v>
      </c>
      <c r="C21">
        <v>1305996700</v>
      </c>
      <c r="D21">
        <v>470407</v>
      </c>
      <c r="E21">
        <v>0.36</v>
      </c>
      <c r="F21">
        <v>1.068</v>
      </c>
      <c r="G21">
        <v>1021580</v>
      </c>
      <c r="H21">
        <v>516087</v>
      </c>
      <c r="I21" s="16">
        <v>21</v>
      </c>
    </row>
    <row r="22" spans="1:9">
      <c r="A22" s="14">
        <v>46143</v>
      </c>
      <c r="B22" s="15">
        <v>4555765</v>
      </c>
      <c r="C22">
        <v>1329800200</v>
      </c>
      <c r="D22">
        <v>444080</v>
      </c>
      <c r="E22">
        <v>0.36</v>
      </c>
      <c r="F22">
        <v>1.068</v>
      </c>
      <c r="G22">
        <v>998946</v>
      </c>
      <c r="H22">
        <v>519588</v>
      </c>
      <c r="I22" s="16">
        <v>39</v>
      </c>
    </row>
    <row r="23" spans="1:9">
      <c r="A23" s="14">
        <v>46174</v>
      </c>
      <c r="B23" s="15">
        <v>246846</v>
      </c>
      <c r="C23">
        <v>98028100</v>
      </c>
      <c r="D23">
        <v>26981</v>
      </c>
      <c r="E23">
        <v>0.36</v>
      </c>
      <c r="F23">
        <v>1.068</v>
      </c>
      <c r="G23">
        <v>72334</v>
      </c>
      <c r="H23">
        <v>42467</v>
      </c>
      <c r="I23" s="16"/>
    </row>
    <row r="24" spans="1:9">
      <c r="A24" s="17" t="s">
        <v>8</v>
      </c>
      <c r="B24" s="17">
        <v>23908440</v>
      </c>
      <c r="C24" s="18">
        <v>6824356200</v>
      </c>
      <c r="D24" s="18">
        <v>2381706</v>
      </c>
      <c r="E24" s="18">
        <v>0.36</v>
      </c>
      <c r="F24" s="18">
        <v>1.068</v>
      </c>
      <c r="G24" s="18">
        <v>6792407</v>
      </c>
      <c r="H24" s="18">
        <v>4129932</v>
      </c>
      <c r="I24" s="19">
        <v>134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cco-watermark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5"/>
  <sheetViews>
    <sheetView workbookViewId="0">
      <selection activeCell="L14" sqref="L14"/>
    </sheetView>
  </sheetViews>
  <sheetFormatPr defaultColWidth="8.8" defaultRowHeight="13.5"/>
  <cols>
    <col min="1" max="1" customWidth="true" style="1" width="9.125" collapsed="false"/>
    <col min="2" max="2" customWidth="true" width="7.75" collapsed="false"/>
    <col min="3" max="3" customWidth="true" width="12.25" collapsed="false"/>
    <col min="4" max="4" customWidth="true" width="9.875" collapsed="false"/>
    <col min="5" max="5" customWidth="true" width="30.75" collapsed="false"/>
    <col min="6" max="6" customWidth="true" width="5.625" collapsed="false"/>
    <col min="7" max="8" customWidth="true" width="12.25" collapsed="false"/>
    <col min="9" max="9" customWidth="true" width="28.575" collapsed="false"/>
    <col min="10" max="10" customWidth="true" width="9.125" collapsed="false"/>
    <col min="11" max="11" customWidth="true" width="9.875" collapsed="false"/>
    <col min="12" max="12" customWidth="true" width="6.375" collapsed="false"/>
    <col min="13" max="13" customWidth="true" width="9.875" collapsed="false"/>
    <col min="14" max="14" customWidth="true" width="19.375" collapsed="false"/>
    <col min="15" max="15" customWidth="true" width="9.875" collapsed="false"/>
    <col min="16" max="19" customWidth="true" width="14.625" collapsed="false"/>
    <col min="20" max="21" customWidth="true" width="19.375" collapsed="false"/>
    <col min="22" max="22" customWidth="true" width="14.625" collapsed="false"/>
    <col min="23" max="24" customWidth="true" width="19.375" collapsed="false"/>
    <col min="25" max="25" customWidth="true" width="14.1083333333333" collapsed="false"/>
  </cols>
  <sheetData>
    <row r="1" ht="15.75" spans="1:25">
      <c r="A1" s="2" t="s">
        <v>5</v>
      </c>
      <c r="B1" s="3" t="s">
        <v>17</v>
      </c>
      <c r="C1" s="3" t="s">
        <v>1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4" t="s">
        <v>46</v>
      </c>
    </row>
    <row r="2" ht="14.25" spans="1:25">
      <c r="A2" s="5">
        <v>46174</v>
      </c>
      <c r="B2" s="6" t="s">
        <v>47</v>
      </c>
      <c r="C2" s="6" t="s">
        <v>7</v>
      </c>
      <c r="D2" s="6" t="s">
        <v>48</v>
      </c>
      <c r="E2" s="6" t="s">
        <v>49</v>
      </c>
      <c r="F2" s="6" t="s">
        <v>50</v>
      </c>
      <c r="G2" s="6">
        <v>119494</v>
      </c>
      <c r="H2" s="6">
        <v>400</v>
      </c>
      <c r="I2" s="7">
        <v>5930600</v>
      </c>
      <c r="J2" s="7">
        <v>11897</v>
      </c>
      <c r="K2" s="8">
        <v>0.07</v>
      </c>
      <c r="L2" s="6">
        <v>1.068</v>
      </c>
      <c r="M2" s="7">
        <v>31936</v>
      </c>
      <c r="N2" s="7">
        <v>18762</v>
      </c>
      <c r="O2" s="6"/>
      <c r="P2" s="6"/>
      <c r="Q2" s="6"/>
      <c r="R2" s="7">
        <v>330882</v>
      </c>
      <c r="S2" s="7">
        <v>124504</v>
      </c>
      <c r="T2" s="7">
        <v>13787</v>
      </c>
      <c r="U2" s="7">
        <v>5188</v>
      </c>
      <c r="V2" s="8">
        <v>-0.9035</v>
      </c>
      <c r="W2" s="6"/>
      <c r="X2" s="6"/>
      <c r="Y2">
        <v>0.7</v>
      </c>
    </row>
    <row r="3" ht="14.25" spans="1:25">
      <c r="A3" s="5">
        <v>46174</v>
      </c>
      <c r="B3" s="6" t="s">
        <v>47</v>
      </c>
      <c r="C3" s="6" t="s">
        <v>7</v>
      </c>
      <c r="D3" s="6" t="s">
        <v>48</v>
      </c>
      <c r="E3" s="6" t="s">
        <v>51</v>
      </c>
      <c r="F3" s="6" t="s">
        <v>50</v>
      </c>
      <c r="G3" s="6">
        <v>670101</v>
      </c>
      <c r="H3" s="6">
        <v>2611</v>
      </c>
      <c r="I3" s="7">
        <v>41320300</v>
      </c>
      <c r="J3" s="7">
        <v>72122</v>
      </c>
      <c r="K3" s="8">
        <v>0.07</v>
      </c>
      <c r="L3" s="6">
        <v>1.068</v>
      </c>
      <c r="M3" s="7">
        <v>220258</v>
      </c>
      <c r="N3" s="7">
        <v>138704</v>
      </c>
      <c r="O3" s="6"/>
      <c r="P3" s="6"/>
      <c r="Q3" s="6"/>
      <c r="R3" s="7">
        <v>2166024</v>
      </c>
      <c r="S3" s="7">
        <v>1133265</v>
      </c>
      <c r="T3" s="7">
        <v>32329</v>
      </c>
      <c r="U3" s="7">
        <v>16914</v>
      </c>
      <c r="V3" s="8">
        <v>-0.8983</v>
      </c>
      <c r="W3" s="6"/>
      <c r="X3" s="6"/>
      <c r="Y3">
        <v>0.7</v>
      </c>
    </row>
    <row r="4" ht="14.25" spans="1:25">
      <c r="A4" s="5">
        <v>46174</v>
      </c>
      <c r="B4" s="6" t="s">
        <v>47</v>
      </c>
      <c r="C4" s="6" t="s">
        <v>7</v>
      </c>
      <c r="D4" s="6" t="s">
        <v>48</v>
      </c>
      <c r="E4" s="6" t="s">
        <v>52</v>
      </c>
      <c r="F4" s="6" t="s">
        <v>50</v>
      </c>
      <c r="G4" s="6">
        <v>86342</v>
      </c>
      <c r="H4" s="6">
        <v>433</v>
      </c>
      <c r="I4" s="7">
        <v>6827200</v>
      </c>
      <c r="J4" s="7">
        <v>15065</v>
      </c>
      <c r="K4" s="8">
        <v>0.07</v>
      </c>
      <c r="L4" s="6">
        <v>1.068</v>
      </c>
      <c r="M4" s="7">
        <v>39172</v>
      </c>
      <c r="N4" s="7">
        <v>22572</v>
      </c>
      <c r="O4" s="6"/>
      <c r="P4" s="6"/>
      <c r="Q4" s="6"/>
      <c r="R4" s="7">
        <v>307088</v>
      </c>
      <c r="S4" s="7">
        <v>147441</v>
      </c>
      <c r="T4" s="7">
        <v>21935</v>
      </c>
      <c r="U4" s="7">
        <v>10531</v>
      </c>
      <c r="V4" s="8">
        <v>-0.8724</v>
      </c>
      <c r="W4" s="6"/>
      <c r="X4" s="6"/>
      <c r="Y4">
        <v>0.7</v>
      </c>
    </row>
    <row r="5" ht="14.25" spans="1:25">
      <c r="A5" s="5">
        <v>46174</v>
      </c>
      <c r="B5" s="6" t="s">
        <v>47</v>
      </c>
      <c r="C5" s="6" t="s">
        <v>7</v>
      </c>
      <c r="D5" s="6" t="s">
        <v>48</v>
      </c>
      <c r="E5" s="6" t="s">
        <v>53</v>
      </c>
      <c r="F5" s="6" t="s">
        <v>50</v>
      </c>
      <c r="G5" s="6">
        <v>138421</v>
      </c>
      <c r="H5" s="6">
        <v>483</v>
      </c>
      <c r="I5" s="7">
        <v>6735400</v>
      </c>
      <c r="J5" s="7">
        <v>12185</v>
      </c>
      <c r="K5" s="8">
        <v>0.07</v>
      </c>
      <c r="L5" s="6">
        <v>1.068</v>
      </c>
      <c r="M5" s="7">
        <v>35500</v>
      </c>
      <c r="N5" s="7">
        <v>21830</v>
      </c>
      <c r="O5" s="6"/>
      <c r="P5" s="6"/>
      <c r="Q5" s="6"/>
      <c r="R5" s="7">
        <v>396638</v>
      </c>
      <c r="S5" s="7">
        <v>140553</v>
      </c>
      <c r="T5" s="7">
        <v>17245</v>
      </c>
      <c r="U5" s="7">
        <v>6111</v>
      </c>
      <c r="V5" s="8">
        <v>-0.9105</v>
      </c>
      <c r="W5" s="6"/>
      <c r="X5" s="6"/>
      <c r="Y5">
        <v>0.7</v>
      </c>
    </row>
    <row r="6" ht="14.25" spans="1:25">
      <c r="A6" s="5">
        <v>46174</v>
      </c>
      <c r="B6" s="6" t="s">
        <v>47</v>
      </c>
      <c r="C6" s="6" t="s">
        <v>7</v>
      </c>
      <c r="D6" s="6" t="s">
        <v>48</v>
      </c>
      <c r="E6" s="6" t="s">
        <v>54</v>
      </c>
      <c r="F6" s="6" t="s">
        <v>50</v>
      </c>
      <c r="G6" s="6">
        <v>149470</v>
      </c>
      <c r="H6" s="6">
        <v>547</v>
      </c>
      <c r="I6" s="7">
        <v>7627300</v>
      </c>
      <c r="J6" s="7">
        <v>20655</v>
      </c>
      <c r="K6" s="8">
        <v>0.07</v>
      </c>
      <c r="L6" s="6">
        <v>1.068</v>
      </c>
      <c r="M6" s="7">
        <v>40428</v>
      </c>
      <c r="N6" s="7">
        <v>18514</v>
      </c>
      <c r="O6" s="6"/>
      <c r="P6" s="6"/>
      <c r="Q6" s="6"/>
      <c r="R6" s="7">
        <v>413896</v>
      </c>
      <c r="S6" s="7">
        <v>148770</v>
      </c>
      <c r="T6" s="7">
        <v>16556</v>
      </c>
      <c r="U6" s="7">
        <v>5951</v>
      </c>
      <c r="V6" s="8">
        <v>-0.9023</v>
      </c>
      <c r="W6" s="6"/>
      <c r="X6" s="6"/>
      <c r="Y6">
        <v>0.7</v>
      </c>
    </row>
    <row r="7" ht="14.25" spans="1:25">
      <c r="A7" s="5">
        <v>46174</v>
      </c>
      <c r="B7" s="6" t="s">
        <v>47</v>
      </c>
      <c r="C7" s="6" t="s">
        <v>7</v>
      </c>
      <c r="D7" s="6" t="s">
        <v>48</v>
      </c>
      <c r="E7" s="6" t="s">
        <v>55</v>
      </c>
      <c r="F7" s="6" t="s">
        <v>50</v>
      </c>
      <c r="G7" s="6"/>
      <c r="H7" s="6"/>
      <c r="I7" s="6"/>
      <c r="J7" s="7">
        <v>0</v>
      </c>
      <c r="K7" s="8">
        <v>0.07</v>
      </c>
      <c r="L7" s="6">
        <v>1.068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>
        <v>0.7</v>
      </c>
    </row>
    <row r="8" ht="14.25" spans="1:25">
      <c r="A8" s="5">
        <v>46174</v>
      </c>
      <c r="B8" s="6" t="s">
        <v>47</v>
      </c>
      <c r="C8" s="6" t="s">
        <v>7</v>
      </c>
      <c r="D8" s="6" t="s">
        <v>48</v>
      </c>
      <c r="E8" s="6" t="s">
        <v>56</v>
      </c>
      <c r="F8" s="6" t="s">
        <v>50</v>
      </c>
      <c r="G8" s="6">
        <v>299365</v>
      </c>
      <c r="H8" s="6">
        <v>1104</v>
      </c>
      <c r="I8" s="7">
        <v>18162600</v>
      </c>
      <c r="J8" s="7">
        <v>35211</v>
      </c>
      <c r="K8" s="8">
        <v>0.07</v>
      </c>
      <c r="L8" s="6">
        <v>1.068</v>
      </c>
      <c r="M8" s="7">
        <v>97211</v>
      </c>
      <c r="N8" s="7">
        <v>58052</v>
      </c>
      <c r="O8" s="6"/>
      <c r="P8" s="6"/>
      <c r="Q8" s="6"/>
      <c r="R8" s="7">
        <v>1160244</v>
      </c>
      <c r="S8" s="7">
        <v>627487</v>
      </c>
      <c r="T8" s="7">
        <v>26982</v>
      </c>
      <c r="U8" s="7">
        <v>14593</v>
      </c>
      <c r="V8" s="8">
        <v>-0.9162</v>
      </c>
      <c r="W8" s="6"/>
      <c r="X8" s="6"/>
      <c r="Y8">
        <v>0.7</v>
      </c>
    </row>
    <row r="9" ht="14.25" spans="1:25">
      <c r="A9" s="5">
        <v>46174</v>
      </c>
      <c r="B9" s="6" t="s">
        <v>47</v>
      </c>
      <c r="C9" s="6" t="s">
        <v>7</v>
      </c>
      <c r="D9" s="6" t="s">
        <v>48</v>
      </c>
      <c r="E9" s="6" t="s">
        <v>57</v>
      </c>
      <c r="F9" s="6" t="s">
        <v>50</v>
      </c>
      <c r="G9" s="6">
        <v>111594</v>
      </c>
      <c r="H9" s="6">
        <v>362</v>
      </c>
      <c r="I9" s="7">
        <v>4362100</v>
      </c>
      <c r="J9" s="7">
        <v>14258</v>
      </c>
      <c r="K9" s="8">
        <v>0.07</v>
      </c>
      <c r="L9" s="6">
        <v>1.068</v>
      </c>
      <c r="M9" s="7">
        <v>23624</v>
      </c>
      <c r="N9" s="7">
        <v>8770</v>
      </c>
      <c r="O9" s="6"/>
      <c r="P9" s="6"/>
      <c r="Q9" s="6"/>
      <c r="R9" s="7">
        <v>321644</v>
      </c>
      <c r="S9" s="7">
        <v>116791</v>
      </c>
      <c r="T9" s="7">
        <v>17869</v>
      </c>
      <c r="U9" s="7">
        <v>6488</v>
      </c>
      <c r="V9" s="8">
        <v>-0.9266</v>
      </c>
      <c r="W9" s="6"/>
      <c r="X9" s="6"/>
      <c r="Y9">
        <v>0.7</v>
      </c>
    </row>
    <row r="10" ht="14.25" spans="1:25">
      <c r="A10" s="5">
        <v>46174</v>
      </c>
      <c r="B10" s="6" t="s">
        <v>47</v>
      </c>
      <c r="C10" s="6" t="s">
        <v>6</v>
      </c>
      <c r="D10" s="6" t="s">
        <v>48</v>
      </c>
      <c r="E10" s="6" t="s">
        <v>51</v>
      </c>
      <c r="F10" s="6" t="s">
        <v>50</v>
      </c>
      <c r="G10" s="6">
        <v>135772</v>
      </c>
      <c r="H10" s="6">
        <v>1665</v>
      </c>
      <c r="I10" s="7">
        <v>59526300</v>
      </c>
      <c r="J10" s="7">
        <v>14270</v>
      </c>
      <c r="K10" s="8">
        <v>0.36</v>
      </c>
      <c r="L10" s="6">
        <v>1.068</v>
      </c>
      <c r="M10" s="7">
        <v>44671</v>
      </c>
      <c r="N10" s="7">
        <v>28465</v>
      </c>
      <c r="O10" s="6"/>
      <c r="P10" s="6"/>
      <c r="Q10" s="6"/>
      <c r="R10" s="7">
        <v>573951</v>
      </c>
      <c r="S10" s="7">
        <v>340208</v>
      </c>
      <c r="T10" s="7">
        <v>44150</v>
      </c>
      <c r="U10" s="7">
        <v>26170</v>
      </c>
      <c r="V10" s="8">
        <v>-0.9222</v>
      </c>
      <c r="W10" s="6"/>
      <c r="X10" s="6"/>
      <c r="Y10">
        <v>0.7</v>
      </c>
    </row>
    <row r="11" ht="14.25" spans="1:25">
      <c r="A11" s="5">
        <v>46174</v>
      </c>
      <c r="B11" s="6" t="s">
        <v>47</v>
      </c>
      <c r="C11" s="6" t="s">
        <v>6</v>
      </c>
      <c r="D11" s="6" t="s">
        <v>48</v>
      </c>
      <c r="E11" s="6" t="s">
        <v>58</v>
      </c>
      <c r="F11" s="6" t="s">
        <v>50</v>
      </c>
      <c r="G11" s="6"/>
      <c r="H11" s="6"/>
      <c r="I11" s="6"/>
      <c r="J11" s="7">
        <v>1</v>
      </c>
      <c r="K11" s="8">
        <v>0.36</v>
      </c>
      <c r="L11" s="6">
        <v>1.068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>
        <v>0.7</v>
      </c>
    </row>
    <row r="12" ht="14.25" spans="1:25">
      <c r="A12" s="5">
        <v>46174</v>
      </c>
      <c r="B12" s="6" t="s">
        <v>47</v>
      </c>
      <c r="C12" s="6" t="s">
        <v>6</v>
      </c>
      <c r="D12" s="6" t="s">
        <v>48</v>
      </c>
      <c r="E12" s="6" t="s">
        <v>59</v>
      </c>
      <c r="F12" s="6" t="s">
        <v>50</v>
      </c>
      <c r="G12" s="6"/>
      <c r="H12" s="6"/>
      <c r="I12" s="6"/>
      <c r="J12" s="7">
        <v>0</v>
      </c>
      <c r="K12" s="8">
        <v>0.36</v>
      </c>
      <c r="L12" s="6">
        <v>1.068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>
        <v>0.7</v>
      </c>
    </row>
    <row r="13" ht="14.25" spans="1:25">
      <c r="A13" s="5">
        <v>46174</v>
      </c>
      <c r="B13" s="6" t="s">
        <v>47</v>
      </c>
      <c r="C13" s="6" t="s">
        <v>6</v>
      </c>
      <c r="D13" s="6" t="s">
        <v>48</v>
      </c>
      <c r="E13" s="6" t="s">
        <v>54</v>
      </c>
      <c r="F13" s="6" t="s">
        <v>50</v>
      </c>
      <c r="G13" s="6">
        <v>74053</v>
      </c>
      <c r="H13" s="6">
        <v>906</v>
      </c>
      <c r="I13" s="7">
        <v>25475500</v>
      </c>
      <c r="J13" s="7">
        <v>8455</v>
      </c>
      <c r="K13" s="8">
        <v>0.36</v>
      </c>
      <c r="L13" s="6">
        <v>1.068</v>
      </c>
      <c r="M13" s="7">
        <v>18653</v>
      </c>
      <c r="N13" s="7">
        <v>9549</v>
      </c>
      <c r="O13" s="6"/>
      <c r="P13" s="6"/>
      <c r="Q13" s="6"/>
      <c r="R13" s="7">
        <v>290198</v>
      </c>
      <c r="S13" s="7">
        <v>119533</v>
      </c>
      <c r="T13" s="7">
        <v>22323</v>
      </c>
      <c r="U13" s="7">
        <v>9195</v>
      </c>
      <c r="V13" s="8">
        <v>-0.9357</v>
      </c>
      <c r="W13" s="6"/>
      <c r="X13" s="6"/>
      <c r="Y13">
        <v>0.7</v>
      </c>
    </row>
    <row r="14" ht="14.25" spans="1:25">
      <c r="A14" s="5">
        <v>46174</v>
      </c>
      <c r="B14" s="6" t="s">
        <v>47</v>
      </c>
      <c r="C14" s="6" t="s">
        <v>6</v>
      </c>
      <c r="D14" s="6" t="s">
        <v>48</v>
      </c>
      <c r="E14" s="6" t="s">
        <v>55</v>
      </c>
      <c r="F14" s="6" t="s">
        <v>50</v>
      </c>
      <c r="G14" s="6"/>
      <c r="H14" s="6"/>
      <c r="I14" s="6"/>
      <c r="J14" s="7">
        <v>0</v>
      </c>
      <c r="K14" s="8">
        <v>0.36</v>
      </c>
      <c r="L14" s="6">
        <v>1.068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>
        <v>0.7</v>
      </c>
    </row>
    <row r="15" ht="14.25" spans="1:25">
      <c r="A15" s="5">
        <v>46174</v>
      </c>
      <c r="B15" s="6" t="s">
        <v>47</v>
      </c>
      <c r="C15" s="6" t="s">
        <v>6</v>
      </c>
      <c r="D15" s="6" t="s">
        <v>48</v>
      </c>
      <c r="E15" s="6" t="s">
        <v>60</v>
      </c>
      <c r="F15" s="6" t="s">
        <v>50</v>
      </c>
      <c r="G15" s="6">
        <v>37021</v>
      </c>
      <c r="H15" s="6">
        <v>422</v>
      </c>
      <c r="I15" s="7">
        <v>13026300</v>
      </c>
      <c r="J15" s="7">
        <v>4255</v>
      </c>
      <c r="K15" s="8">
        <v>0.36</v>
      </c>
      <c r="L15" s="6">
        <v>1.068</v>
      </c>
      <c r="M15" s="7">
        <v>9010</v>
      </c>
      <c r="N15" s="7">
        <v>4453</v>
      </c>
      <c r="O15" s="6"/>
      <c r="P15" s="6"/>
      <c r="Q15" s="6"/>
      <c r="R15" s="7">
        <v>134797</v>
      </c>
      <c r="S15" s="7">
        <v>59847</v>
      </c>
      <c r="T15" s="7">
        <v>10369</v>
      </c>
      <c r="U15" s="7">
        <v>4604</v>
      </c>
      <c r="V15" s="8">
        <v>-0.9332</v>
      </c>
      <c r="W15" s="6"/>
      <c r="X15" s="6"/>
      <c r="Y15">
        <v>0.7</v>
      </c>
    </row>
    <row r="16" ht="14.25" spans="1:25">
      <c r="A16" s="5">
        <v>46143</v>
      </c>
      <c r="B16" s="6" t="s">
        <v>47</v>
      </c>
      <c r="C16" s="6" t="s">
        <v>7</v>
      </c>
      <c r="D16" s="6" t="s">
        <v>48</v>
      </c>
      <c r="E16" s="6" t="s">
        <v>61</v>
      </c>
      <c r="F16" s="6" t="s">
        <v>50</v>
      </c>
      <c r="G16" s="6"/>
      <c r="H16" s="6"/>
      <c r="I16" s="6"/>
      <c r="J16" s="7">
        <v>0</v>
      </c>
      <c r="K16" s="8">
        <v>0.07</v>
      </c>
      <c r="L16" s="6">
        <v>1.068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>
        <v>0.7</v>
      </c>
    </row>
    <row r="17" ht="14.25" spans="1:25">
      <c r="A17" s="5">
        <v>46143</v>
      </c>
      <c r="B17" s="6" t="s">
        <v>47</v>
      </c>
      <c r="C17" s="6" t="s">
        <v>7</v>
      </c>
      <c r="D17" s="6" t="s">
        <v>48</v>
      </c>
      <c r="E17" s="6" t="s">
        <v>57</v>
      </c>
      <c r="F17" s="6" t="s">
        <v>50</v>
      </c>
      <c r="G17" s="6">
        <v>1582614</v>
      </c>
      <c r="H17" s="6">
        <v>4470</v>
      </c>
      <c r="I17" s="7">
        <v>57706600</v>
      </c>
      <c r="J17" s="7">
        <v>196911</v>
      </c>
      <c r="K17" s="8">
        <v>0.07</v>
      </c>
      <c r="L17" s="6">
        <v>1.068</v>
      </c>
      <c r="M17" s="7">
        <v>321644</v>
      </c>
      <c r="N17" s="7">
        <v>116791</v>
      </c>
      <c r="O17" s="6">
        <v>18</v>
      </c>
      <c r="P17" s="7">
        <v>17869</v>
      </c>
      <c r="Q17" s="7">
        <v>6488</v>
      </c>
      <c r="R17" s="7">
        <v>448690</v>
      </c>
      <c r="S17" s="7">
        <v>211062</v>
      </c>
      <c r="T17" s="7">
        <v>24927</v>
      </c>
      <c r="U17" s="7">
        <v>11726</v>
      </c>
      <c r="V17" s="8">
        <v>-0.2831</v>
      </c>
      <c r="W17" s="8">
        <v>-0.2831</v>
      </c>
      <c r="X17" s="8">
        <v>-0.4466</v>
      </c>
      <c r="Y17">
        <v>0.7</v>
      </c>
    </row>
    <row r="18" ht="14.25" spans="1:25">
      <c r="A18" s="5">
        <v>46143</v>
      </c>
      <c r="B18" s="6" t="s">
        <v>47</v>
      </c>
      <c r="C18" s="6" t="s">
        <v>7</v>
      </c>
      <c r="D18" s="6" t="s">
        <v>48</v>
      </c>
      <c r="E18" s="6" t="s">
        <v>62</v>
      </c>
      <c r="F18" s="6" t="s">
        <v>50</v>
      </c>
      <c r="G18" s="6"/>
      <c r="H18" s="6"/>
      <c r="I18" s="6"/>
      <c r="J18" s="7">
        <v>1</v>
      </c>
      <c r="K18" s="8">
        <v>0.07</v>
      </c>
      <c r="L18" s="6">
        <v>1.068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>
        <v>0.7</v>
      </c>
    </row>
    <row r="19" ht="14.25" spans="1:25">
      <c r="A19" s="5">
        <v>46143</v>
      </c>
      <c r="B19" s="6" t="s">
        <v>47</v>
      </c>
      <c r="C19" s="6" t="s">
        <v>7</v>
      </c>
      <c r="D19" s="6" t="s">
        <v>48</v>
      </c>
      <c r="E19" s="6" t="s">
        <v>63</v>
      </c>
      <c r="F19" s="6" t="s">
        <v>50</v>
      </c>
      <c r="G19" s="6"/>
      <c r="H19" s="6"/>
      <c r="I19" s="6"/>
      <c r="J19" s="7">
        <v>1</v>
      </c>
      <c r="K19" s="8">
        <v>0.07</v>
      </c>
      <c r="L19" s="6">
        <v>1.068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>
        <v>0.7</v>
      </c>
    </row>
    <row r="20" ht="14.25" spans="1:25">
      <c r="A20" s="5">
        <v>46143</v>
      </c>
      <c r="B20" s="6" t="s">
        <v>47</v>
      </c>
      <c r="C20" s="6" t="s">
        <v>7</v>
      </c>
      <c r="D20" s="6" t="s">
        <v>48</v>
      </c>
      <c r="E20" s="6" t="s">
        <v>54</v>
      </c>
      <c r="F20" s="6" t="s">
        <v>50</v>
      </c>
      <c r="G20" s="6">
        <v>2119835</v>
      </c>
      <c r="H20" s="6">
        <v>5551</v>
      </c>
      <c r="I20" s="7">
        <v>75946300</v>
      </c>
      <c r="J20" s="7">
        <v>255010</v>
      </c>
      <c r="K20" s="8">
        <v>0.07</v>
      </c>
      <c r="L20" s="6">
        <v>1.068</v>
      </c>
      <c r="M20" s="7">
        <v>413896</v>
      </c>
      <c r="N20" s="7">
        <v>148770</v>
      </c>
      <c r="O20" s="6">
        <v>25</v>
      </c>
      <c r="P20" s="7">
        <v>16556</v>
      </c>
      <c r="Q20" s="7">
        <v>5951</v>
      </c>
      <c r="R20" s="7">
        <v>527150</v>
      </c>
      <c r="S20" s="7">
        <v>184745</v>
      </c>
      <c r="T20" s="7">
        <v>21086</v>
      </c>
      <c r="U20" s="7">
        <v>7390</v>
      </c>
      <c r="V20" s="8">
        <v>-0.2148</v>
      </c>
      <c r="W20" s="8">
        <v>-0.2148</v>
      </c>
      <c r="X20" s="8">
        <v>-0.1947</v>
      </c>
      <c r="Y20">
        <v>0.7</v>
      </c>
    </row>
    <row r="21" ht="14.25" spans="1:25">
      <c r="A21" s="5">
        <v>46143</v>
      </c>
      <c r="B21" s="6" t="s">
        <v>47</v>
      </c>
      <c r="C21" s="6" t="s">
        <v>7</v>
      </c>
      <c r="D21" s="6" t="s">
        <v>48</v>
      </c>
      <c r="E21" s="6" t="s">
        <v>51</v>
      </c>
      <c r="F21" s="6" t="s">
        <v>50</v>
      </c>
      <c r="G21" s="6">
        <v>9508251</v>
      </c>
      <c r="H21" s="6">
        <v>28042</v>
      </c>
      <c r="I21" s="7">
        <v>400126600</v>
      </c>
      <c r="J21" s="7">
        <v>955697</v>
      </c>
      <c r="K21" s="8">
        <v>0.07</v>
      </c>
      <c r="L21" s="6">
        <v>1.068</v>
      </c>
      <c r="M21" s="7">
        <v>2166024</v>
      </c>
      <c r="N21" s="7">
        <v>1133265</v>
      </c>
      <c r="O21" s="6">
        <v>67</v>
      </c>
      <c r="P21" s="7">
        <v>32329</v>
      </c>
      <c r="Q21" s="7">
        <v>16914</v>
      </c>
      <c r="R21" s="7">
        <v>2848274</v>
      </c>
      <c r="S21" s="7">
        <v>1671729</v>
      </c>
      <c r="T21" s="7">
        <v>42512</v>
      </c>
      <c r="U21" s="7">
        <v>24951</v>
      </c>
      <c r="V21" s="8">
        <v>-0.2395</v>
      </c>
      <c r="W21" s="8">
        <v>-0.2395</v>
      </c>
      <c r="X21" s="8">
        <v>-0.3221</v>
      </c>
      <c r="Y21">
        <v>0.7</v>
      </c>
    </row>
    <row r="22" ht="14.25" spans="1:25">
      <c r="A22" s="5">
        <v>46143</v>
      </c>
      <c r="B22" s="6" t="s">
        <v>47</v>
      </c>
      <c r="C22" s="6" t="s">
        <v>7</v>
      </c>
      <c r="D22" s="6" t="s">
        <v>48</v>
      </c>
      <c r="E22" s="6" t="s">
        <v>58</v>
      </c>
      <c r="F22" s="6" t="s">
        <v>50</v>
      </c>
      <c r="G22" s="6"/>
      <c r="H22" s="6"/>
      <c r="I22" s="6"/>
      <c r="J22" s="7">
        <v>1</v>
      </c>
      <c r="K22" s="8">
        <v>0.07</v>
      </c>
      <c r="L22" s="6">
        <v>1.068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>
        <v>0.7</v>
      </c>
    </row>
    <row r="23" ht="14.25" spans="1:25">
      <c r="A23" s="5">
        <v>46143</v>
      </c>
      <c r="B23" s="6" t="s">
        <v>47</v>
      </c>
      <c r="C23" s="6" t="s">
        <v>7</v>
      </c>
      <c r="D23" s="6" t="s">
        <v>48</v>
      </c>
      <c r="E23" s="6" t="s">
        <v>53</v>
      </c>
      <c r="F23" s="6" t="s">
        <v>50</v>
      </c>
      <c r="G23" s="6">
        <v>1994659</v>
      </c>
      <c r="H23" s="6">
        <v>5685</v>
      </c>
      <c r="I23" s="7">
        <v>71498600</v>
      </c>
      <c r="J23" s="7">
        <v>246528</v>
      </c>
      <c r="K23" s="8">
        <v>0.07</v>
      </c>
      <c r="L23" s="6">
        <v>1.068</v>
      </c>
      <c r="M23" s="7">
        <v>396638</v>
      </c>
      <c r="N23" s="7">
        <v>140553</v>
      </c>
      <c r="O23" s="6">
        <v>23</v>
      </c>
      <c r="P23" s="7">
        <v>17245</v>
      </c>
      <c r="Q23" s="7">
        <v>6111</v>
      </c>
      <c r="R23" s="7">
        <v>551470</v>
      </c>
      <c r="S23" s="7">
        <v>253927</v>
      </c>
      <c r="T23" s="7">
        <v>21210</v>
      </c>
      <c r="U23" s="7">
        <v>9766</v>
      </c>
      <c r="V23" s="8">
        <v>-0.2808</v>
      </c>
      <c r="W23" s="8">
        <v>-0.1869</v>
      </c>
      <c r="X23" s="8">
        <v>-0.3743</v>
      </c>
      <c r="Y23">
        <v>0.7</v>
      </c>
    </row>
    <row r="24" ht="14.25" spans="1:25">
      <c r="A24" s="5">
        <v>46143</v>
      </c>
      <c r="B24" s="6" t="s">
        <v>47</v>
      </c>
      <c r="C24" s="6" t="s">
        <v>7</v>
      </c>
      <c r="D24" s="6" t="s">
        <v>48</v>
      </c>
      <c r="E24" s="6" t="s">
        <v>64</v>
      </c>
      <c r="F24" s="6" t="s">
        <v>50</v>
      </c>
      <c r="G24" s="6"/>
      <c r="H24" s="6"/>
      <c r="I24" s="6"/>
      <c r="J24" s="7">
        <v>1</v>
      </c>
      <c r="K24" s="8">
        <v>0.07</v>
      </c>
      <c r="L24" s="6">
        <v>1.068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>
        <v>0.7</v>
      </c>
    </row>
    <row r="25" ht="14.25" spans="1:25">
      <c r="A25" s="5">
        <v>46143</v>
      </c>
      <c r="B25" s="6" t="s">
        <v>47</v>
      </c>
      <c r="C25" s="6" t="s">
        <v>7</v>
      </c>
      <c r="D25" s="6" t="s">
        <v>48</v>
      </c>
      <c r="E25" s="6" t="s">
        <v>52</v>
      </c>
      <c r="F25" s="6" t="s">
        <v>50</v>
      </c>
      <c r="G25" s="6">
        <v>1245348</v>
      </c>
      <c r="H25" s="6">
        <v>3963</v>
      </c>
      <c r="I25" s="7">
        <v>56408600</v>
      </c>
      <c r="J25" s="7">
        <v>149621</v>
      </c>
      <c r="K25" s="8">
        <v>0.07</v>
      </c>
      <c r="L25" s="6">
        <v>1.068</v>
      </c>
      <c r="M25" s="7">
        <v>307088</v>
      </c>
      <c r="N25" s="7">
        <v>147441</v>
      </c>
      <c r="O25" s="6">
        <v>14</v>
      </c>
      <c r="P25" s="7">
        <v>21935</v>
      </c>
      <c r="Q25" s="7">
        <v>10531</v>
      </c>
      <c r="R25" s="7">
        <v>325335</v>
      </c>
      <c r="S25" s="7">
        <v>174979</v>
      </c>
      <c r="T25" s="7">
        <v>21689</v>
      </c>
      <c r="U25" s="7">
        <v>11665</v>
      </c>
      <c r="V25" s="8">
        <v>-0.0561</v>
      </c>
      <c r="W25" s="8">
        <v>0.0113</v>
      </c>
      <c r="X25" s="8">
        <v>-0.0972</v>
      </c>
      <c r="Y25">
        <v>0.7</v>
      </c>
    </row>
    <row r="26" ht="14.25" spans="1:25">
      <c r="A26" s="5">
        <v>46143</v>
      </c>
      <c r="B26" s="6" t="s">
        <v>47</v>
      </c>
      <c r="C26" s="6" t="s">
        <v>7</v>
      </c>
      <c r="D26" s="6" t="s">
        <v>48</v>
      </c>
      <c r="E26" s="6" t="s">
        <v>49</v>
      </c>
      <c r="F26" s="6" t="s">
        <v>50</v>
      </c>
      <c r="G26" s="6">
        <v>1736467</v>
      </c>
      <c r="H26" s="6">
        <v>4620</v>
      </c>
      <c r="I26" s="7">
        <v>60547900</v>
      </c>
      <c r="J26" s="7">
        <v>197911</v>
      </c>
      <c r="K26" s="8">
        <v>0.07</v>
      </c>
      <c r="L26" s="6">
        <v>1.068</v>
      </c>
      <c r="M26" s="7">
        <v>330882</v>
      </c>
      <c r="N26" s="7">
        <v>124504</v>
      </c>
      <c r="O26" s="6">
        <v>24</v>
      </c>
      <c r="P26" s="7">
        <v>13787</v>
      </c>
      <c r="Q26" s="7">
        <v>5188</v>
      </c>
      <c r="R26" s="7">
        <v>495619</v>
      </c>
      <c r="S26" s="7">
        <v>238652</v>
      </c>
      <c r="T26" s="7">
        <v>20651</v>
      </c>
      <c r="U26" s="7">
        <v>9944</v>
      </c>
      <c r="V26" s="8">
        <v>-0.3324</v>
      </c>
      <c r="W26" s="8">
        <v>-0.3324</v>
      </c>
      <c r="X26" s="8">
        <v>-0.4783</v>
      </c>
      <c r="Y26">
        <v>0.7</v>
      </c>
    </row>
    <row r="27" ht="14.25" spans="1:25">
      <c r="A27" s="5">
        <v>46143</v>
      </c>
      <c r="B27" s="6" t="s">
        <v>47</v>
      </c>
      <c r="C27" s="6" t="s">
        <v>7</v>
      </c>
      <c r="D27" s="6" t="s">
        <v>48</v>
      </c>
      <c r="E27" s="6" t="s">
        <v>56</v>
      </c>
      <c r="F27" s="6" t="s">
        <v>50</v>
      </c>
      <c r="G27" s="6">
        <v>4189115</v>
      </c>
      <c r="H27" s="6">
        <v>12058</v>
      </c>
      <c r="I27" s="7">
        <v>206698300</v>
      </c>
      <c r="J27" s="7">
        <v>490088</v>
      </c>
      <c r="K27" s="8">
        <v>0.07</v>
      </c>
      <c r="L27" s="6">
        <v>1.068</v>
      </c>
      <c r="M27" s="7">
        <v>1160244</v>
      </c>
      <c r="N27" s="7">
        <v>627487</v>
      </c>
      <c r="O27" s="6">
        <v>43</v>
      </c>
      <c r="P27" s="7">
        <v>26982</v>
      </c>
      <c r="Q27" s="7">
        <v>14593</v>
      </c>
      <c r="R27" s="7">
        <v>1275039</v>
      </c>
      <c r="S27" s="7">
        <v>757585</v>
      </c>
      <c r="T27" s="7">
        <v>29652</v>
      </c>
      <c r="U27" s="7">
        <v>17618</v>
      </c>
      <c r="V27" s="8">
        <v>-0.09</v>
      </c>
      <c r="W27" s="8">
        <v>-0.09</v>
      </c>
      <c r="X27" s="8">
        <v>-0.1717</v>
      </c>
      <c r="Y27">
        <v>0.7</v>
      </c>
    </row>
    <row r="28" ht="14.25" spans="1:25">
      <c r="A28" s="5">
        <v>46143</v>
      </c>
      <c r="B28" s="6" t="s">
        <v>47</v>
      </c>
      <c r="C28" s="6" t="s">
        <v>6</v>
      </c>
      <c r="D28" s="6" t="s">
        <v>48</v>
      </c>
      <c r="E28" s="6" t="s">
        <v>60</v>
      </c>
      <c r="F28" s="6" t="s">
        <v>50</v>
      </c>
      <c r="G28" s="6">
        <v>682974</v>
      </c>
      <c r="H28" s="6">
        <v>5319</v>
      </c>
      <c r="I28" s="7">
        <v>185917200</v>
      </c>
      <c r="J28" s="7">
        <v>70880</v>
      </c>
      <c r="K28" s="8">
        <v>0.36</v>
      </c>
      <c r="L28" s="6">
        <v>1.068</v>
      </c>
      <c r="M28" s="7">
        <v>134797</v>
      </c>
      <c r="N28" s="7">
        <v>59847</v>
      </c>
      <c r="O28" s="6">
        <v>13</v>
      </c>
      <c r="P28" s="7">
        <v>10369</v>
      </c>
      <c r="Q28" s="7">
        <v>4604</v>
      </c>
      <c r="R28" s="7">
        <v>38628</v>
      </c>
      <c r="S28" s="7">
        <v>4931</v>
      </c>
      <c r="T28" s="6"/>
      <c r="U28" s="6"/>
      <c r="V28" s="8">
        <v>2.4896</v>
      </c>
      <c r="W28" s="6"/>
      <c r="X28" s="6"/>
      <c r="Y28">
        <v>0.7</v>
      </c>
    </row>
    <row r="29" ht="14.25" spans="1:25">
      <c r="A29" s="5">
        <v>46143</v>
      </c>
      <c r="B29" s="6" t="s">
        <v>47</v>
      </c>
      <c r="C29" s="6" t="s">
        <v>6</v>
      </c>
      <c r="D29" s="6" t="s">
        <v>48</v>
      </c>
      <c r="E29" s="6" t="s">
        <v>65</v>
      </c>
      <c r="F29" s="6" t="s">
        <v>50</v>
      </c>
      <c r="G29" s="6"/>
      <c r="H29" s="6"/>
      <c r="I29" s="6"/>
      <c r="J29" s="7">
        <v>0</v>
      </c>
      <c r="K29" s="8">
        <v>0.36</v>
      </c>
      <c r="L29" s="6">
        <v>1.068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>
        <v>0.7</v>
      </c>
    </row>
    <row r="30" ht="14.25" spans="1:25">
      <c r="A30" s="5">
        <v>46143</v>
      </c>
      <c r="B30" s="6" t="s">
        <v>47</v>
      </c>
      <c r="C30" s="6" t="s">
        <v>6</v>
      </c>
      <c r="D30" s="6" t="s">
        <v>48</v>
      </c>
      <c r="E30" s="6" t="s">
        <v>63</v>
      </c>
      <c r="F30" s="6" t="s">
        <v>50</v>
      </c>
      <c r="G30" s="6"/>
      <c r="H30" s="6"/>
      <c r="I30" s="6"/>
      <c r="J30" s="7">
        <v>6</v>
      </c>
      <c r="K30" s="8">
        <v>0.36</v>
      </c>
      <c r="L30" s="6">
        <v>1.068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>
        <v>0.7</v>
      </c>
    </row>
    <row r="31" ht="14.25" spans="1:25">
      <c r="A31" s="5">
        <v>46143</v>
      </c>
      <c r="B31" s="6" t="s">
        <v>47</v>
      </c>
      <c r="C31" s="6" t="s">
        <v>6</v>
      </c>
      <c r="D31" s="6" t="s">
        <v>48</v>
      </c>
      <c r="E31" s="6" t="s">
        <v>61</v>
      </c>
      <c r="F31" s="6" t="s">
        <v>50</v>
      </c>
      <c r="G31" s="6"/>
      <c r="H31" s="6"/>
      <c r="I31" s="6"/>
      <c r="J31" s="7">
        <v>23</v>
      </c>
      <c r="K31" s="8">
        <v>0.36</v>
      </c>
      <c r="L31" s="6">
        <v>1.068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>
        <v>0.7</v>
      </c>
    </row>
    <row r="32" ht="14.25" spans="1:25">
      <c r="A32" s="5">
        <v>46143</v>
      </c>
      <c r="B32" s="6" t="s">
        <v>47</v>
      </c>
      <c r="C32" s="6" t="s">
        <v>6</v>
      </c>
      <c r="D32" s="6" t="s">
        <v>48</v>
      </c>
      <c r="E32" s="6" t="s">
        <v>58</v>
      </c>
      <c r="F32" s="6" t="s">
        <v>50</v>
      </c>
      <c r="G32" s="6"/>
      <c r="H32" s="6"/>
      <c r="I32" s="6"/>
      <c r="J32" s="7">
        <v>5</v>
      </c>
      <c r="K32" s="8">
        <v>0.36</v>
      </c>
      <c r="L32" s="6">
        <v>1.068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>
        <v>0.7</v>
      </c>
    </row>
    <row r="33" ht="14.25" spans="1:25">
      <c r="A33" s="5">
        <v>46143</v>
      </c>
      <c r="B33" s="6" t="s">
        <v>47</v>
      </c>
      <c r="C33" s="6" t="s">
        <v>6</v>
      </c>
      <c r="D33" s="6" t="s">
        <v>48</v>
      </c>
      <c r="E33" s="6" t="s">
        <v>54</v>
      </c>
      <c r="F33" s="6" t="s">
        <v>50</v>
      </c>
      <c r="G33" s="6">
        <v>1403193</v>
      </c>
      <c r="H33" s="6">
        <v>11983</v>
      </c>
      <c r="I33" s="7">
        <v>386782900</v>
      </c>
      <c r="J33" s="7">
        <v>162536</v>
      </c>
      <c r="K33" s="8">
        <v>0.36</v>
      </c>
      <c r="L33" s="6">
        <v>1.068</v>
      </c>
      <c r="M33" s="7">
        <v>290198</v>
      </c>
      <c r="N33" s="7">
        <v>119533</v>
      </c>
      <c r="O33" s="6">
        <v>13</v>
      </c>
      <c r="P33" s="7">
        <v>22323</v>
      </c>
      <c r="Q33" s="7">
        <v>9195</v>
      </c>
      <c r="R33" s="7">
        <v>384855</v>
      </c>
      <c r="S33" s="7">
        <v>156139</v>
      </c>
      <c r="T33" s="7">
        <v>38486</v>
      </c>
      <c r="U33" s="7">
        <v>15614</v>
      </c>
      <c r="V33" s="8">
        <v>-0.246</v>
      </c>
      <c r="W33" s="8">
        <v>-0.42</v>
      </c>
      <c r="X33" s="8">
        <v>-0.4111</v>
      </c>
      <c r="Y33">
        <v>0.7</v>
      </c>
    </row>
    <row r="34" ht="14.25" spans="1:25">
      <c r="A34" s="5">
        <v>46143</v>
      </c>
      <c r="B34" s="6" t="s">
        <v>47</v>
      </c>
      <c r="C34" s="6" t="s">
        <v>6</v>
      </c>
      <c r="D34" s="6" t="s">
        <v>48</v>
      </c>
      <c r="E34" s="6" t="s">
        <v>59</v>
      </c>
      <c r="F34" s="6" t="s">
        <v>50</v>
      </c>
      <c r="G34" s="6"/>
      <c r="H34" s="6"/>
      <c r="I34" s="6"/>
      <c r="J34" s="7">
        <v>7</v>
      </c>
      <c r="K34" s="8">
        <v>0.36</v>
      </c>
      <c r="L34" s="6">
        <v>1.068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>
        <v>0.7</v>
      </c>
    </row>
    <row r="35" ht="14.25" spans="1:25">
      <c r="A35" s="5">
        <v>46143</v>
      </c>
      <c r="B35" s="6" t="s">
        <v>47</v>
      </c>
      <c r="C35" s="6" t="s">
        <v>6</v>
      </c>
      <c r="D35" s="6" t="s">
        <v>48</v>
      </c>
      <c r="E35" s="6" t="s">
        <v>66</v>
      </c>
      <c r="F35" s="6" t="s">
        <v>50</v>
      </c>
      <c r="G35" s="6"/>
      <c r="H35" s="6"/>
      <c r="I35" s="6"/>
      <c r="J35" s="7">
        <v>2</v>
      </c>
      <c r="K35" s="8">
        <v>0.36</v>
      </c>
      <c r="L35" s="6">
        <v>1.068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>
        <v>0.7</v>
      </c>
    </row>
    <row r="36" ht="14.25" spans="1:25">
      <c r="A36" s="5">
        <v>46143</v>
      </c>
      <c r="B36" s="6" t="s">
        <v>47</v>
      </c>
      <c r="C36" s="6" t="s">
        <v>6</v>
      </c>
      <c r="D36" s="6" t="s">
        <v>48</v>
      </c>
      <c r="E36" s="6" t="s">
        <v>51</v>
      </c>
      <c r="F36" s="6" t="s">
        <v>50</v>
      </c>
      <c r="G36" s="6">
        <v>2469598</v>
      </c>
      <c r="H36" s="6">
        <v>19582</v>
      </c>
      <c r="I36" s="7">
        <v>757100100</v>
      </c>
      <c r="J36" s="7">
        <v>210609</v>
      </c>
      <c r="K36" s="8">
        <v>0.36</v>
      </c>
      <c r="L36" s="6">
        <v>1.068</v>
      </c>
      <c r="M36" s="7">
        <v>573951</v>
      </c>
      <c r="N36" s="7">
        <v>340208</v>
      </c>
      <c r="O36" s="6">
        <v>13</v>
      </c>
      <c r="P36" s="7">
        <v>44150</v>
      </c>
      <c r="Q36" s="7">
        <v>26170</v>
      </c>
      <c r="R36" s="7">
        <v>598097</v>
      </c>
      <c r="S36" s="7">
        <v>355017</v>
      </c>
      <c r="T36" s="7">
        <v>54372</v>
      </c>
      <c r="U36" s="7">
        <v>32274</v>
      </c>
      <c r="V36" s="8">
        <v>-0.0404</v>
      </c>
      <c r="W36" s="8">
        <v>-0.188</v>
      </c>
      <c r="X36" s="8">
        <v>-0.1891</v>
      </c>
      <c r="Y36">
        <v>0.7</v>
      </c>
    </row>
    <row r="37" ht="14.25" spans="1:25">
      <c r="A37" s="5">
        <v>46143</v>
      </c>
      <c r="B37" s="6" t="s">
        <v>47</v>
      </c>
      <c r="C37" s="6" t="s">
        <v>6</v>
      </c>
      <c r="D37" s="6" t="s">
        <v>48</v>
      </c>
      <c r="E37" s="6" t="s">
        <v>64</v>
      </c>
      <c r="F37" s="6" t="s">
        <v>50</v>
      </c>
      <c r="G37" s="6"/>
      <c r="H37" s="6"/>
      <c r="I37" s="6"/>
      <c r="J37" s="7">
        <v>1</v>
      </c>
      <c r="K37" s="8">
        <v>0.36</v>
      </c>
      <c r="L37" s="6">
        <v>1.068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>
        <v>0.7</v>
      </c>
    </row>
    <row r="38" ht="14.25" spans="1:25">
      <c r="A38" s="5">
        <v>46143</v>
      </c>
      <c r="B38" s="6" t="s">
        <v>47</v>
      </c>
      <c r="C38" s="6" t="s">
        <v>6</v>
      </c>
      <c r="D38" s="6" t="s">
        <v>48</v>
      </c>
      <c r="E38" s="6" t="s">
        <v>55</v>
      </c>
      <c r="F38" s="6" t="s">
        <v>50</v>
      </c>
      <c r="G38" s="6"/>
      <c r="H38" s="6"/>
      <c r="I38" s="6"/>
      <c r="J38" s="7">
        <v>5</v>
      </c>
      <c r="K38" s="8">
        <v>0.36</v>
      </c>
      <c r="L38" s="6">
        <v>1.068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>
        <v>0.7</v>
      </c>
    </row>
    <row r="39" ht="14.25" spans="1:25">
      <c r="A39" s="5">
        <v>46143</v>
      </c>
      <c r="B39" s="6" t="s">
        <v>47</v>
      </c>
      <c r="C39" s="6" t="s">
        <v>6</v>
      </c>
      <c r="D39" s="6" t="s">
        <v>48</v>
      </c>
      <c r="E39" s="6" t="s">
        <v>67</v>
      </c>
      <c r="F39" s="6" t="s">
        <v>50</v>
      </c>
      <c r="G39" s="6"/>
      <c r="H39" s="6"/>
      <c r="I39" s="6"/>
      <c r="J39" s="7">
        <v>2</v>
      </c>
      <c r="K39" s="8">
        <v>0.36</v>
      </c>
      <c r="L39" s="6">
        <v>1.068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>
        <v>0.7</v>
      </c>
    </row>
    <row r="40" ht="14.25" spans="1:25">
      <c r="A40" s="5">
        <v>46143</v>
      </c>
      <c r="B40" s="6" t="s">
        <v>47</v>
      </c>
      <c r="C40" s="6" t="s">
        <v>6</v>
      </c>
      <c r="D40" s="6" t="s">
        <v>48</v>
      </c>
      <c r="E40" s="6" t="s">
        <v>68</v>
      </c>
      <c r="F40" s="6" t="s">
        <v>50</v>
      </c>
      <c r="G40" s="6"/>
      <c r="H40" s="6"/>
      <c r="I40" s="6"/>
      <c r="J40" s="7">
        <v>4</v>
      </c>
      <c r="K40" s="8">
        <v>0.36</v>
      </c>
      <c r="L40" s="6">
        <v>1.068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>
        <v>0.7</v>
      </c>
    </row>
    <row r="41" ht="14.25" spans="1:25">
      <c r="A41" s="5">
        <v>46113</v>
      </c>
      <c r="B41" s="6" t="s">
        <v>47</v>
      </c>
      <c r="C41" s="6" t="s">
        <v>7</v>
      </c>
      <c r="D41" s="6" t="s">
        <v>48</v>
      </c>
      <c r="E41" s="6" t="s">
        <v>62</v>
      </c>
      <c r="F41" s="6" t="s">
        <v>50</v>
      </c>
      <c r="G41" s="6"/>
      <c r="H41" s="6"/>
      <c r="I41" s="6"/>
      <c r="J41" s="7">
        <v>4</v>
      </c>
      <c r="K41" s="8">
        <v>0.07</v>
      </c>
      <c r="L41" s="6">
        <v>1.068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>
        <v>0.7</v>
      </c>
    </row>
    <row r="42" ht="14.25" spans="1:25">
      <c r="A42" s="5">
        <v>46113</v>
      </c>
      <c r="B42" s="6" t="s">
        <v>47</v>
      </c>
      <c r="C42" s="6" t="s">
        <v>7</v>
      </c>
      <c r="D42" s="6" t="s">
        <v>48</v>
      </c>
      <c r="E42" s="6" t="s">
        <v>68</v>
      </c>
      <c r="F42" s="6" t="s">
        <v>50</v>
      </c>
      <c r="G42" s="6"/>
      <c r="H42" s="6"/>
      <c r="I42" s="6"/>
      <c r="J42" s="7">
        <v>2</v>
      </c>
      <c r="K42" s="8">
        <v>0.07</v>
      </c>
      <c r="L42" s="6">
        <v>1.068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>
        <v>0.7</v>
      </c>
    </row>
    <row r="43" ht="14.25" spans="1:25">
      <c r="A43" s="5">
        <v>46113</v>
      </c>
      <c r="B43" s="6" t="s">
        <v>47</v>
      </c>
      <c r="C43" s="6" t="s">
        <v>7</v>
      </c>
      <c r="D43" s="6" t="s">
        <v>48</v>
      </c>
      <c r="E43" s="6" t="s">
        <v>49</v>
      </c>
      <c r="F43" s="6" t="s">
        <v>50</v>
      </c>
      <c r="G43" s="6">
        <v>1842708</v>
      </c>
      <c r="H43" s="6">
        <v>5810</v>
      </c>
      <c r="I43" s="7">
        <v>86552400</v>
      </c>
      <c r="J43" s="7">
        <v>240739</v>
      </c>
      <c r="K43" s="8">
        <v>0.07</v>
      </c>
      <c r="L43" s="6">
        <v>1.068</v>
      </c>
      <c r="M43" s="7">
        <v>495619</v>
      </c>
      <c r="N43" s="7">
        <v>238652</v>
      </c>
      <c r="O43" s="6">
        <v>24</v>
      </c>
      <c r="P43" s="7">
        <v>20651</v>
      </c>
      <c r="Q43" s="7">
        <v>9944</v>
      </c>
      <c r="R43" s="7">
        <v>637468</v>
      </c>
      <c r="S43" s="7">
        <v>343196</v>
      </c>
      <c r="T43" s="7">
        <v>21982</v>
      </c>
      <c r="U43" s="7">
        <v>11834</v>
      </c>
      <c r="V43" s="8">
        <v>-0.2225</v>
      </c>
      <c r="W43" s="8">
        <v>-0.0605</v>
      </c>
      <c r="X43" s="8">
        <v>-0.1597</v>
      </c>
      <c r="Y43">
        <v>0.7</v>
      </c>
    </row>
    <row r="44" ht="14.25" spans="1:25">
      <c r="A44" s="5">
        <v>46113</v>
      </c>
      <c r="B44" s="6" t="s">
        <v>47</v>
      </c>
      <c r="C44" s="6" t="s">
        <v>7</v>
      </c>
      <c r="D44" s="6" t="s">
        <v>48</v>
      </c>
      <c r="E44" s="6" t="s">
        <v>59</v>
      </c>
      <c r="F44" s="6" t="s">
        <v>50</v>
      </c>
      <c r="G44" s="6"/>
      <c r="H44" s="6"/>
      <c r="I44" s="6"/>
      <c r="J44" s="7">
        <v>5</v>
      </c>
      <c r="K44" s="8">
        <v>0.07</v>
      </c>
      <c r="L44" s="6">
        <v>1.068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>
        <v>0.7</v>
      </c>
    </row>
    <row r="45" ht="14.25" spans="1:25">
      <c r="A45" s="5">
        <v>46113</v>
      </c>
      <c r="B45" s="6" t="s">
        <v>47</v>
      </c>
      <c r="C45" s="6" t="s">
        <v>7</v>
      </c>
      <c r="D45" s="6" t="s">
        <v>48</v>
      </c>
      <c r="E45" s="6" t="s">
        <v>61</v>
      </c>
      <c r="F45" s="6" t="s">
        <v>50</v>
      </c>
      <c r="G45" s="6"/>
      <c r="H45" s="6"/>
      <c r="I45" s="6"/>
      <c r="J45" s="7">
        <v>3</v>
      </c>
      <c r="K45" s="8">
        <v>0.07</v>
      </c>
      <c r="L45" s="6">
        <v>1.068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>
        <v>0.7</v>
      </c>
    </row>
    <row r="46" ht="14.25" spans="1:25">
      <c r="A46" s="5">
        <v>46113</v>
      </c>
      <c r="B46" s="6" t="s">
        <v>47</v>
      </c>
      <c r="C46" s="6" t="s">
        <v>7</v>
      </c>
      <c r="D46" s="6" t="s">
        <v>48</v>
      </c>
      <c r="E46" s="6" t="s">
        <v>54</v>
      </c>
      <c r="F46" s="6" t="s">
        <v>50</v>
      </c>
      <c r="G46" s="6">
        <v>2068765</v>
      </c>
      <c r="H46" s="6">
        <v>6788</v>
      </c>
      <c r="I46" s="7">
        <v>95119200</v>
      </c>
      <c r="J46" s="7">
        <v>329843</v>
      </c>
      <c r="K46" s="8">
        <v>0.07</v>
      </c>
      <c r="L46" s="6">
        <v>1.068</v>
      </c>
      <c r="M46" s="7">
        <v>527150</v>
      </c>
      <c r="N46" s="7">
        <v>184745</v>
      </c>
      <c r="O46" s="6">
        <v>25</v>
      </c>
      <c r="P46" s="7">
        <v>21086</v>
      </c>
      <c r="Q46" s="7">
        <v>7390</v>
      </c>
      <c r="R46" s="7">
        <v>624824</v>
      </c>
      <c r="S46" s="7">
        <v>283394</v>
      </c>
      <c r="T46" s="7">
        <v>24032</v>
      </c>
      <c r="U46" s="7">
        <v>10900</v>
      </c>
      <c r="V46" s="8">
        <v>-0.1563</v>
      </c>
      <c r="W46" s="8">
        <v>-0.1226</v>
      </c>
      <c r="X46" s="8">
        <v>-0.322</v>
      </c>
      <c r="Y46">
        <v>0.7</v>
      </c>
    </row>
    <row r="47" ht="14.25" spans="1:25">
      <c r="A47" s="5">
        <v>46113</v>
      </c>
      <c r="B47" s="6" t="s">
        <v>47</v>
      </c>
      <c r="C47" s="6" t="s">
        <v>7</v>
      </c>
      <c r="D47" s="6" t="s">
        <v>48</v>
      </c>
      <c r="E47" s="6" t="s">
        <v>63</v>
      </c>
      <c r="F47" s="6" t="s">
        <v>50</v>
      </c>
      <c r="G47" s="6"/>
      <c r="H47" s="6"/>
      <c r="I47" s="6"/>
      <c r="J47" s="7">
        <v>66</v>
      </c>
      <c r="K47" s="8">
        <v>0.07</v>
      </c>
      <c r="L47" s="6">
        <v>1.068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>
        <v>0.7</v>
      </c>
    </row>
    <row r="48" ht="14.25" spans="1:25">
      <c r="A48" s="5">
        <v>46113</v>
      </c>
      <c r="B48" s="6" t="s">
        <v>47</v>
      </c>
      <c r="C48" s="6" t="s">
        <v>7</v>
      </c>
      <c r="D48" s="6" t="s">
        <v>48</v>
      </c>
      <c r="E48" s="6" t="s">
        <v>52</v>
      </c>
      <c r="F48" s="6" t="s">
        <v>50</v>
      </c>
      <c r="G48" s="6">
        <v>1275592</v>
      </c>
      <c r="H48" s="6">
        <v>3775</v>
      </c>
      <c r="I48" s="7">
        <v>57906700</v>
      </c>
      <c r="J48" s="7">
        <v>138457</v>
      </c>
      <c r="K48" s="8">
        <v>0.07</v>
      </c>
      <c r="L48" s="6">
        <v>1.068</v>
      </c>
      <c r="M48" s="7">
        <v>325335</v>
      </c>
      <c r="N48" s="7">
        <v>174979</v>
      </c>
      <c r="O48" s="6">
        <v>15</v>
      </c>
      <c r="P48" s="7">
        <v>21689</v>
      </c>
      <c r="Q48" s="7">
        <v>11665</v>
      </c>
      <c r="R48" s="6"/>
      <c r="S48" s="6"/>
      <c r="T48" s="6"/>
      <c r="U48" s="6"/>
      <c r="V48" s="6"/>
      <c r="W48" s="6"/>
      <c r="X48" s="6"/>
      <c r="Y48">
        <v>0.7</v>
      </c>
    </row>
    <row r="49" ht="14.25" spans="1:25">
      <c r="A49" s="5">
        <v>46113</v>
      </c>
      <c r="B49" s="6" t="s">
        <v>47</v>
      </c>
      <c r="C49" s="6" t="s">
        <v>7</v>
      </c>
      <c r="D49" s="6" t="s">
        <v>48</v>
      </c>
      <c r="E49" s="6" t="s">
        <v>64</v>
      </c>
      <c r="F49" s="6" t="s">
        <v>50</v>
      </c>
      <c r="G49" s="6"/>
      <c r="H49" s="6"/>
      <c r="I49" s="6"/>
      <c r="J49" s="7">
        <v>0</v>
      </c>
      <c r="K49" s="8">
        <v>0.07</v>
      </c>
      <c r="L49" s="6">
        <v>1.068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>
        <v>0.7</v>
      </c>
    </row>
    <row r="50" ht="14.25" spans="1:25">
      <c r="A50" s="5">
        <v>46113</v>
      </c>
      <c r="B50" s="6" t="s">
        <v>47</v>
      </c>
      <c r="C50" s="6" t="s">
        <v>7</v>
      </c>
      <c r="D50" s="6" t="s">
        <v>48</v>
      </c>
      <c r="E50" s="6" t="s">
        <v>55</v>
      </c>
      <c r="F50" s="6" t="s">
        <v>50</v>
      </c>
      <c r="G50" s="6"/>
      <c r="H50" s="6"/>
      <c r="I50" s="6"/>
      <c r="J50" s="7">
        <v>2</v>
      </c>
      <c r="K50" s="8">
        <v>0.07</v>
      </c>
      <c r="L50" s="6">
        <v>1.068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>
        <v>0.7</v>
      </c>
    </row>
    <row r="51" ht="14.25" spans="1:25">
      <c r="A51" s="5">
        <v>46113</v>
      </c>
      <c r="B51" s="6" t="s">
        <v>47</v>
      </c>
      <c r="C51" s="6" t="s">
        <v>7</v>
      </c>
      <c r="D51" s="6" t="s">
        <v>48</v>
      </c>
      <c r="E51" s="6" t="s">
        <v>51</v>
      </c>
      <c r="F51" s="6" t="s">
        <v>50</v>
      </c>
      <c r="G51" s="6">
        <v>9338995</v>
      </c>
      <c r="H51" s="6">
        <v>31247</v>
      </c>
      <c r="I51" s="7">
        <v>504906100</v>
      </c>
      <c r="J51" s="7">
        <v>1062867</v>
      </c>
      <c r="K51" s="8">
        <v>0.07</v>
      </c>
      <c r="L51" s="6">
        <v>1.068</v>
      </c>
      <c r="M51" s="7">
        <v>2848274</v>
      </c>
      <c r="N51" s="7">
        <v>1671729</v>
      </c>
      <c r="O51" s="6">
        <v>67</v>
      </c>
      <c r="P51" s="7">
        <v>42512</v>
      </c>
      <c r="Q51" s="7">
        <v>24951</v>
      </c>
      <c r="R51" s="7">
        <v>3538571</v>
      </c>
      <c r="S51" s="7">
        <v>2215918</v>
      </c>
      <c r="T51" s="7">
        <v>44792</v>
      </c>
      <c r="U51" s="7">
        <v>28050</v>
      </c>
      <c r="V51" s="8">
        <v>-0.1951</v>
      </c>
      <c r="W51" s="8">
        <v>-0.0509</v>
      </c>
      <c r="X51" s="8">
        <v>-0.1105</v>
      </c>
      <c r="Y51">
        <v>0.7</v>
      </c>
    </row>
    <row r="52" ht="14.25" spans="1:25">
      <c r="A52" s="5">
        <v>46113</v>
      </c>
      <c r="B52" s="6" t="s">
        <v>47</v>
      </c>
      <c r="C52" s="6" t="s">
        <v>7</v>
      </c>
      <c r="D52" s="6" t="s">
        <v>48</v>
      </c>
      <c r="E52" s="6" t="s">
        <v>58</v>
      </c>
      <c r="F52" s="6" t="s">
        <v>50</v>
      </c>
      <c r="G52" s="6"/>
      <c r="H52" s="6"/>
      <c r="I52" s="6"/>
      <c r="J52" s="7">
        <v>16</v>
      </c>
      <c r="K52" s="8">
        <v>0.07</v>
      </c>
      <c r="L52" s="6">
        <v>1.068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>
        <v>0.7</v>
      </c>
    </row>
    <row r="53" ht="14.25" spans="1:25">
      <c r="A53" s="5">
        <v>46113</v>
      </c>
      <c r="B53" s="6" t="s">
        <v>47</v>
      </c>
      <c r="C53" s="6" t="s">
        <v>7</v>
      </c>
      <c r="D53" s="6" t="s">
        <v>48</v>
      </c>
      <c r="E53" s="6" t="s">
        <v>53</v>
      </c>
      <c r="F53" s="6" t="s">
        <v>50</v>
      </c>
      <c r="G53" s="6">
        <v>2046767</v>
      </c>
      <c r="H53" s="6">
        <v>6698</v>
      </c>
      <c r="I53" s="7">
        <v>97070000</v>
      </c>
      <c r="J53" s="7">
        <v>280276</v>
      </c>
      <c r="K53" s="8">
        <v>0.07</v>
      </c>
      <c r="L53" s="6">
        <v>1.068</v>
      </c>
      <c r="M53" s="7">
        <v>551470</v>
      </c>
      <c r="N53" s="7">
        <v>253927</v>
      </c>
      <c r="O53" s="6">
        <v>26</v>
      </c>
      <c r="P53" s="7">
        <v>21210</v>
      </c>
      <c r="Q53" s="7">
        <v>9766</v>
      </c>
      <c r="R53" s="7">
        <v>677182</v>
      </c>
      <c r="S53" s="7">
        <v>375927</v>
      </c>
      <c r="T53" s="7">
        <v>23351</v>
      </c>
      <c r="U53" s="7">
        <v>12963</v>
      </c>
      <c r="V53" s="8">
        <v>-0.1856</v>
      </c>
      <c r="W53" s="8">
        <v>-0.0917</v>
      </c>
      <c r="X53" s="8">
        <v>-0.2466</v>
      </c>
      <c r="Y53">
        <v>0.7</v>
      </c>
    </row>
    <row r="54" ht="14.25" spans="1:25">
      <c r="A54" s="5">
        <v>46113</v>
      </c>
      <c r="B54" s="6" t="s">
        <v>47</v>
      </c>
      <c r="C54" s="6" t="s">
        <v>7</v>
      </c>
      <c r="D54" s="6" t="s">
        <v>48</v>
      </c>
      <c r="E54" s="6" t="s">
        <v>57</v>
      </c>
      <c r="F54" s="6" t="s">
        <v>50</v>
      </c>
      <c r="G54" s="6">
        <v>1568552</v>
      </c>
      <c r="H54" s="6">
        <v>5455</v>
      </c>
      <c r="I54" s="7">
        <v>78840700</v>
      </c>
      <c r="J54" s="7">
        <v>223276</v>
      </c>
      <c r="K54" s="8">
        <v>0.07</v>
      </c>
      <c r="L54" s="6">
        <v>1.068</v>
      </c>
      <c r="M54" s="7">
        <v>448690</v>
      </c>
      <c r="N54" s="7">
        <v>211062</v>
      </c>
      <c r="O54" s="6">
        <v>18</v>
      </c>
      <c r="P54" s="7">
        <v>24927</v>
      </c>
      <c r="Q54" s="7">
        <v>11726</v>
      </c>
      <c r="R54" s="7">
        <v>523903</v>
      </c>
      <c r="S54" s="7">
        <v>258213</v>
      </c>
      <c r="T54" s="7">
        <v>23814</v>
      </c>
      <c r="U54" s="7">
        <v>11737</v>
      </c>
      <c r="V54" s="8">
        <v>-0.1436</v>
      </c>
      <c r="W54" s="8">
        <v>0.0468</v>
      </c>
      <c r="X54" s="8">
        <v>-0.001</v>
      </c>
      <c r="Y54">
        <v>0.7</v>
      </c>
    </row>
    <row r="55" ht="14.25" spans="1:25">
      <c r="A55" s="5">
        <v>46113</v>
      </c>
      <c r="B55" s="6" t="s">
        <v>47</v>
      </c>
      <c r="C55" s="6" t="s">
        <v>7</v>
      </c>
      <c r="D55" s="6" t="s">
        <v>48</v>
      </c>
      <c r="E55" s="6" t="s">
        <v>66</v>
      </c>
      <c r="F55" s="6" t="s">
        <v>50</v>
      </c>
      <c r="G55" s="6"/>
      <c r="H55" s="6"/>
      <c r="I55" s="6"/>
      <c r="J55" s="7">
        <v>4</v>
      </c>
      <c r="K55" s="8">
        <v>0.07</v>
      </c>
      <c r="L55" s="6">
        <v>1.068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>
        <v>0.7</v>
      </c>
    </row>
    <row r="56" ht="14.25" spans="1:25">
      <c r="A56" s="5">
        <v>46113</v>
      </c>
      <c r="B56" s="6" t="s">
        <v>47</v>
      </c>
      <c r="C56" s="6" t="s">
        <v>7</v>
      </c>
      <c r="D56" s="6" t="s">
        <v>48</v>
      </c>
      <c r="E56" s="6" t="s">
        <v>56</v>
      </c>
      <c r="F56" s="6" t="s">
        <v>50</v>
      </c>
      <c r="G56" s="6">
        <v>3874420</v>
      </c>
      <c r="H56" s="6">
        <v>13398</v>
      </c>
      <c r="I56" s="7">
        <v>225161700</v>
      </c>
      <c r="J56" s="7">
        <v>465938</v>
      </c>
      <c r="K56" s="8">
        <v>0.07</v>
      </c>
      <c r="L56" s="6">
        <v>1.068</v>
      </c>
      <c r="M56" s="7">
        <v>1275039</v>
      </c>
      <c r="N56" s="7">
        <v>757585</v>
      </c>
      <c r="O56" s="6">
        <v>43</v>
      </c>
      <c r="P56" s="7">
        <v>29652</v>
      </c>
      <c r="Q56" s="7">
        <v>17618</v>
      </c>
      <c r="R56" s="7">
        <v>1454274</v>
      </c>
      <c r="S56" s="7">
        <v>904034</v>
      </c>
      <c r="T56" s="7">
        <v>29679</v>
      </c>
      <c r="U56" s="7">
        <v>18450</v>
      </c>
      <c r="V56" s="8">
        <v>-0.1232</v>
      </c>
      <c r="W56" s="8">
        <v>-0.0009</v>
      </c>
      <c r="X56" s="8">
        <v>-0.0451</v>
      </c>
      <c r="Y56">
        <v>0.7</v>
      </c>
    </row>
    <row r="57" ht="14.25" spans="1:25">
      <c r="A57" s="5">
        <v>46113</v>
      </c>
      <c r="B57" s="6" t="s">
        <v>47</v>
      </c>
      <c r="C57" s="6" t="s">
        <v>6</v>
      </c>
      <c r="D57" s="6" t="s">
        <v>48</v>
      </c>
      <c r="E57" s="6" t="s">
        <v>51</v>
      </c>
      <c r="F57" s="6" t="s">
        <v>50</v>
      </c>
      <c r="G57" s="6">
        <v>2412643</v>
      </c>
      <c r="H57" s="6">
        <v>19719</v>
      </c>
      <c r="I57" s="7">
        <v>762706600</v>
      </c>
      <c r="J57" s="7">
        <v>218939</v>
      </c>
      <c r="K57" s="8">
        <v>0.36</v>
      </c>
      <c r="L57" s="6">
        <v>1.068</v>
      </c>
      <c r="M57" s="7">
        <v>598097</v>
      </c>
      <c r="N57" s="7">
        <v>355017</v>
      </c>
      <c r="O57" s="6">
        <v>11</v>
      </c>
      <c r="P57" s="7">
        <v>54372</v>
      </c>
      <c r="Q57" s="7">
        <v>32274</v>
      </c>
      <c r="R57" s="7">
        <v>805101</v>
      </c>
      <c r="S57" s="7">
        <v>558731</v>
      </c>
      <c r="T57" s="7">
        <v>67092</v>
      </c>
      <c r="U57" s="7">
        <v>46561</v>
      </c>
      <c r="V57" s="8">
        <v>-0.2571</v>
      </c>
      <c r="W57" s="8">
        <v>-0.1896</v>
      </c>
      <c r="X57" s="8">
        <v>-0.3068</v>
      </c>
      <c r="Y57">
        <v>0.7</v>
      </c>
    </row>
    <row r="58" ht="14.25" spans="1:25">
      <c r="A58" s="5">
        <v>46113</v>
      </c>
      <c r="B58" s="6" t="s">
        <v>47</v>
      </c>
      <c r="C58" s="6" t="s">
        <v>6</v>
      </c>
      <c r="D58" s="6" t="s">
        <v>48</v>
      </c>
      <c r="E58" s="6" t="s">
        <v>61</v>
      </c>
      <c r="F58" s="6" t="s">
        <v>50</v>
      </c>
      <c r="G58" s="6"/>
      <c r="H58" s="6"/>
      <c r="I58" s="6"/>
      <c r="J58" s="7">
        <v>7</v>
      </c>
      <c r="K58" s="8">
        <v>0.36</v>
      </c>
      <c r="L58" s="6">
        <v>1.068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>
        <v>0.7</v>
      </c>
    </row>
    <row r="59" ht="14.25" spans="1:25">
      <c r="A59" s="5">
        <v>46113</v>
      </c>
      <c r="B59" s="6" t="s">
        <v>47</v>
      </c>
      <c r="C59" s="6" t="s">
        <v>6</v>
      </c>
      <c r="D59" s="6" t="s">
        <v>48</v>
      </c>
      <c r="E59" s="6" t="s">
        <v>60</v>
      </c>
      <c r="F59" s="6" t="s">
        <v>50</v>
      </c>
      <c r="G59" s="6">
        <v>400927</v>
      </c>
      <c r="H59" s="6">
        <v>1806</v>
      </c>
      <c r="I59" s="7">
        <v>59458400</v>
      </c>
      <c r="J59" s="7">
        <v>33362</v>
      </c>
      <c r="K59" s="8">
        <v>0.36</v>
      </c>
      <c r="L59" s="6">
        <v>1.068</v>
      </c>
      <c r="M59" s="7">
        <v>38628</v>
      </c>
      <c r="N59" s="7">
        <v>4931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>
        <v>0.7</v>
      </c>
    </row>
    <row r="60" ht="14.25" spans="1:25">
      <c r="A60" s="5">
        <v>46113</v>
      </c>
      <c r="B60" s="6" t="s">
        <v>47</v>
      </c>
      <c r="C60" s="6" t="s">
        <v>6</v>
      </c>
      <c r="D60" s="6" t="s">
        <v>48</v>
      </c>
      <c r="E60" s="6" t="s">
        <v>54</v>
      </c>
      <c r="F60" s="6" t="s">
        <v>50</v>
      </c>
      <c r="G60" s="6">
        <v>1597108</v>
      </c>
      <c r="H60" s="6">
        <v>14155</v>
      </c>
      <c r="I60" s="7">
        <v>483831700</v>
      </c>
      <c r="J60" s="7">
        <v>218099</v>
      </c>
      <c r="K60" s="8">
        <v>0.36</v>
      </c>
      <c r="L60" s="6">
        <v>1.068</v>
      </c>
      <c r="M60" s="7">
        <v>384855</v>
      </c>
      <c r="N60" s="7">
        <v>156139</v>
      </c>
      <c r="O60" s="6">
        <v>10</v>
      </c>
      <c r="P60" s="7">
        <v>38486</v>
      </c>
      <c r="Q60" s="7">
        <v>15614</v>
      </c>
      <c r="R60" s="7">
        <v>614773</v>
      </c>
      <c r="S60" s="7">
        <v>361948</v>
      </c>
      <c r="T60" s="7">
        <v>51231</v>
      </c>
      <c r="U60" s="7">
        <v>30162</v>
      </c>
      <c r="V60" s="8">
        <v>-0.374</v>
      </c>
      <c r="W60" s="8">
        <v>-0.2488</v>
      </c>
      <c r="X60" s="8">
        <v>-0.4823</v>
      </c>
      <c r="Y60">
        <v>0.7</v>
      </c>
    </row>
    <row r="61" ht="14.25" spans="1:25">
      <c r="A61" s="5">
        <v>46113</v>
      </c>
      <c r="B61" s="6" t="s">
        <v>47</v>
      </c>
      <c r="C61" s="6" t="s">
        <v>6</v>
      </c>
      <c r="D61" s="6" t="s">
        <v>48</v>
      </c>
      <c r="E61" s="6" t="s">
        <v>66</v>
      </c>
      <c r="F61" s="6" t="s">
        <v>50</v>
      </c>
      <c r="G61" s="6"/>
      <c r="H61" s="6"/>
      <c r="I61" s="6"/>
      <c r="J61" s="7">
        <v>0</v>
      </c>
      <c r="K61" s="8">
        <v>0.36</v>
      </c>
      <c r="L61" s="6">
        <v>1.068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>
        <v>0.7</v>
      </c>
    </row>
    <row r="62" ht="14.25" spans="1:25">
      <c r="A62" s="5">
        <v>46113</v>
      </c>
      <c r="B62" s="6" t="s">
        <v>47</v>
      </c>
      <c r="C62" s="6" t="s">
        <v>6</v>
      </c>
      <c r="D62" s="6" t="s">
        <v>48</v>
      </c>
      <c r="E62" s="6" t="s">
        <v>58</v>
      </c>
      <c r="F62" s="6" t="s">
        <v>50</v>
      </c>
      <c r="G62" s="6"/>
      <c r="H62" s="6"/>
      <c r="I62" s="6"/>
      <c r="J62" s="7">
        <v>0</v>
      </c>
      <c r="K62" s="8">
        <v>0.36</v>
      </c>
      <c r="L62" s="6">
        <v>1.068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>
        <v>0.7</v>
      </c>
    </row>
    <row r="63" ht="14.25" spans="1:25">
      <c r="A63" s="5">
        <v>46082</v>
      </c>
      <c r="B63" s="6" t="s">
        <v>47</v>
      </c>
      <c r="C63" s="6" t="s">
        <v>7</v>
      </c>
      <c r="D63" s="6" t="s">
        <v>48</v>
      </c>
      <c r="E63" s="6" t="s">
        <v>54</v>
      </c>
      <c r="F63" s="6" t="s">
        <v>50</v>
      </c>
      <c r="G63" s="6">
        <v>2538583</v>
      </c>
      <c r="H63" s="6">
        <v>6992</v>
      </c>
      <c r="I63" s="7">
        <v>116176800</v>
      </c>
      <c r="J63" s="7">
        <v>322159</v>
      </c>
      <c r="K63" s="8">
        <v>0.07</v>
      </c>
      <c r="L63" s="6">
        <v>1.068</v>
      </c>
      <c r="M63" s="7">
        <v>624824</v>
      </c>
      <c r="N63" s="7">
        <v>283394</v>
      </c>
      <c r="O63" s="6">
        <v>26</v>
      </c>
      <c r="P63" s="7">
        <v>24032</v>
      </c>
      <c r="Q63" s="7">
        <v>10900</v>
      </c>
      <c r="R63" s="7">
        <v>474192</v>
      </c>
      <c r="S63" s="7">
        <v>247302</v>
      </c>
      <c r="T63" s="7">
        <v>18238</v>
      </c>
      <c r="U63" s="7">
        <v>9512</v>
      </c>
      <c r="V63" s="8">
        <v>0.3177</v>
      </c>
      <c r="W63" s="8">
        <v>0.3177</v>
      </c>
      <c r="X63" s="8">
        <v>0.1459</v>
      </c>
      <c r="Y63">
        <v>0.7</v>
      </c>
    </row>
    <row r="64" ht="14.25" spans="1:25">
      <c r="A64" s="5">
        <v>46082</v>
      </c>
      <c r="B64" s="6" t="s">
        <v>47</v>
      </c>
      <c r="C64" s="6" t="s">
        <v>7</v>
      </c>
      <c r="D64" s="6" t="s">
        <v>48</v>
      </c>
      <c r="E64" s="6" t="s">
        <v>61</v>
      </c>
      <c r="F64" s="6" t="s">
        <v>50</v>
      </c>
      <c r="G64" s="6"/>
      <c r="H64" s="6"/>
      <c r="I64" s="6"/>
      <c r="J64" s="7">
        <v>6</v>
      </c>
      <c r="K64" s="8">
        <v>0.07</v>
      </c>
      <c r="L64" s="6">
        <v>1.068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>
        <v>0.7</v>
      </c>
    </row>
    <row r="65" ht="14.25" spans="1:25">
      <c r="A65" s="5">
        <v>46082</v>
      </c>
      <c r="B65" s="6" t="s">
        <v>47</v>
      </c>
      <c r="C65" s="6" t="s">
        <v>7</v>
      </c>
      <c r="D65" s="6" t="s">
        <v>48</v>
      </c>
      <c r="E65" s="6" t="s">
        <v>57</v>
      </c>
      <c r="F65" s="6" t="s">
        <v>50</v>
      </c>
      <c r="G65" s="6">
        <v>2067952</v>
      </c>
      <c r="H65" s="6">
        <v>6303</v>
      </c>
      <c r="I65" s="7">
        <v>97673200</v>
      </c>
      <c r="J65" s="7">
        <v>248131</v>
      </c>
      <c r="K65" s="8">
        <v>0.07</v>
      </c>
      <c r="L65" s="6">
        <v>1.068</v>
      </c>
      <c r="M65" s="7">
        <v>523903</v>
      </c>
      <c r="N65" s="7">
        <v>258213</v>
      </c>
      <c r="O65" s="6">
        <v>22</v>
      </c>
      <c r="P65" s="7">
        <v>23814</v>
      </c>
      <c r="Q65" s="7">
        <v>11737</v>
      </c>
      <c r="R65" s="7">
        <v>440231</v>
      </c>
      <c r="S65" s="7">
        <v>249418</v>
      </c>
      <c r="T65" s="7">
        <v>15180</v>
      </c>
      <c r="U65" s="7">
        <v>8601</v>
      </c>
      <c r="V65" s="8">
        <v>0.1901</v>
      </c>
      <c r="W65" s="8">
        <v>0.5687</v>
      </c>
      <c r="X65" s="8">
        <v>0.3647</v>
      </c>
      <c r="Y65">
        <v>0.7</v>
      </c>
    </row>
    <row r="66" ht="14.25" spans="1:25">
      <c r="A66" s="5">
        <v>46082</v>
      </c>
      <c r="B66" s="6" t="s">
        <v>47</v>
      </c>
      <c r="C66" s="6" t="s">
        <v>7</v>
      </c>
      <c r="D66" s="6" t="s">
        <v>48</v>
      </c>
      <c r="E66" s="6" t="s">
        <v>56</v>
      </c>
      <c r="F66" s="6" t="s">
        <v>50</v>
      </c>
      <c r="G66" s="6">
        <v>4490702</v>
      </c>
      <c r="H66" s="6">
        <v>14117</v>
      </c>
      <c r="I66" s="7">
        <v>269057100</v>
      </c>
      <c r="J66" s="7">
        <v>488765</v>
      </c>
      <c r="K66" s="8">
        <v>0.07</v>
      </c>
      <c r="L66" s="6">
        <v>1.068</v>
      </c>
      <c r="M66" s="7">
        <v>1454274</v>
      </c>
      <c r="N66" s="7">
        <v>904034</v>
      </c>
      <c r="O66" s="6">
        <v>49</v>
      </c>
      <c r="P66" s="7">
        <v>29679</v>
      </c>
      <c r="Q66" s="7">
        <v>18450</v>
      </c>
      <c r="R66" s="7">
        <v>899327</v>
      </c>
      <c r="S66" s="7">
        <v>530192</v>
      </c>
      <c r="T66" s="7">
        <v>18354</v>
      </c>
      <c r="U66" s="7">
        <v>10820</v>
      </c>
      <c r="V66" s="8">
        <v>0.6171</v>
      </c>
      <c r="W66" s="8">
        <v>0.6171</v>
      </c>
      <c r="X66" s="8">
        <v>0.7051</v>
      </c>
      <c r="Y66">
        <v>0.7</v>
      </c>
    </row>
    <row r="67" ht="14.25" spans="1:25">
      <c r="A67" s="5">
        <v>46082</v>
      </c>
      <c r="B67" s="6" t="s">
        <v>47</v>
      </c>
      <c r="C67" s="6" t="s">
        <v>7</v>
      </c>
      <c r="D67" s="6" t="s">
        <v>48</v>
      </c>
      <c r="E67" s="6" t="s">
        <v>55</v>
      </c>
      <c r="F67" s="6" t="s">
        <v>50</v>
      </c>
      <c r="G67" s="6"/>
      <c r="H67" s="6"/>
      <c r="I67" s="6"/>
      <c r="J67" s="7">
        <v>3</v>
      </c>
      <c r="K67" s="8">
        <v>0.07</v>
      </c>
      <c r="L67" s="6">
        <v>1.068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>
        <v>0.7</v>
      </c>
    </row>
    <row r="68" ht="14.25" spans="1:25">
      <c r="A68" s="5">
        <v>46082</v>
      </c>
      <c r="B68" s="6" t="s">
        <v>47</v>
      </c>
      <c r="C68" s="6" t="s">
        <v>7</v>
      </c>
      <c r="D68" s="6" t="s">
        <v>48</v>
      </c>
      <c r="E68" s="6" t="s">
        <v>58</v>
      </c>
      <c r="F68" s="6" t="s">
        <v>50</v>
      </c>
      <c r="G68" s="6"/>
      <c r="H68" s="6"/>
      <c r="I68" s="6"/>
      <c r="J68" s="7">
        <v>25</v>
      </c>
      <c r="K68" s="8">
        <v>0.07</v>
      </c>
      <c r="L68" s="6">
        <v>1.068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>
        <v>0.7</v>
      </c>
    </row>
    <row r="69" ht="14.25" spans="1:25">
      <c r="A69" s="5">
        <v>46082</v>
      </c>
      <c r="B69" s="6" t="s">
        <v>47</v>
      </c>
      <c r="C69" s="6" t="s">
        <v>7</v>
      </c>
      <c r="D69" s="6" t="s">
        <v>48</v>
      </c>
      <c r="E69" s="6" t="s">
        <v>68</v>
      </c>
      <c r="F69" s="6" t="s">
        <v>50</v>
      </c>
      <c r="G69" s="6"/>
      <c r="H69" s="6"/>
      <c r="I69" s="6"/>
      <c r="J69" s="7">
        <v>2</v>
      </c>
      <c r="K69" s="8">
        <v>0.07</v>
      </c>
      <c r="L69" s="6">
        <v>1.068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>
        <v>0.7</v>
      </c>
    </row>
    <row r="70" ht="14.25" spans="1:25">
      <c r="A70" s="5">
        <v>46082</v>
      </c>
      <c r="B70" s="6" t="s">
        <v>47</v>
      </c>
      <c r="C70" s="6" t="s">
        <v>7</v>
      </c>
      <c r="D70" s="6" t="s">
        <v>48</v>
      </c>
      <c r="E70" s="6" t="s">
        <v>51</v>
      </c>
      <c r="F70" s="6" t="s">
        <v>50</v>
      </c>
      <c r="G70" s="6">
        <v>11431889</v>
      </c>
      <c r="H70" s="6">
        <v>36796</v>
      </c>
      <c r="I70" s="7">
        <v>651917900</v>
      </c>
      <c r="J70" s="7">
        <v>1171970</v>
      </c>
      <c r="K70" s="8">
        <v>0.07</v>
      </c>
      <c r="L70" s="6">
        <v>1.068</v>
      </c>
      <c r="M70" s="7">
        <v>3538571</v>
      </c>
      <c r="N70" s="7">
        <v>2215918</v>
      </c>
      <c r="O70" s="6">
        <v>79</v>
      </c>
      <c r="P70" s="7">
        <v>44792</v>
      </c>
      <c r="Q70" s="7">
        <v>28050</v>
      </c>
      <c r="R70" s="7">
        <v>2636880</v>
      </c>
      <c r="S70" s="7">
        <v>1708224</v>
      </c>
      <c r="T70" s="7">
        <v>31770</v>
      </c>
      <c r="U70" s="7">
        <v>20581</v>
      </c>
      <c r="V70" s="8">
        <v>0.342</v>
      </c>
      <c r="W70" s="8">
        <v>0.4099</v>
      </c>
      <c r="X70" s="8">
        <v>0.3629</v>
      </c>
      <c r="Y70">
        <v>0.7</v>
      </c>
    </row>
    <row r="71" ht="14.25" spans="1:25">
      <c r="A71" s="5">
        <v>46082</v>
      </c>
      <c r="B71" s="6" t="s">
        <v>47</v>
      </c>
      <c r="C71" s="6" t="s">
        <v>7</v>
      </c>
      <c r="D71" s="6" t="s">
        <v>48</v>
      </c>
      <c r="E71" s="6" t="s">
        <v>62</v>
      </c>
      <c r="F71" s="6" t="s">
        <v>50</v>
      </c>
      <c r="G71" s="6"/>
      <c r="H71" s="6"/>
      <c r="I71" s="6"/>
      <c r="J71" s="7">
        <v>5</v>
      </c>
      <c r="K71" s="8">
        <v>0.07</v>
      </c>
      <c r="L71" s="6">
        <v>1.068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>
        <v>0.7</v>
      </c>
    </row>
    <row r="72" ht="14.25" spans="1:25">
      <c r="A72" s="5">
        <v>46082</v>
      </c>
      <c r="B72" s="6" t="s">
        <v>47</v>
      </c>
      <c r="C72" s="6" t="s">
        <v>7</v>
      </c>
      <c r="D72" s="6" t="s">
        <v>48</v>
      </c>
      <c r="E72" s="6" t="s">
        <v>49</v>
      </c>
      <c r="F72" s="6" t="s">
        <v>50</v>
      </c>
      <c r="G72" s="6">
        <v>2377809</v>
      </c>
      <c r="H72" s="6">
        <v>7463</v>
      </c>
      <c r="I72" s="7">
        <v>118973900</v>
      </c>
      <c r="J72" s="7">
        <v>270934</v>
      </c>
      <c r="K72" s="8">
        <v>0.07</v>
      </c>
      <c r="L72" s="6">
        <v>1.068</v>
      </c>
      <c r="M72" s="7">
        <v>637468</v>
      </c>
      <c r="N72" s="7">
        <v>343196</v>
      </c>
      <c r="O72" s="6">
        <v>29</v>
      </c>
      <c r="P72" s="7">
        <v>21982</v>
      </c>
      <c r="Q72" s="7">
        <v>11834</v>
      </c>
      <c r="R72" s="7">
        <v>461873</v>
      </c>
      <c r="S72" s="7">
        <v>252444</v>
      </c>
      <c r="T72" s="7">
        <v>13584</v>
      </c>
      <c r="U72" s="7">
        <v>7425</v>
      </c>
      <c r="V72" s="8">
        <v>0.3802</v>
      </c>
      <c r="W72" s="8">
        <v>0.6181</v>
      </c>
      <c r="X72" s="8">
        <v>0.5939</v>
      </c>
      <c r="Y72">
        <v>0.7</v>
      </c>
    </row>
    <row r="73" ht="14.25" spans="1:25">
      <c r="A73" s="5">
        <v>46082</v>
      </c>
      <c r="B73" s="6" t="s">
        <v>47</v>
      </c>
      <c r="C73" s="6" t="s">
        <v>7</v>
      </c>
      <c r="D73" s="6" t="s">
        <v>48</v>
      </c>
      <c r="E73" s="6" t="s">
        <v>63</v>
      </c>
      <c r="F73" s="6" t="s">
        <v>50</v>
      </c>
      <c r="G73" s="6"/>
      <c r="H73" s="6"/>
      <c r="I73" s="6"/>
      <c r="J73" s="7">
        <v>11</v>
      </c>
      <c r="K73" s="8">
        <v>0.07</v>
      </c>
      <c r="L73" s="6">
        <v>1.068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>
        <v>0.7</v>
      </c>
    </row>
    <row r="74" ht="14.25" spans="1:25">
      <c r="A74" s="5">
        <v>46082</v>
      </c>
      <c r="B74" s="6" t="s">
        <v>47</v>
      </c>
      <c r="C74" s="6" t="s">
        <v>7</v>
      </c>
      <c r="D74" s="6" t="s">
        <v>48</v>
      </c>
      <c r="E74" s="6" t="s">
        <v>59</v>
      </c>
      <c r="F74" s="6" t="s">
        <v>50</v>
      </c>
      <c r="G74" s="6"/>
      <c r="H74" s="6"/>
      <c r="I74" s="6"/>
      <c r="J74" s="7">
        <v>3</v>
      </c>
      <c r="K74" s="8">
        <v>0.07</v>
      </c>
      <c r="L74" s="6">
        <v>1.068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>
        <v>0.7</v>
      </c>
    </row>
    <row r="75" ht="14.25" spans="1:25">
      <c r="A75" s="5">
        <v>46082</v>
      </c>
      <c r="B75" s="6" t="s">
        <v>47</v>
      </c>
      <c r="C75" s="6" t="s">
        <v>7</v>
      </c>
      <c r="D75" s="6" t="s">
        <v>48</v>
      </c>
      <c r="E75" s="6" t="s">
        <v>64</v>
      </c>
      <c r="F75" s="6" t="s">
        <v>50</v>
      </c>
      <c r="G75" s="6"/>
      <c r="H75" s="6"/>
      <c r="I75" s="6"/>
      <c r="J75" s="7">
        <v>0</v>
      </c>
      <c r="K75" s="8">
        <v>0.07</v>
      </c>
      <c r="L75" s="6">
        <v>1.068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>
        <v>0.7</v>
      </c>
    </row>
    <row r="76" ht="14.25" spans="1:25">
      <c r="A76" s="5">
        <v>46082</v>
      </c>
      <c r="B76" s="6" t="s">
        <v>47</v>
      </c>
      <c r="C76" s="6" t="s">
        <v>7</v>
      </c>
      <c r="D76" s="6" t="s">
        <v>48</v>
      </c>
      <c r="E76" s="6" t="s">
        <v>53</v>
      </c>
      <c r="F76" s="6" t="s">
        <v>50</v>
      </c>
      <c r="G76" s="6">
        <v>2487539</v>
      </c>
      <c r="H76" s="6">
        <v>7715</v>
      </c>
      <c r="I76" s="7">
        <v>125628900</v>
      </c>
      <c r="J76" s="7">
        <v>275693</v>
      </c>
      <c r="K76" s="8">
        <v>0.07</v>
      </c>
      <c r="L76" s="6">
        <v>1.068</v>
      </c>
      <c r="M76" s="7">
        <v>677182</v>
      </c>
      <c r="N76" s="7">
        <v>375927</v>
      </c>
      <c r="O76" s="6">
        <v>29</v>
      </c>
      <c r="P76" s="7">
        <v>23351</v>
      </c>
      <c r="Q76" s="7">
        <v>12963</v>
      </c>
      <c r="R76" s="7">
        <v>514619</v>
      </c>
      <c r="S76" s="7">
        <v>315264</v>
      </c>
      <c r="T76" s="7">
        <v>17745</v>
      </c>
      <c r="U76" s="7">
        <v>10871</v>
      </c>
      <c r="V76" s="8">
        <v>0.3159</v>
      </c>
      <c r="W76" s="8">
        <v>0.3159</v>
      </c>
      <c r="X76" s="8">
        <v>0.1924</v>
      </c>
      <c r="Y76">
        <v>0.7</v>
      </c>
    </row>
    <row r="77" ht="14.25" spans="1:25">
      <c r="A77" s="5">
        <v>46082</v>
      </c>
      <c r="B77" s="6" t="s">
        <v>47</v>
      </c>
      <c r="C77" s="6" t="s">
        <v>6</v>
      </c>
      <c r="D77" s="6" t="s">
        <v>48</v>
      </c>
      <c r="E77" s="6" t="s">
        <v>51</v>
      </c>
      <c r="F77" s="6" t="s">
        <v>50</v>
      </c>
      <c r="G77" s="6">
        <v>2422401</v>
      </c>
      <c r="H77" s="6">
        <v>12800</v>
      </c>
      <c r="I77" s="7">
        <v>698872500</v>
      </c>
      <c r="J77" s="7">
        <v>208376</v>
      </c>
      <c r="K77" s="8">
        <v>0.36</v>
      </c>
      <c r="L77" s="6">
        <v>1.068</v>
      </c>
      <c r="M77" s="7">
        <v>805101</v>
      </c>
      <c r="N77" s="7">
        <v>558731</v>
      </c>
      <c r="O77" s="6">
        <v>12</v>
      </c>
      <c r="P77" s="7">
        <v>67092</v>
      </c>
      <c r="Q77" s="7">
        <v>46561</v>
      </c>
      <c r="R77" s="7">
        <v>521478</v>
      </c>
      <c r="S77" s="7">
        <v>384686</v>
      </c>
      <c r="T77" s="7">
        <v>40114</v>
      </c>
      <c r="U77" s="7">
        <v>29591</v>
      </c>
      <c r="V77" s="8">
        <v>0.5439</v>
      </c>
      <c r="W77" s="8">
        <v>0.6725</v>
      </c>
      <c r="X77" s="8">
        <v>0.5735</v>
      </c>
      <c r="Y77">
        <v>0.7</v>
      </c>
    </row>
    <row r="78" ht="14.25" spans="1:25">
      <c r="A78" s="5">
        <v>46082</v>
      </c>
      <c r="B78" s="6" t="s">
        <v>47</v>
      </c>
      <c r="C78" s="6" t="s">
        <v>6</v>
      </c>
      <c r="D78" s="6" t="s">
        <v>48</v>
      </c>
      <c r="E78" s="6" t="s">
        <v>54</v>
      </c>
      <c r="F78" s="6" t="s">
        <v>50</v>
      </c>
      <c r="G78" s="6">
        <v>1898555</v>
      </c>
      <c r="H78" s="6">
        <v>10480</v>
      </c>
      <c r="I78" s="7">
        <v>533657300</v>
      </c>
      <c r="J78" s="7">
        <v>228213</v>
      </c>
      <c r="K78" s="8">
        <v>0.36</v>
      </c>
      <c r="L78" s="6">
        <v>1.068</v>
      </c>
      <c r="M78" s="7">
        <v>614773</v>
      </c>
      <c r="N78" s="7">
        <v>361948</v>
      </c>
      <c r="O78" s="6">
        <v>12</v>
      </c>
      <c r="P78" s="7">
        <v>51231</v>
      </c>
      <c r="Q78" s="7">
        <v>30162</v>
      </c>
      <c r="R78" s="7">
        <v>404961</v>
      </c>
      <c r="S78" s="7">
        <v>264694</v>
      </c>
      <c r="T78" s="7">
        <v>33747</v>
      </c>
      <c r="U78" s="7">
        <v>22058</v>
      </c>
      <c r="V78" s="8">
        <v>0.5181</v>
      </c>
      <c r="W78" s="8">
        <v>0.5181</v>
      </c>
      <c r="X78" s="8">
        <v>0.3674</v>
      </c>
      <c r="Y78">
        <v>0.7</v>
      </c>
    </row>
    <row r="79" ht="14.25" spans="1:25">
      <c r="A79" s="5">
        <v>46054</v>
      </c>
      <c r="B79" s="6" t="s">
        <v>47</v>
      </c>
      <c r="C79" s="6" t="s">
        <v>7</v>
      </c>
      <c r="D79" s="6" t="s">
        <v>48</v>
      </c>
      <c r="E79" s="6" t="s">
        <v>62</v>
      </c>
      <c r="F79" s="6" t="s">
        <v>50</v>
      </c>
      <c r="G79" s="6"/>
      <c r="H79" s="6"/>
      <c r="I79" s="6"/>
      <c r="J79" s="7">
        <v>7</v>
      </c>
      <c r="K79" s="8">
        <v>0.07</v>
      </c>
      <c r="L79" s="6">
        <v>1.068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>
        <v>0.7</v>
      </c>
    </row>
    <row r="80" ht="14.25" spans="1:25">
      <c r="A80" s="5">
        <v>46054</v>
      </c>
      <c r="B80" s="6" t="s">
        <v>47</v>
      </c>
      <c r="C80" s="6" t="s">
        <v>7</v>
      </c>
      <c r="D80" s="6" t="s">
        <v>48</v>
      </c>
      <c r="E80" s="6" t="s">
        <v>56</v>
      </c>
      <c r="F80" s="6" t="s">
        <v>50</v>
      </c>
      <c r="G80" s="6">
        <v>2805719</v>
      </c>
      <c r="H80" s="6">
        <v>9502</v>
      </c>
      <c r="I80" s="7">
        <v>163371200</v>
      </c>
      <c r="J80" s="7">
        <v>333082</v>
      </c>
      <c r="K80" s="8">
        <v>0.07</v>
      </c>
      <c r="L80" s="6">
        <v>1.068</v>
      </c>
      <c r="M80" s="7">
        <v>899327</v>
      </c>
      <c r="N80" s="7">
        <v>530192</v>
      </c>
      <c r="O80" s="6">
        <v>49</v>
      </c>
      <c r="P80" s="7">
        <v>18354</v>
      </c>
      <c r="Q80" s="7">
        <v>10820</v>
      </c>
      <c r="R80" s="7">
        <v>1422467</v>
      </c>
      <c r="S80" s="7">
        <v>956117</v>
      </c>
      <c r="T80" s="7">
        <v>29030</v>
      </c>
      <c r="U80" s="7">
        <v>19513</v>
      </c>
      <c r="V80" s="8">
        <v>-0.3678</v>
      </c>
      <c r="W80" s="8">
        <v>-0.3678</v>
      </c>
      <c r="X80" s="8">
        <v>-0.4455</v>
      </c>
      <c r="Y80">
        <v>0.7</v>
      </c>
    </row>
    <row r="81" ht="14.25" spans="1:25">
      <c r="A81" s="5">
        <v>46054</v>
      </c>
      <c r="B81" s="6" t="s">
        <v>47</v>
      </c>
      <c r="C81" s="6" t="s">
        <v>7</v>
      </c>
      <c r="D81" s="6" t="s">
        <v>48</v>
      </c>
      <c r="E81" s="6" t="s">
        <v>55</v>
      </c>
      <c r="F81" s="6" t="s">
        <v>50</v>
      </c>
      <c r="G81" s="6"/>
      <c r="H81" s="6"/>
      <c r="I81" s="6"/>
      <c r="J81" s="7">
        <v>1</v>
      </c>
      <c r="K81" s="8">
        <v>0.07</v>
      </c>
      <c r="L81" s="6">
        <v>1.068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>
        <v>0.7</v>
      </c>
    </row>
    <row r="82" ht="14.25" spans="1:25">
      <c r="A82" s="5">
        <v>46054</v>
      </c>
      <c r="B82" s="6" t="s">
        <v>47</v>
      </c>
      <c r="C82" s="6" t="s">
        <v>7</v>
      </c>
      <c r="D82" s="6" t="s">
        <v>48</v>
      </c>
      <c r="E82" s="6" t="s">
        <v>53</v>
      </c>
      <c r="F82" s="6" t="s">
        <v>50</v>
      </c>
      <c r="G82" s="6">
        <v>1629177</v>
      </c>
      <c r="H82" s="6">
        <v>5382</v>
      </c>
      <c r="I82" s="7">
        <v>94785000</v>
      </c>
      <c r="J82" s="7">
        <v>177917</v>
      </c>
      <c r="K82" s="8">
        <v>0.07</v>
      </c>
      <c r="L82" s="6">
        <v>1.068</v>
      </c>
      <c r="M82" s="7">
        <v>514619</v>
      </c>
      <c r="N82" s="7">
        <v>315264</v>
      </c>
      <c r="O82" s="6">
        <v>29</v>
      </c>
      <c r="P82" s="7">
        <v>17745</v>
      </c>
      <c r="Q82" s="7">
        <v>10871</v>
      </c>
      <c r="R82" s="7">
        <v>703632</v>
      </c>
      <c r="S82" s="7">
        <v>460647</v>
      </c>
      <c r="T82" s="7">
        <v>21988</v>
      </c>
      <c r="U82" s="7">
        <v>14395</v>
      </c>
      <c r="V82" s="8">
        <v>-0.2686</v>
      </c>
      <c r="W82" s="8">
        <v>-0.193</v>
      </c>
      <c r="X82" s="8">
        <v>-0.2448</v>
      </c>
      <c r="Y82">
        <v>0.7</v>
      </c>
    </row>
    <row r="83" ht="14.25" spans="1:25">
      <c r="A83" s="5">
        <v>46054</v>
      </c>
      <c r="B83" s="6" t="s">
        <v>47</v>
      </c>
      <c r="C83" s="6" t="s">
        <v>7</v>
      </c>
      <c r="D83" s="6" t="s">
        <v>48</v>
      </c>
      <c r="E83" s="6" t="s">
        <v>67</v>
      </c>
      <c r="F83" s="6" t="s">
        <v>50</v>
      </c>
      <c r="G83" s="6"/>
      <c r="H83" s="6"/>
      <c r="I83" s="6"/>
      <c r="J83" s="7">
        <v>1</v>
      </c>
      <c r="K83" s="8">
        <v>0.07</v>
      </c>
      <c r="L83" s="6">
        <v>1.068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>
        <v>0.7</v>
      </c>
    </row>
    <row r="84" ht="14.25" spans="1:25">
      <c r="A84" s="5">
        <v>46054</v>
      </c>
      <c r="B84" s="6" t="s">
        <v>47</v>
      </c>
      <c r="C84" s="6" t="s">
        <v>7</v>
      </c>
      <c r="D84" s="6" t="s">
        <v>48</v>
      </c>
      <c r="E84" s="6" t="s">
        <v>57</v>
      </c>
      <c r="F84" s="6" t="s">
        <v>50</v>
      </c>
      <c r="G84" s="6">
        <v>1460836</v>
      </c>
      <c r="H84" s="6">
        <v>4708</v>
      </c>
      <c r="I84" s="7">
        <v>80363800</v>
      </c>
      <c r="J84" s="7">
        <v>173852</v>
      </c>
      <c r="K84" s="8">
        <v>0.07</v>
      </c>
      <c r="L84" s="6">
        <v>1.068</v>
      </c>
      <c r="M84" s="7">
        <v>440231</v>
      </c>
      <c r="N84" s="7">
        <v>249418</v>
      </c>
      <c r="O84" s="6">
        <v>29</v>
      </c>
      <c r="P84" s="7">
        <v>15180</v>
      </c>
      <c r="Q84" s="7">
        <v>8601</v>
      </c>
      <c r="R84" s="7">
        <v>646912</v>
      </c>
      <c r="S84" s="7">
        <v>387437</v>
      </c>
      <c r="T84" s="7">
        <v>28127</v>
      </c>
      <c r="U84" s="7">
        <v>16845</v>
      </c>
      <c r="V84" s="8">
        <v>-0.3195</v>
      </c>
      <c r="W84" s="8">
        <v>-0.4603</v>
      </c>
      <c r="X84" s="8">
        <v>-0.4894</v>
      </c>
      <c r="Y84">
        <v>0.7</v>
      </c>
    </row>
    <row r="85" ht="14.25" spans="1:25">
      <c r="A85" s="5">
        <v>46054</v>
      </c>
      <c r="B85" s="6" t="s">
        <v>47</v>
      </c>
      <c r="C85" s="6" t="s">
        <v>7</v>
      </c>
      <c r="D85" s="6" t="s">
        <v>48</v>
      </c>
      <c r="E85" s="6" t="s">
        <v>64</v>
      </c>
      <c r="F85" s="6" t="s">
        <v>50</v>
      </c>
      <c r="G85" s="6"/>
      <c r="H85" s="6"/>
      <c r="I85" s="6"/>
      <c r="J85" s="7">
        <v>4</v>
      </c>
      <c r="K85" s="8">
        <v>0.07</v>
      </c>
      <c r="L85" s="6">
        <v>1.068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>
        <v>0.7</v>
      </c>
    </row>
    <row r="86" ht="14.25" spans="1:25">
      <c r="A86" s="5">
        <v>46054</v>
      </c>
      <c r="B86" s="6" t="s">
        <v>47</v>
      </c>
      <c r="C86" s="6" t="s">
        <v>7</v>
      </c>
      <c r="D86" s="6" t="s">
        <v>48</v>
      </c>
      <c r="E86" s="6" t="s">
        <v>58</v>
      </c>
      <c r="F86" s="6" t="s">
        <v>50</v>
      </c>
      <c r="G86" s="6"/>
      <c r="H86" s="6"/>
      <c r="I86" s="6"/>
      <c r="J86" s="7">
        <v>3</v>
      </c>
      <c r="K86" s="8">
        <v>0.07</v>
      </c>
      <c r="L86" s="6">
        <v>1.068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>
        <v>0.7</v>
      </c>
    </row>
    <row r="87" ht="14.25" spans="1:25">
      <c r="A87" s="5">
        <v>46054</v>
      </c>
      <c r="B87" s="6" t="s">
        <v>47</v>
      </c>
      <c r="C87" s="6" t="s">
        <v>7</v>
      </c>
      <c r="D87" s="6" t="s">
        <v>48</v>
      </c>
      <c r="E87" s="6" t="s">
        <v>65</v>
      </c>
      <c r="F87" s="6" t="s">
        <v>50</v>
      </c>
      <c r="G87" s="6"/>
      <c r="H87" s="6"/>
      <c r="I87" s="6"/>
      <c r="J87" s="7">
        <v>1</v>
      </c>
      <c r="K87" s="8">
        <v>0.07</v>
      </c>
      <c r="L87" s="6">
        <v>1.068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>
        <v>0.7</v>
      </c>
    </row>
    <row r="88" ht="14.25" spans="1:25">
      <c r="A88" s="5">
        <v>46054</v>
      </c>
      <c r="B88" s="6" t="s">
        <v>47</v>
      </c>
      <c r="C88" s="6" t="s">
        <v>7</v>
      </c>
      <c r="D88" s="6" t="s">
        <v>48</v>
      </c>
      <c r="E88" s="6" t="s">
        <v>54</v>
      </c>
      <c r="F88" s="6" t="s">
        <v>50</v>
      </c>
      <c r="G88" s="6">
        <v>1689656</v>
      </c>
      <c r="H88" s="6">
        <v>5046</v>
      </c>
      <c r="I88" s="7">
        <v>86820600</v>
      </c>
      <c r="J88" s="7">
        <v>210074</v>
      </c>
      <c r="K88" s="8">
        <v>0.07</v>
      </c>
      <c r="L88" s="6">
        <v>1.068</v>
      </c>
      <c r="M88" s="7">
        <v>474192</v>
      </c>
      <c r="N88" s="7">
        <v>247302</v>
      </c>
      <c r="O88" s="6">
        <v>26</v>
      </c>
      <c r="P88" s="7">
        <v>18238</v>
      </c>
      <c r="Q88" s="7">
        <v>9512</v>
      </c>
      <c r="R88" s="7">
        <v>581592</v>
      </c>
      <c r="S88" s="7">
        <v>300035</v>
      </c>
      <c r="T88" s="7">
        <v>22369</v>
      </c>
      <c r="U88" s="7">
        <v>11540</v>
      </c>
      <c r="V88" s="8">
        <v>-0.1847</v>
      </c>
      <c r="W88" s="8">
        <v>-0.1847</v>
      </c>
      <c r="X88" s="8">
        <v>-0.1758</v>
      </c>
      <c r="Y88">
        <v>0.7</v>
      </c>
    </row>
    <row r="89" ht="14.25" spans="1:25">
      <c r="A89" s="5">
        <v>46054</v>
      </c>
      <c r="B89" s="6" t="s">
        <v>47</v>
      </c>
      <c r="C89" s="6" t="s">
        <v>7</v>
      </c>
      <c r="D89" s="6" t="s">
        <v>48</v>
      </c>
      <c r="E89" s="6" t="s">
        <v>63</v>
      </c>
      <c r="F89" s="6" t="s">
        <v>50</v>
      </c>
      <c r="G89" s="6"/>
      <c r="H89" s="6"/>
      <c r="I89" s="6"/>
      <c r="J89" s="7">
        <v>4</v>
      </c>
      <c r="K89" s="8">
        <v>0.07</v>
      </c>
      <c r="L89" s="6">
        <v>1.068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>
        <v>0.7</v>
      </c>
    </row>
    <row r="90" ht="14.25" spans="1:25">
      <c r="A90" s="5">
        <v>46054</v>
      </c>
      <c r="B90" s="6" t="s">
        <v>47</v>
      </c>
      <c r="C90" s="6" t="s">
        <v>7</v>
      </c>
      <c r="D90" s="6" t="s">
        <v>48</v>
      </c>
      <c r="E90" s="6" t="s">
        <v>51</v>
      </c>
      <c r="F90" s="6" t="s">
        <v>50</v>
      </c>
      <c r="G90" s="6">
        <v>7609280</v>
      </c>
      <c r="H90" s="6">
        <v>26505</v>
      </c>
      <c r="I90" s="7">
        <v>486979600</v>
      </c>
      <c r="J90" s="7">
        <v>812497</v>
      </c>
      <c r="K90" s="8">
        <v>0.07</v>
      </c>
      <c r="L90" s="6">
        <v>1.068</v>
      </c>
      <c r="M90" s="7">
        <v>2636880</v>
      </c>
      <c r="N90" s="7">
        <v>1708224</v>
      </c>
      <c r="O90" s="6">
        <v>83</v>
      </c>
      <c r="P90" s="7">
        <v>31770</v>
      </c>
      <c r="Q90" s="7">
        <v>20581</v>
      </c>
      <c r="R90" s="7">
        <v>4169398</v>
      </c>
      <c r="S90" s="7">
        <v>2899584</v>
      </c>
      <c r="T90" s="7">
        <v>51474</v>
      </c>
      <c r="U90" s="7">
        <v>35797</v>
      </c>
      <c r="V90" s="8">
        <v>-0.3676</v>
      </c>
      <c r="W90" s="8">
        <v>-0.3828</v>
      </c>
      <c r="X90" s="8">
        <v>-0.4251</v>
      </c>
      <c r="Y90">
        <v>0.7</v>
      </c>
    </row>
    <row r="91" ht="14.25" spans="1:25">
      <c r="A91" s="5">
        <v>46054</v>
      </c>
      <c r="B91" s="6" t="s">
        <v>47</v>
      </c>
      <c r="C91" s="6" t="s">
        <v>7</v>
      </c>
      <c r="D91" s="6" t="s">
        <v>48</v>
      </c>
      <c r="E91" s="6" t="s">
        <v>49</v>
      </c>
      <c r="F91" s="6" t="s">
        <v>50</v>
      </c>
      <c r="G91" s="6">
        <v>1707961</v>
      </c>
      <c r="H91" s="6">
        <v>5415</v>
      </c>
      <c r="I91" s="7">
        <v>85660400</v>
      </c>
      <c r="J91" s="7">
        <v>192263</v>
      </c>
      <c r="K91" s="8">
        <v>0.07</v>
      </c>
      <c r="L91" s="6">
        <v>1.068</v>
      </c>
      <c r="M91" s="7">
        <v>461873</v>
      </c>
      <c r="N91" s="7">
        <v>252444</v>
      </c>
      <c r="O91" s="6">
        <v>34</v>
      </c>
      <c r="P91" s="7">
        <v>13584</v>
      </c>
      <c r="Q91" s="7">
        <v>7425</v>
      </c>
      <c r="R91" s="7">
        <v>781279</v>
      </c>
      <c r="S91" s="7">
        <v>476915</v>
      </c>
      <c r="T91" s="7">
        <v>26043</v>
      </c>
      <c r="U91" s="7">
        <v>15897</v>
      </c>
      <c r="V91" s="8">
        <v>-0.4088</v>
      </c>
      <c r="W91" s="8">
        <v>-0.4784</v>
      </c>
      <c r="X91" s="8">
        <v>-0.5329</v>
      </c>
      <c r="Y91">
        <v>0.7</v>
      </c>
    </row>
    <row r="92" ht="14.25" spans="1:25">
      <c r="A92" s="5">
        <v>46054</v>
      </c>
      <c r="B92" s="6" t="s">
        <v>47</v>
      </c>
      <c r="C92" s="6" t="s">
        <v>6</v>
      </c>
      <c r="D92" s="6" t="s">
        <v>48</v>
      </c>
      <c r="E92" s="6" t="s">
        <v>51</v>
      </c>
      <c r="F92" s="6" t="s">
        <v>50</v>
      </c>
      <c r="G92" s="6">
        <v>1141113</v>
      </c>
      <c r="H92" s="6">
        <v>7859</v>
      </c>
      <c r="I92" s="7">
        <v>452672200</v>
      </c>
      <c r="J92" s="7">
        <v>110634</v>
      </c>
      <c r="K92" s="8">
        <v>0.36</v>
      </c>
      <c r="L92" s="6">
        <v>1.068</v>
      </c>
      <c r="M92" s="7">
        <v>521478</v>
      </c>
      <c r="N92" s="7">
        <v>384686</v>
      </c>
      <c r="O92" s="6">
        <v>13</v>
      </c>
      <c r="P92" s="7">
        <v>40114</v>
      </c>
      <c r="Q92" s="7">
        <v>29591</v>
      </c>
      <c r="R92" s="7">
        <v>771045</v>
      </c>
      <c r="S92" s="7">
        <v>547490</v>
      </c>
      <c r="T92" s="7">
        <v>59311</v>
      </c>
      <c r="U92" s="7">
        <v>42115</v>
      </c>
      <c r="V92" s="8">
        <v>-0.3237</v>
      </c>
      <c r="W92" s="8">
        <v>-0.3237</v>
      </c>
      <c r="X92" s="8">
        <v>-0.2974</v>
      </c>
      <c r="Y92">
        <v>0.7</v>
      </c>
    </row>
    <row r="93" ht="14.25" spans="1:25">
      <c r="A93" s="5">
        <v>46054</v>
      </c>
      <c r="B93" s="6" t="s">
        <v>47</v>
      </c>
      <c r="C93" s="6" t="s">
        <v>6</v>
      </c>
      <c r="D93" s="6" t="s">
        <v>48</v>
      </c>
      <c r="E93" s="6" t="s">
        <v>54</v>
      </c>
      <c r="F93" s="6" t="s">
        <v>50</v>
      </c>
      <c r="G93" s="6">
        <v>1041307</v>
      </c>
      <c r="H93" s="6">
        <v>6409</v>
      </c>
      <c r="I93" s="7">
        <v>351528700</v>
      </c>
      <c r="J93" s="7">
        <v>122268</v>
      </c>
      <c r="K93" s="8">
        <v>0.36</v>
      </c>
      <c r="L93" s="6">
        <v>1.068</v>
      </c>
      <c r="M93" s="7">
        <v>404961</v>
      </c>
      <c r="N93" s="7">
        <v>264694</v>
      </c>
      <c r="O93" s="6">
        <v>12</v>
      </c>
      <c r="P93" s="7">
        <v>33747</v>
      </c>
      <c r="Q93" s="7">
        <v>22058</v>
      </c>
      <c r="R93" s="7">
        <v>374583</v>
      </c>
      <c r="S93" s="7">
        <v>211092</v>
      </c>
      <c r="T93" s="7">
        <v>31215</v>
      </c>
      <c r="U93" s="7">
        <v>17591</v>
      </c>
      <c r="V93" s="8">
        <v>0.0811</v>
      </c>
      <c r="W93" s="8">
        <v>0.0811</v>
      </c>
      <c r="X93" s="8">
        <v>0.2539</v>
      </c>
      <c r="Y93">
        <v>0.7</v>
      </c>
    </row>
    <row r="94" ht="14.25" spans="1:25">
      <c r="A94" s="5">
        <v>46023</v>
      </c>
      <c r="B94" s="6" t="s">
        <v>47</v>
      </c>
      <c r="C94" s="6" t="s">
        <v>7</v>
      </c>
      <c r="D94" s="6" t="s">
        <v>48</v>
      </c>
      <c r="E94" s="6" t="s">
        <v>56</v>
      </c>
      <c r="F94" s="6" t="s">
        <v>50</v>
      </c>
      <c r="G94" s="6">
        <v>3781808</v>
      </c>
      <c r="H94" s="6">
        <v>12862</v>
      </c>
      <c r="I94" s="7">
        <v>262594900</v>
      </c>
      <c r="J94" s="7">
        <v>401334</v>
      </c>
      <c r="K94" s="8">
        <v>0.07</v>
      </c>
      <c r="L94" s="6">
        <v>1.068</v>
      </c>
      <c r="M94" s="7">
        <v>1422467</v>
      </c>
      <c r="N94" s="7">
        <v>956117</v>
      </c>
      <c r="O94" s="6">
        <v>49</v>
      </c>
      <c r="P94" s="7">
        <v>29030</v>
      </c>
      <c r="Q94" s="7">
        <v>19513</v>
      </c>
      <c r="R94" s="7">
        <v>1087956</v>
      </c>
      <c r="S94" s="7">
        <v>731445</v>
      </c>
      <c r="T94" s="6"/>
      <c r="U94" s="6"/>
      <c r="V94" s="8">
        <v>0.3075</v>
      </c>
      <c r="W94" s="6"/>
      <c r="X94" s="6"/>
      <c r="Y94">
        <v>0.7</v>
      </c>
    </row>
    <row r="95" ht="14.25" spans="1:25">
      <c r="A95" s="5">
        <v>46023</v>
      </c>
      <c r="B95" s="6" t="s">
        <v>47</v>
      </c>
      <c r="C95" s="6" t="s">
        <v>7</v>
      </c>
      <c r="D95" s="6" t="s">
        <v>48</v>
      </c>
      <c r="E95" s="6" t="s">
        <v>59</v>
      </c>
      <c r="F95" s="6" t="s">
        <v>50</v>
      </c>
      <c r="G95" s="6"/>
      <c r="H95" s="6"/>
      <c r="I95" s="6"/>
      <c r="J95" s="7">
        <v>4</v>
      </c>
      <c r="K95" s="8">
        <v>0.07</v>
      </c>
      <c r="L95" s="6">
        <v>1.068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>
        <v>0.7</v>
      </c>
    </row>
    <row r="96" ht="14.25" spans="1:25">
      <c r="A96" s="5">
        <v>46023</v>
      </c>
      <c r="B96" s="6" t="s">
        <v>47</v>
      </c>
      <c r="C96" s="6" t="s">
        <v>7</v>
      </c>
      <c r="D96" s="6" t="s">
        <v>48</v>
      </c>
      <c r="E96" s="6" t="s">
        <v>51</v>
      </c>
      <c r="F96" s="6" t="s">
        <v>50</v>
      </c>
      <c r="G96" s="6">
        <v>10262894</v>
      </c>
      <c r="H96" s="6">
        <v>34844</v>
      </c>
      <c r="I96" s="7">
        <v>768615100</v>
      </c>
      <c r="J96" s="7">
        <v>1072642</v>
      </c>
      <c r="K96" s="8">
        <v>0.07</v>
      </c>
      <c r="L96" s="6">
        <v>1.068</v>
      </c>
      <c r="M96" s="7">
        <v>4169398</v>
      </c>
      <c r="N96" s="7">
        <v>2899584</v>
      </c>
      <c r="O96" s="6">
        <v>81</v>
      </c>
      <c r="P96" s="7">
        <v>51474</v>
      </c>
      <c r="Q96" s="7">
        <v>35797</v>
      </c>
      <c r="R96" s="7">
        <v>3102415</v>
      </c>
      <c r="S96" s="7">
        <v>2101966</v>
      </c>
      <c r="T96" s="6"/>
      <c r="U96" s="6"/>
      <c r="V96" s="8">
        <v>0.3439</v>
      </c>
      <c r="W96" s="6"/>
      <c r="X96" s="6"/>
      <c r="Y96">
        <v>0.7</v>
      </c>
    </row>
    <row r="97" ht="14.25" spans="1:25">
      <c r="A97" s="5">
        <v>46023</v>
      </c>
      <c r="B97" s="6" t="s">
        <v>47</v>
      </c>
      <c r="C97" s="6" t="s">
        <v>7</v>
      </c>
      <c r="D97" s="6" t="s">
        <v>48</v>
      </c>
      <c r="E97" s="6" t="s">
        <v>64</v>
      </c>
      <c r="F97" s="6" t="s">
        <v>50</v>
      </c>
      <c r="G97" s="6"/>
      <c r="H97" s="6"/>
      <c r="I97" s="6"/>
      <c r="J97" s="7">
        <v>5</v>
      </c>
      <c r="K97" s="8">
        <v>0.07</v>
      </c>
      <c r="L97" s="6">
        <v>1.068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>
        <v>0.7</v>
      </c>
    </row>
    <row r="98" ht="14.25" spans="1:25">
      <c r="A98" s="5">
        <v>46023</v>
      </c>
      <c r="B98" s="6" t="s">
        <v>47</v>
      </c>
      <c r="C98" s="6" t="s">
        <v>7</v>
      </c>
      <c r="D98" s="6" t="s">
        <v>48</v>
      </c>
      <c r="E98" s="6" t="s">
        <v>67</v>
      </c>
      <c r="F98" s="6" t="s">
        <v>50</v>
      </c>
      <c r="G98" s="6"/>
      <c r="H98" s="6"/>
      <c r="I98" s="6"/>
      <c r="J98" s="7">
        <v>14</v>
      </c>
      <c r="K98" s="8">
        <v>0.07</v>
      </c>
      <c r="L98" s="6">
        <v>1.068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>
        <v>0.7</v>
      </c>
    </row>
    <row r="99" ht="14.25" spans="1:25">
      <c r="A99" s="5">
        <v>46023</v>
      </c>
      <c r="B99" s="6" t="s">
        <v>47</v>
      </c>
      <c r="C99" s="6" t="s">
        <v>7</v>
      </c>
      <c r="D99" s="6" t="s">
        <v>48</v>
      </c>
      <c r="E99" s="6" t="s">
        <v>66</v>
      </c>
      <c r="F99" s="6" t="s">
        <v>50</v>
      </c>
      <c r="G99" s="6"/>
      <c r="H99" s="6"/>
      <c r="I99" s="6"/>
      <c r="J99" s="7">
        <v>1</v>
      </c>
      <c r="K99" s="8">
        <v>0.07</v>
      </c>
      <c r="L99" s="6">
        <v>1.068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>
        <v>0.7</v>
      </c>
    </row>
    <row r="100" ht="14.25" spans="1:25">
      <c r="A100" s="5">
        <v>46023</v>
      </c>
      <c r="B100" s="6" t="s">
        <v>47</v>
      </c>
      <c r="C100" s="6" t="s">
        <v>7</v>
      </c>
      <c r="D100" s="6" t="s">
        <v>48</v>
      </c>
      <c r="E100" s="6" t="s">
        <v>61</v>
      </c>
      <c r="F100" s="6" t="s">
        <v>50</v>
      </c>
      <c r="G100" s="6"/>
      <c r="H100" s="6"/>
      <c r="I100" s="6"/>
      <c r="J100" s="7">
        <v>3</v>
      </c>
      <c r="K100" s="8">
        <v>0.07</v>
      </c>
      <c r="L100" s="6">
        <v>1.068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>
        <v>0.7</v>
      </c>
    </row>
    <row r="101" ht="14.25" spans="1:25">
      <c r="A101" s="5">
        <v>46023</v>
      </c>
      <c r="B101" s="6" t="s">
        <v>47</v>
      </c>
      <c r="C101" s="6" t="s">
        <v>7</v>
      </c>
      <c r="D101" s="6" t="s">
        <v>48</v>
      </c>
      <c r="E101" s="6" t="s">
        <v>58</v>
      </c>
      <c r="F101" s="6" t="s">
        <v>50</v>
      </c>
      <c r="G101" s="6"/>
      <c r="H101" s="6"/>
      <c r="I101" s="6"/>
      <c r="J101" s="7">
        <v>10</v>
      </c>
      <c r="K101" s="8">
        <v>0.07</v>
      </c>
      <c r="L101" s="6">
        <v>1.068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>
        <v>0.7</v>
      </c>
    </row>
    <row r="102" ht="14.25" spans="1:25">
      <c r="A102" s="5">
        <v>46023</v>
      </c>
      <c r="B102" s="6" t="s">
        <v>47</v>
      </c>
      <c r="C102" s="6" t="s">
        <v>7</v>
      </c>
      <c r="D102" s="6" t="s">
        <v>48</v>
      </c>
      <c r="E102" s="6" t="s">
        <v>54</v>
      </c>
      <c r="F102" s="6" t="s">
        <v>50</v>
      </c>
      <c r="G102" s="6">
        <v>2278892</v>
      </c>
      <c r="H102" s="6">
        <v>6405</v>
      </c>
      <c r="I102" s="7">
        <v>107764500</v>
      </c>
      <c r="J102" s="7">
        <v>261155</v>
      </c>
      <c r="K102" s="8">
        <v>0.07</v>
      </c>
      <c r="L102" s="6">
        <v>1.068</v>
      </c>
      <c r="M102" s="7">
        <v>581592</v>
      </c>
      <c r="N102" s="7">
        <v>300035</v>
      </c>
      <c r="O102" s="6">
        <v>26</v>
      </c>
      <c r="P102" s="7">
        <v>22369</v>
      </c>
      <c r="Q102" s="7">
        <v>11540</v>
      </c>
      <c r="R102" s="7">
        <v>592297</v>
      </c>
      <c r="S102" s="7">
        <v>347008</v>
      </c>
      <c r="T102" s="6"/>
      <c r="U102" s="6"/>
      <c r="V102" s="8">
        <v>-0.0181</v>
      </c>
      <c r="W102" s="6"/>
      <c r="X102" s="6"/>
      <c r="Y102">
        <v>0.7</v>
      </c>
    </row>
    <row r="103" ht="14.25" spans="1:25">
      <c r="A103" s="5">
        <v>46023</v>
      </c>
      <c r="B103" s="6" t="s">
        <v>47</v>
      </c>
      <c r="C103" s="6" t="s">
        <v>7</v>
      </c>
      <c r="D103" s="6" t="s">
        <v>48</v>
      </c>
      <c r="E103" s="6" t="s">
        <v>49</v>
      </c>
      <c r="F103" s="6" t="s">
        <v>50</v>
      </c>
      <c r="G103" s="6">
        <v>2513420</v>
      </c>
      <c r="H103" s="6">
        <v>7945</v>
      </c>
      <c r="I103" s="7">
        <v>144302700</v>
      </c>
      <c r="J103" s="7">
        <v>271934</v>
      </c>
      <c r="K103" s="8">
        <v>0.07</v>
      </c>
      <c r="L103" s="6">
        <v>1.068</v>
      </c>
      <c r="M103" s="7">
        <v>781279</v>
      </c>
      <c r="N103" s="7">
        <v>476915</v>
      </c>
      <c r="O103" s="6">
        <v>30</v>
      </c>
      <c r="P103" s="7">
        <v>26043</v>
      </c>
      <c r="Q103" s="7">
        <v>15897</v>
      </c>
      <c r="R103" s="7">
        <v>562995</v>
      </c>
      <c r="S103" s="7">
        <v>342288</v>
      </c>
      <c r="T103" s="6"/>
      <c r="U103" s="6"/>
      <c r="V103" s="8">
        <v>0.3877</v>
      </c>
      <c r="W103" s="6"/>
      <c r="X103" s="6"/>
      <c r="Y103">
        <v>0.7</v>
      </c>
    </row>
    <row r="104" ht="14.25" spans="1:25">
      <c r="A104" s="5">
        <v>46023</v>
      </c>
      <c r="B104" s="6" t="s">
        <v>47</v>
      </c>
      <c r="C104" s="6" t="s">
        <v>7</v>
      </c>
      <c r="D104" s="6" t="s">
        <v>48</v>
      </c>
      <c r="E104" s="6" t="s">
        <v>55</v>
      </c>
      <c r="F104" s="6" t="s">
        <v>50</v>
      </c>
      <c r="G104" s="6"/>
      <c r="H104" s="6"/>
      <c r="I104" s="6"/>
      <c r="J104" s="7">
        <v>2</v>
      </c>
      <c r="K104" s="8">
        <v>0.07</v>
      </c>
      <c r="L104" s="6">
        <v>1.068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>
        <v>0.7</v>
      </c>
    </row>
    <row r="105" ht="14.25" spans="1:25">
      <c r="A105" s="5">
        <v>46023</v>
      </c>
      <c r="B105" s="6" t="s">
        <v>47</v>
      </c>
      <c r="C105" s="6" t="s">
        <v>7</v>
      </c>
      <c r="D105" s="6" t="s">
        <v>48</v>
      </c>
      <c r="E105" s="6" t="s">
        <v>53</v>
      </c>
      <c r="F105" s="6" t="s">
        <v>50</v>
      </c>
      <c r="G105" s="6">
        <v>1948705</v>
      </c>
      <c r="H105" s="6">
        <v>6662</v>
      </c>
      <c r="I105" s="7">
        <v>131905400</v>
      </c>
      <c r="J105" s="7">
        <v>211660</v>
      </c>
      <c r="K105" s="8">
        <v>0.07</v>
      </c>
      <c r="L105" s="6">
        <v>1.068</v>
      </c>
      <c r="M105" s="7">
        <v>703632</v>
      </c>
      <c r="N105" s="7">
        <v>460647</v>
      </c>
      <c r="O105" s="6">
        <v>32</v>
      </c>
      <c r="P105" s="7">
        <v>21988</v>
      </c>
      <c r="Q105" s="7">
        <v>14395</v>
      </c>
      <c r="R105" s="7">
        <v>554755</v>
      </c>
      <c r="S105" s="7">
        <v>358491</v>
      </c>
      <c r="T105" s="6"/>
      <c r="U105" s="6"/>
      <c r="V105" s="8">
        <v>0.2684</v>
      </c>
      <c r="W105" s="6"/>
      <c r="X105" s="6"/>
      <c r="Y105">
        <v>0.7</v>
      </c>
    </row>
    <row r="106" ht="14.25" spans="1:25">
      <c r="A106" s="5">
        <v>46023</v>
      </c>
      <c r="B106" s="6" t="s">
        <v>47</v>
      </c>
      <c r="C106" s="6" t="s">
        <v>7</v>
      </c>
      <c r="D106" s="6" t="s">
        <v>48</v>
      </c>
      <c r="E106" s="6" t="s">
        <v>62</v>
      </c>
      <c r="F106" s="6" t="s">
        <v>50</v>
      </c>
      <c r="G106" s="6"/>
      <c r="H106" s="6"/>
      <c r="I106" s="6"/>
      <c r="J106" s="7">
        <v>1</v>
      </c>
      <c r="K106" s="8">
        <v>0.07</v>
      </c>
      <c r="L106" s="6">
        <v>1.068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>
        <v>0.7</v>
      </c>
    </row>
    <row r="107" ht="14.25" spans="1:25">
      <c r="A107" s="5">
        <v>46023</v>
      </c>
      <c r="B107" s="6" t="s">
        <v>47</v>
      </c>
      <c r="C107" s="6" t="s">
        <v>7</v>
      </c>
      <c r="D107" s="6" t="s">
        <v>48</v>
      </c>
      <c r="E107" s="6" t="s">
        <v>57</v>
      </c>
      <c r="F107" s="6" t="s">
        <v>50</v>
      </c>
      <c r="G107" s="6">
        <v>2011172</v>
      </c>
      <c r="H107" s="6">
        <v>6569</v>
      </c>
      <c r="I107" s="7">
        <v>120954300</v>
      </c>
      <c r="J107" s="7">
        <v>233130</v>
      </c>
      <c r="K107" s="8">
        <v>0.07</v>
      </c>
      <c r="L107" s="6">
        <v>1.068</v>
      </c>
      <c r="M107" s="7">
        <v>646912</v>
      </c>
      <c r="N107" s="7">
        <v>387437</v>
      </c>
      <c r="O107" s="6">
        <v>23</v>
      </c>
      <c r="P107" s="7">
        <v>28127</v>
      </c>
      <c r="Q107" s="7">
        <v>16845</v>
      </c>
      <c r="R107" s="7">
        <v>455865</v>
      </c>
      <c r="S107" s="7">
        <v>287689</v>
      </c>
      <c r="T107" s="6"/>
      <c r="U107" s="6"/>
      <c r="V107" s="8">
        <v>0.4191</v>
      </c>
      <c r="W107" s="6"/>
      <c r="X107" s="6"/>
      <c r="Y107">
        <v>0.7</v>
      </c>
    </row>
    <row r="108" ht="14.25" spans="1:25">
      <c r="A108" s="5">
        <v>46023</v>
      </c>
      <c r="B108" s="6" t="s">
        <v>47</v>
      </c>
      <c r="C108" s="6" t="s">
        <v>7</v>
      </c>
      <c r="D108" s="6" t="s">
        <v>48</v>
      </c>
      <c r="E108" s="6" t="s">
        <v>63</v>
      </c>
      <c r="F108" s="6" t="s">
        <v>50</v>
      </c>
      <c r="G108" s="6"/>
      <c r="H108" s="6"/>
      <c r="I108" s="6"/>
      <c r="J108" s="7">
        <v>27</v>
      </c>
      <c r="K108" s="8">
        <v>0.07</v>
      </c>
      <c r="L108" s="6">
        <v>1.068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>
        <v>0.7</v>
      </c>
    </row>
    <row r="109" ht="14.25" spans="1:25">
      <c r="A109" s="5">
        <v>46023</v>
      </c>
      <c r="B109" s="6" t="s">
        <v>47</v>
      </c>
      <c r="C109" s="6" t="s">
        <v>6</v>
      </c>
      <c r="D109" s="6" t="s">
        <v>48</v>
      </c>
      <c r="E109" s="6" t="s">
        <v>54</v>
      </c>
      <c r="F109" s="6" t="s">
        <v>50</v>
      </c>
      <c r="G109" s="6">
        <v>1226730</v>
      </c>
      <c r="H109" s="6">
        <v>6912</v>
      </c>
      <c r="I109" s="7">
        <v>325158800</v>
      </c>
      <c r="J109" s="7">
        <v>149137</v>
      </c>
      <c r="K109" s="8">
        <v>0.36</v>
      </c>
      <c r="L109" s="6">
        <v>1.068</v>
      </c>
      <c r="M109" s="7">
        <v>374583</v>
      </c>
      <c r="N109" s="7">
        <v>211092</v>
      </c>
      <c r="O109" s="6">
        <v>12</v>
      </c>
      <c r="P109" s="7">
        <v>31215</v>
      </c>
      <c r="Q109" s="7">
        <v>17591</v>
      </c>
      <c r="R109" s="7">
        <v>190140</v>
      </c>
      <c r="S109" s="7">
        <v>103466</v>
      </c>
      <c r="T109" s="6"/>
      <c r="U109" s="6"/>
      <c r="V109" s="8">
        <v>0.97</v>
      </c>
      <c r="W109" s="6"/>
      <c r="X109" s="6"/>
      <c r="Y109">
        <v>0.7</v>
      </c>
    </row>
    <row r="110" ht="14.25" spans="1:25">
      <c r="A110" s="5">
        <v>46023</v>
      </c>
      <c r="B110" s="6" t="s">
        <v>47</v>
      </c>
      <c r="C110" s="6" t="s">
        <v>6</v>
      </c>
      <c r="D110" s="6" t="s">
        <v>48</v>
      </c>
      <c r="E110" s="6" t="s">
        <v>51</v>
      </c>
      <c r="F110" s="6" t="s">
        <v>50</v>
      </c>
      <c r="G110" s="6">
        <v>1917233</v>
      </c>
      <c r="H110" s="6">
        <v>13579</v>
      </c>
      <c r="I110" s="7">
        <v>669310200</v>
      </c>
      <c r="J110" s="7">
        <v>186327</v>
      </c>
      <c r="K110" s="8">
        <v>0.36</v>
      </c>
      <c r="L110" s="6">
        <v>1.068</v>
      </c>
      <c r="M110" s="7">
        <v>771045</v>
      </c>
      <c r="N110" s="7">
        <v>547490</v>
      </c>
      <c r="O110" s="6">
        <v>13</v>
      </c>
      <c r="P110" s="7">
        <v>59311</v>
      </c>
      <c r="Q110" s="7">
        <v>42115</v>
      </c>
      <c r="R110" s="7">
        <v>666176</v>
      </c>
      <c r="S110" s="7">
        <v>397023</v>
      </c>
      <c r="T110" s="6"/>
      <c r="U110" s="6"/>
      <c r="V110" s="8">
        <v>0.1574</v>
      </c>
      <c r="W110" s="6"/>
      <c r="X110" s="6"/>
      <c r="Y110">
        <v>0.7</v>
      </c>
    </row>
    <row r="111" ht="14.25" spans="1:25">
      <c r="A111" s="5">
        <v>46023</v>
      </c>
      <c r="B111" s="6" t="s">
        <v>47</v>
      </c>
      <c r="C111" s="6" t="s">
        <v>6</v>
      </c>
      <c r="D111" s="6" t="s">
        <v>48</v>
      </c>
      <c r="E111" s="6" t="s">
        <v>69</v>
      </c>
      <c r="F111" s="6" t="s">
        <v>50</v>
      </c>
      <c r="G111" s="6">
        <v>133138</v>
      </c>
      <c r="H111" s="6">
        <v>2032</v>
      </c>
      <c r="I111" s="7">
        <v>81377200</v>
      </c>
      <c r="J111" s="7">
        <v>15711</v>
      </c>
      <c r="K111" s="8">
        <v>0.36</v>
      </c>
      <c r="L111" s="6">
        <v>1.068</v>
      </c>
      <c r="M111" s="7">
        <v>93747</v>
      </c>
      <c r="N111" s="7">
        <v>73067</v>
      </c>
      <c r="O111" s="6">
        <v>0</v>
      </c>
      <c r="P111" s="6"/>
      <c r="Q111" s="6"/>
      <c r="R111" s="7">
        <v>257543</v>
      </c>
      <c r="S111" s="7">
        <v>149593</v>
      </c>
      <c r="T111" s="6"/>
      <c r="U111" s="6"/>
      <c r="V111" s="8">
        <v>-0.636</v>
      </c>
      <c r="W111" s="6"/>
      <c r="X111" s="6"/>
      <c r="Y111">
        <v>0.7</v>
      </c>
    </row>
    <row r="112" ht="14.25" spans="1:25">
      <c r="A112" s="5">
        <v>45992</v>
      </c>
      <c r="B112" s="6" t="s">
        <v>47</v>
      </c>
      <c r="C112" s="6" t="s">
        <v>7</v>
      </c>
      <c r="D112" s="6" t="s">
        <v>48</v>
      </c>
      <c r="E112" s="6" t="s">
        <v>51</v>
      </c>
      <c r="F112" s="6" t="s">
        <v>50</v>
      </c>
      <c r="G112" s="6">
        <v>8089614</v>
      </c>
      <c r="H112" s="6">
        <v>28195</v>
      </c>
      <c r="I112" s="7">
        <v>500741300</v>
      </c>
      <c r="J112" s="7">
        <v>857516</v>
      </c>
      <c r="K112" s="8">
        <v>0.07</v>
      </c>
      <c r="L112" s="6">
        <v>1.068</v>
      </c>
      <c r="M112" s="7">
        <v>3102415</v>
      </c>
      <c r="N112" s="7">
        <v>2101966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>
        <v>0.7</v>
      </c>
    </row>
    <row r="113" ht="14.25" spans="1:25">
      <c r="A113" s="5">
        <v>45992</v>
      </c>
      <c r="B113" s="6" t="s">
        <v>47</v>
      </c>
      <c r="C113" s="6" t="s">
        <v>7</v>
      </c>
      <c r="D113" s="6" t="s">
        <v>48</v>
      </c>
      <c r="E113" s="6" t="s">
        <v>67</v>
      </c>
      <c r="F113" s="6" t="s">
        <v>50</v>
      </c>
      <c r="G113" s="6"/>
      <c r="H113" s="6"/>
      <c r="I113" s="6"/>
      <c r="J113" s="7">
        <v>0</v>
      </c>
      <c r="K113" s="8">
        <v>0.07</v>
      </c>
      <c r="L113" s="6">
        <v>1.068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>
        <v>0.7</v>
      </c>
    </row>
    <row r="114" ht="14.25" spans="1:25">
      <c r="A114" s="5">
        <v>45992</v>
      </c>
      <c r="B114" s="6" t="s">
        <v>47</v>
      </c>
      <c r="C114" s="6" t="s">
        <v>7</v>
      </c>
      <c r="D114" s="6" t="s">
        <v>48</v>
      </c>
      <c r="E114" s="6" t="s">
        <v>56</v>
      </c>
      <c r="F114" s="6" t="s">
        <v>50</v>
      </c>
      <c r="G114" s="6">
        <v>2981407</v>
      </c>
      <c r="H114" s="6">
        <v>10029</v>
      </c>
      <c r="I114" s="7">
        <v>174547100</v>
      </c>
      <c r="J114" s="7">
        <v>306773</v>
      </c>
      <c r="K114" s="8">
        <v>0.07</v>
      </c>
      <c r="L114" s="6">
        <v>1.068</v>
      </c>
      <c r="M114" s="7">
        <v>1087956</v>
      </c>
      <c r="N114" s="7">
        <v>731445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>
        <v>0.7</v>
      </c>
    </row>
    <row r="115" ht="14.25" spans="1:25">
      <c r="A115" s="5">
        <v>45992</v>
      </c>
      <c r="B115" s="6" t="s">
        <v>47</v>
      </c>
      <c r="C115" s="6" t="s">
        <v>7</v>
      </c>
      <c r="D115" s="6" t="s">
        <v>48</v>
      </c>
      <c r="E115" s="6" t="s">
        <v>57</v>
      </c>
      <c r="F115" s="6" t="s">
        <v>50</v>
      </c>
      <c r="G115" s="6">
        <v>1343102</v>
      </c>
      <c r="H115" s="6">
        <v>4569</v>
      </c>
      <c r="I115" s="7">
        <v>74540300</v>
      </c>
      <c r="J115" s="7">
        <v>148613</v>
      </c>
      <c r="K115" s="8">
        <v>0.07</v>
      </c>
      <c r="L115" s="6">
        <v>1.068</v>
      </c>
      <c r="M115" s="7">
        <v>455865</v>
      </c>
      <c r="N115" s="7">
        <v>287689</v>
      </c>
      <c r="O115" s="6"/>
      <c r="P115" s="6"/>
      <c r="Q115" s="5"/>
      <c r="R115" s="6"/>
      <c r="S115" s="6"/>
      <c r="T115" s="6"/>
      <c r="U115" s="6"/>
      <c r="V115" s="6"/>
      <c r="W115" s="6"/>
      <c r="X115" s="6"/>
      <c r="Y115">
        <v>0.7</v>
      </c>
    </row>
    <row r="116" ht="14.25" spans="1:25">
      <c r="A116" s="5">
        <v>45992</v>
      </c>
      <c r="B116" s="6" t="s">
        <v>47</v>
      </c>
      <c r="C116" s="6" t="s">
        <v>7</v>
      </c>
      <c r="D116" s="6" t="s">
        <v>48</v>
      </c>
      <c r="E116" s="6" t="s">
        <v>54</v>
      </c>
      <c r="F116" s="6" t="s">
        <v>50</v>
      </c>
      <c r="G116" s="6">
        <v>1941415</v>
      </c>
      <c r="H116" s="6">
        <v>6177</v>
      </c>
      <c r="I116" s="7">
        <v>95096000</v>
      </c>
      <c r="J116" s="7">
        <v>221692</v>
      </c>
      <c r="K116" s="8">
        <v>0.07</v>
      </c>
      <c r="L116" s="6">
        <v>1.068</v>
      </c>
      <c r="M116" s="7">
        <v>592297</v>
      </c>
      <c r="N116" s="7">
        <v>347008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>
        <v>0.7</v>
      </c>
    </row>
    <row r="117" ht="14.25" spans="1:25">
      <c r="A117" s="5">
        <v>45992</v>
      </c>
      <c r="B117" s="6" t="s">
        <v>47</v>
      </c>
      <c r="C117" s="6" t="s">
        <v>7</v>
      </c>
      <c r="D117" s="6" t="s">
        <v>48</v>
      </c>
      <c r="E117" s="6" t="s">
        <v>53</v>
      </c>
      <c r="F117" s="6" t="s">
        <v>50</v>
      </c>
      <c r="G117" s="6">
        <v>1572247</v>
      </c>
      <c r="H117" s="6">
        <v>5317</v>
      </c>
      <c r="I117" s="7">
        <v>92059900</v>
      </c>
      <c r="J117" s="7">
        <v>171887</v>
      </c>
      <c r="K117" s="8">
        <v>0.07</v>
      </c>
      <c r="L117" s="6">
        <v>1.068</v>
      </c>
      <c r="M117" s="7">
        <v>554755</v>
      </c>
      <c r="N117" s="7">
        <v>358491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>
        <v>0.7</v>
      </c>
    </row>
    <row r="118" ht="14.25" spans="1:25">
      <c r="A118" s="5">
        <v>45992</v>
      </c>
      <c r="B118" s="6" t="s">
        <v>47</v>
      </c>
      <c r="C118" s="6" t="s">
        <v>7</v>
      </c>
      <c r="D118" s="6" t="s">
        <v>48</v>
      </c>
      <c r="E118" s="6" t="s">
        <v>49</v>
      </c>
      <c r="F118" s="6" t="s">
        <v>50</v>
      </c>
      <c r="G118" s="6">
        <v>2038874</v>
      </c>
      <c r="H118" s="6">
        <v>6006</v>
      </c>
      <c r="I118" s="7">
        <v>92456600</v>
      </c>
      <c r="J118" s="7">
        <v>197432</v>
      </c>
      <c r="K118" s="8">
        <v>0.07</v>
      </c>
      <c r="L118" s="6">
        <v>1.068</v>
      </c>
      <c r="M118" s="7">
        <v>562995</v>
      </c>
      <c r="N118" s="7">
        <v>342288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>
        <v>0.7</v>
      </c>
    </row>
    <row r="119" ht="14.25" spans="1:25">
      <c r="A119" s="5">
        <v>45992</v>
      </c>
      <c r="B119" s="6" t="s">
        <v>47</v>
      </c>
      <c r="C119" s="6" t="s">
        <v>6</v>
      </c>
      <c r="D119" s="6" t="s">
        <v>48</v>
      </c>
      <c r="E119" s="6" t="s">
        <v>61</v>
      </c>
      <c r="F119" s="6" t="s">
        <v>50</v>
      </c>
      <c r="G119" s="6"/>
      <c r="H119" s="6"/>
      <c r="I119" s="6"/>
      <c r="J119" s="7">
        <v>0</v>
      </c>
      <c r="K119" s="8">
        <v>0.36</v>
      </c>
      <c r="L119" s="6">
        <v>1.068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>
        <v>0.7</v>
      </c>
    </row>
    <row r="120" ht="14.25" spans="1:25">
      <c r="A120" s="5">
        <v>45992</v>
      </c>
      <c r="B120" s="6" t="s">
        <v>47</v>
      </c>
      <c r="C120" s="6" t="s">
        <v>6</v>
      </c>
      <c r="D120" s="6" t="s">
        <v>48</v>
      </c>
      <c r="E120" s="6" t="s">
        <v>51</v>
      </c>
      <c r="F120" s="6" t="s">
        <v>50</v>
      </c>
      <c r="G120" s="6">
        <v>3118729</v>
      </c>
      <c r="H120" s="6">
        <v>13855</v>
      </c>
      <c r="I120" s="7">
        <v>584973900</v>
      </c>
      <c r="J120" s="7">
        <v>242156</v>
      </c>
      <c r="K120" s="8">
        <v>0.36</v>
      </c>
      <c r="L120" s="6">
        <v>1.068</v>
      </c>
      <c r="M120" s="7">
        <v>666176</v>
      </c>
      <c r="N120" s="7">
        <v>397023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>
        <v>0.7</v>
      </c>
    </row>
    <row r="121" ht="14.25" spans="1:25">
      <c r="A121" s="5">
        <v>45992</v>
      </c>
      <c r="B121" s="6" t="s">
        <v>47</v>
      </c>
      <c r="C121" s="6" t="s">
        <v>6</v>
      </c>
      <c r="D121" s="6" t="s">
        <v>48</v>
      </c>
      <c r="E121" s="6" t="s">
        <v>55</v>
      </c>
      <c r="F121" s="6" t="s">
        <v>50</v>
      </c>
      <c r="G121" s="6"/>
      <c r="H121" s="6"/>
      <c r="I121" s="6"/>
      <c r="J121" s="7">
        <v>0</v>
      </c>
      <c r="K121" s="8">
        <v>0.36</v>
      </c>
      <c r="L121" s="6">
        <v>1.068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>
        <v>0.7</v>
      </c>
    </row>
    <row r="122" ht="14.25" spans="1:25">
      <c r="A122" s="5">
        <v>45992</v>
      </c>
      <c r="B122" s="6" t="s">
        <v>47</v>
      </c>
      <c r="C122" s="6" t="s">
        <v>6</v>
      </c>
      <c r="D122" s="6" t="s">
        <v>48</v>
      </c>
      <c r="E122" s="6" t="s">
        <v>69</v>
      </c>
      <c r="F122" s="6" t="s">
        <v>50</v>
      </c>
      <c r="G122" s="6">
        <v>1041009</v>
      </c>
      <c r="H122" s="6">
        <v>5086</v>
      </c>
      <c r="I122" s="7">
        <v>226073700</v>
      </c>
      <c r="J122" s="7">
        <v>97778</v>
      </c>
      <c r="K122" s="8">
        <v>0.36</v>
      </c>
      <c r="L122" s="6">
        <v>1.068</v>
      </c>
      <c r="M122" s="7">
        <v>257543</v>
      </c>
      <c r="N122" s="7">
        <v>149593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>
        <v>0.7</v>
      </c>
    </row>
    <row r="123" ht="14.25" spans="1:25">
      <c r="A123" s="5">
        <v>45992</v>
      </c>
      <c r="B123" s="6" t="s">
        <v>47</v>
      </c>
      <c r="C123" s="6" t="s">
        <v>6</v>
      </c>
      <c r="D123" s="6" t="s">
        <v>48</v>
      </c>
      <c r="E123" s="6" t="s">
        <v>54</v>
      </c>
      <c r="F123" s="6" t="s">
        <v>50</v>
      </c>
      <c r="G123" s="6">
        <v>754936</v>
      </c>
      <c r="H123" s="6">
        <v>3827</v>
      </c>
      <c r="I123" s="7">
        <v>166906700</v>
      </c>
      <c r="J123" s="7">
        <v>79638</v>
      </c>
      <c r="K123" s="8">
        <v>0.36</v>
      </c>
      <c r="L123" s="6">
        <v>1.068</v>
      </c>
      <c r="M123" s="7">
        <v>190140</v>
      </c>
      <c r="N123" s="7">
        <v>103466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>
        <v>0.7</v>
      </c>
    </row>
    <row r="124" ht="14.25" spans="1:25">
      <c r="A124" s="5">
        <v>45992</v>
      </c>
      <c r="B124" s="6" t="s">
        <v>47</v>
      </c>
      <c r="C124" s="6" t="s">
        <v>6</v>
      </c>
      <c r="D124" s="6" t="s">
        <v>48</v>
      </c>
      <c r="E124" s="6" t="s">
        <v>67</v>
      </c>
      <c r="F124" s="6" t="s">
        <v>50</v>
      </c>
      <c r="G124" s="6"/>
      <c r="H124" s="6"/>
      <c r="I124" s="6"/>
      <c r="J124" s="7">
        <v>0</v>
      </c>
      <c r="K124" s="8">
        <v>0.36</v>
      </c>
      <c r="L124" s="6">
        <v>1.068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>
        <v>0.7</v>
      </c>
    </row>
    <row r="125" ht="14.25" spans="1:25">
      <c r="A125" s="5">
        <v>45992</v>
      </c>
      <c r="B125" s="6" t="s">
        <v>47</v>
      </c>
      <c r="C125" s="6" t="s">
        <v>6</v>
      </c>
      <c r="D125" s="6" t="s">
        <v>48</v>
      </c>
      <c r="E125" s="6" t="s">
        <v>70</v>
      </c>
      <c r="F125" s="6" t="s">
        <v>50</v>
      </c>
      <c r="G125" s="6"/>
      <c r="H125" s="6"/>
      <c r="I125" s="6"/>
      <c r="J125" s="7">
        <v>0</v>
      </c>
      <c r="K125" s="8">
        <v>0.36</v>
      </c>
      <c r="L125" s="6">
        <v>1.068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>
        <v>0.7</v>
      </c>
    </row>
  </sheetData>
  <sheetProtection formatCells="0" formatColumns="0" formatRows="0" insertRows="0" insertColumns="0" insertHyperlinks="0" deleteColumns="0" deleteRows="0" sort="0" autoFilter="0" pivotTables="0"/>
  <autoFilter ref="A1:Y125" etc:filterBottomFollowUsedRange="1">
    <extLst/>
  </autoFilter>
  <pageMargins left="0.75" right="0.75" top="1" bottom="1" header="0.511805555555556" footer="0.511805555555556"/>
  <headerFooter/>
  <picture r:id="cco-watermark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cco-watermark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autofilters xmlns="https://web.wps.cn/et/2018/main">
  <sheetItem sheetStid="1">
    <filterData filterID="CZMXSYVJTQMNSBNJ-dc-appfile:J8OywSfCDnLB6zrKeoLJ"/>
  </sheetItem>
</autofilte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pivotTables>
        <pivotTable pivotTableName="数据透视表2" updateTime="19" sourceDataDirty="0"/>
        <pivotTable pivotTableName="数据透视表3" updateTime="19" sourceDataDirty="0"/>
        <pivotTable pivotTableName="数据透视表4" updateTime="19" sourceDataDirty="0"/>
        <pivotTable pivotTableName="数据透视表5" updateTime="19" sourceDataDirty="0"/>
        <pivotTable pivotTableName="数据透视表6" updateTime="19" sourceDataDirty="0"/>
      </pivotTables>
      <cellprotection/>
      <appEtDbRelations/>
    </woSheetProps>
    <woSheetProps sheetStid="5" interlineOnOff="0" interlineColor="0" isDbSheet="0" isDashBoardSheet="0" isDbDashBoardSheet="0" isFlexPaperSheet="0">
      <pivotTables>
        <pivotTable pivotTableName="数据透视表8" updateTime="19" sourceDataDirty="0"/>
        <pivotTable pivotTableName="数据透视表9" updateTime="19" sourceDataDirty="0"/>
      </pivotTables>
      <cellprotection/>
      <appEtDbRelations/>
    </woSheetProps>
    <woSheetProps sheetStid="7" interlineOnOff="0" interlineColor="0" isDbSheet="0" isDashBoardSheet="0" isDbDashBoardSheet="0" isFlexPaperSheet="0">
      <pivotTables>
        <pivotTable pivotTableName="数据透视表11" updateTime="1" sourceDataDirty="0"/>
        <pivotTable pivotTableName="数据透视表12" updateTime="1" sourceDataDirty="0"/>
      </pivotTables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user" isMergeTasksAutoUpdate="0" isInserPicAsAttachment="1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4"/>
  <pixelatorList sheetStid="5"/>
  <pixelatorList sheetStid="7"/>
  <pixelatorList sheetStid="1"/>
  <pixelatorList sheetStid="3"/>
  <pixelatorList sheetStid="8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WWO_wpscloud_20260417174217-7175f53936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补充还款率</vt:lpstr>
      <vt:lpstr>Sheet4</vt:lpstr>
      <vt:lpstr>Sheet6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2018-06-03T00:28:00Z</dcterms:created>
  <dc:creator>金山文档</dc:creator>
  <dc:description>null; download by sundanian</dc:description>
  <cp:lastModifiedBy>李思萍</cp:lastModifiedBy>
  <dcterms:modified xsi:type="dcterms:W3CDTF">2019-05-21T23:34:00Z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2052-12.9.0.25410</vt:lpwstr>
  </property>
  <property fmtid="{D5CDD505-2E9C-101B-9397-08002B2CF9AE}" pid="3" name="CalculationRule">
    <vt:i4>0</vt:i4>
  </property>
  <property fmtid="{D5CDD505-2E9C-101B-9397-08002B2CF9AE}" pid="4" name="ICV">
    <vt:lpwstr>1201A0C53619A3D411C31F6AB631D4B5_42</vt:lpwstr>
  </property>
</Properties>
</file>